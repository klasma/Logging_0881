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46237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S 2365-2025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45889</v>
      </c>
      <c r="E10" s="1" t="n">
        <v>46237</v>
      </c>
      <c r="F10" t="inlineStr">
        <is>
          <t>KALMAR LÄN</t>
        </is>
      </c>
      <c r="G10" t="inlineStr">
        <is>
          <t>NYBRO</t>
        </is>
      </c>
      <c r="H10" t="inlineStr">
        <is>
          <t>Kyrkan</t>
        </is>
      </c>
      <c r="I10" t="n">
        <v>68.8</v>
      </c>
      <c r="J10" t="n">
        <v>8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8</v>
      </c>
      <c r="U10" t="n">
        <v>0</v>
      </c>
      <c r="V10" s="2" t="inlineStr">
        <is>
          <t>Grönfink
Duvhök
Gulsparv
Mindre hackspett
Hasselmus
Kungsfågel
Trädlärka
Törnskata</t>
        </is>
      </c>
      <c r="W10">
        <f>HYPERLINK("https://klasma.github.io/Logging_0881/artfynd/S 2365-2025 artfynd.xlsx", "S 2365-2025")</f>
        <v/>
      </c>
      <c r="X10">
        <f>HYPERLINK("https://klasma.github.io/Logging_0881/kartor/S 2365-2025 karta.png", "S 2365-2025")</f>
        <v/>
      </c>
      <c r="Y10">
        <f>HYPERLINK("https://klasma.github.io/Logging_0881/kartor_geotiff/S 2365-2025 georefererad karta.tif", "S 2365-2025")</f>
        <v/>
      </c>
      <c r="AA10">
        <f>HYPERLINK("https://klasma.github.io/Logging_0881/klagomål/S 2365-2025 FSC-klagomål.docx", "S 2365-2025")</f>
        <v/>
      </c>
      <c r="AB10">
        <f>HYPERLINK("https://klasma.github.io/Logging_0881/klagomålsmail/S 2365-2025 FSC-klagomål mail.docx", "S 2365-2025")</f>
        <v/>
      </c>
      <c r="AC10">
        <f>HYPERLINK("https://klasma.github.io/Logging_0881/tillsyn/S 2365-2025 tillsynsbegäran.docx", "S 2365-2025")</f>
        <v/>
      </c>
      <c r="AD10">
        <f>HYPERLINK("https://klasma.github.io/Logging_0881/tillsynsmail/S 2365-2025 tillsynsbegäran mail.docx", "S 2365-2025")</f>
        <v/>
      </c>
      <c r="AE10">
        <f>HYPERLINK("https://klasma.github.io/Logging_0881/fåglar/S 2365-2025 prioriterade fågelarter.docx", "S 2365-2025")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46237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46237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46237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46237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46237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46237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60746-2025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46237</v>
      </c>
      <c r="F26" t="inlineStr">
        <is>
          <t>KALMAR LÄN</t>
        </is>
      </c>
      <c r="G26" t="inlineStr">
        <is>
          <t>NYBRO</t>
        </is>
      </c>
      <c r="I26" t="n">
        <v>5.5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0</v>
      </c>
      <c r="V26" s="2" t="inlineStr">
        <is>
          <t>Tallgångbagge
Hårig blombock
Mindre träfjäril
Stekelbock</t>
        </is>
      </c>
      <c r="W26">
        <f>HYPERLINK("https://klasma.github.io/Logging_0881/artfynd/A 60746-2025 artfynd.xlsx", "A 60746-2025")</f>
        <v/>
      </c>
      <c r="X26">
        <f>HYPERLINK("https://klasma.github.io/Logging_0881/kartor/A 60746-2025 karta.png", "A 60746-2025")</f>
        <v/>
      </c>
      <c r="Y26">
        <f>HYPERLINK("https://klasma.github.io/Logging_0881/kartor_geotiff/A 60746-2025 georefererad karta.tif", "A 60746-2025")</f>
        <v/>
      </c>
      <c r="AA26">
        <f>HYPERLINK("https://klasma.github.io/Logging_0881/klagomål/A 60746-2025 FSC-klagomål.docx", "A 60746-2025")</f>
        <v/>
      </c>
      <c r="AB26">
        <f>HYPERLINK("https://klasma.github.io/Logging_0881/klagomålsmail/A 60746-2025 FSC-klagomål mail.docx", "A 60746-2025")</f>
        <v/>
      </c>
      <c r="AC26">
        <f>HYPERLINK("https://klasma.github.io/Logging_0881/tillsyn/A 60746-2025 tillsynsbegäran.docx", "A 60746-2025")</f>
        <v/>
      </c>
      <c r="AD26">
        <f>HYPERLINK("https://klasma.github.io/Logging_0881/tillsynsmail/A 60746-2025 tillsynsbegäran mail.docx", "A 60746-2025")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46237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46237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46237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46237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46237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46237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46237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46237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46237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46237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46237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46237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46237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Barbastell
Nordfladdermus
Gråskimlig fladdermus</t>
        </is>
      </c>
      <c r="W41">
        <f>HYPERLINK("https://klasma.github.io/Logging_0881/artfynd/A 39000-2025 artfynd.xlsx", "A 39000-2025")</f>
        <v/>
      </c>
      <c r="X41">
        <f>HYPERLINK("https://klasma.github.io/Logging_0881/kartor/A 39000-2025 karta.png", "A 39000-2025")</f>
        <v/>
      </c>
      <c r="Y41">
        <f>HYPERLINK("https://klasma.github.io/Logging_0881/kartor_geotiff/A 39000-2025 georefererad karta.tif", "A 39000-2025")</f>
        <v/>
      </c>
      <c r="AA41">
        <f>HYPERLINK("https://klasma.github.io/Logging_0881/klagomål/A 39000-2025 FSC-klagomål.docx", "A 39000-2025")</f>
        <v/>
      </c>
      <c r="AB41">
        <f>HYPERLINK("https://klasma.github.io/Logging_0881/klagomålsmail/A 39000-2025 FSC-klagomål mail.docx", "A 39000-2025")</f>
        <v/>
      </c>
      <c r="AC41">
        <f>HYPERLINK("https://klasma.github.io/Logging_0881/tillsyn/A 39000-2025 tillsynsbegäran.docx", "A 39000-2025")</f>
        <v/>
      </c>
      <c r="AD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46237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46237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46237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46237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46237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46237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46237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46237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46237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46237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46237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7041-2026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46057</v>
      </c>
      <c r="E53" s="1" t="n">
        <v>46237</v>
      </c>
      <c r="F53" t="inlineStr">
        <is>
          <t>KALMAR LÄN</t>
        </is>
      </c>
      <c r="G53" t="inlineStr">
        <is>
          <t>NYBRO</t>
        </is>
      </c>
      <c r="I53" t="n">
        <v>5.8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Kornig nållav
Vanlig flatbagge</t>
        </is>
      </c>
      <c r="W53">
        <f>HYPERLINK("https://klasma.github.io/Logging_0881/artfynd/A 7041-2026 artfynd.xlsx", "A 7041-2026")</f>
        <v/>
      </c>
      <c r="X53">
        <f>HYPERLINK("https://klasma.github.io/Logging_0881/kartor/A 7041-2026 karta.png", "A 7041-2026")</f>
        <v/>
      </c>
      <c r="Y53">
        <f>HYPERLINK("https://klasma.github.io/Logging_0881/kartor_geotiff/A 7041-2026 georefererad karta.tif", "A 7041-2026")</f>
        <v/>
      </c>
      <c r="AA53">
        <f>HYPERLINK("https://klasma.github.io/Logging_0881/klagomål/A 7041-2026 FSC-klagomål.docx", "A 7041-2026")</f>
        <v/>
      </c>
      <c r="AB53">
        <f>HYPERLINK("https://klasma.github.io/Logging_0881/klagomålsmail/A 7041-2026 FSC-klagomål mail.docx", "A 7041-2026")</f>
        <v/>
      </c>
      <c r="AC53">
        <f>HYPERLINK("https://klasma.github.io/Logging_0881/tillsyn/A 7041-2026 tillsynsbegäran.docx", "A 7041-2026")</f>
        <v/>
      </c>
      <c r="AD53">
        <f>HYPERLINK("https://klasma.github.io/Logging_0881/tillsynsmail/A 7041-2026 tillsynsbegäran mail.docx", "A 7041-2026")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46237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61771-2022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46237</v>
      </c>
      <c r="F55" t="inlineStr">
        <is>
          <t>KALMAR LÄN</t>
        </is>
      </c>
      <c r="G55" t="inlineStr">
        <is>
          <t>NYBRO</t>
        </is>
      </c>
      <c r="H55" t="inlineStr">
        <is>
          <t>Kommuner</t>
        </is>
      </c>
      <c r="I55" t="n">
        <v>10.4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Talltita
Kungsfågel</t>
        </is>
      </c>
      <c r="W55">
        <f>HYPERLINK("https://klasma.github.io/Logging_0881/artfynd/A 61771-2022 artfynd.xlsx", "A 61771-2022")</f>
        <v/>
      </c>
      <c r="X55">
        <f>HYPERLINK("https://klasma.github.io/Logging_0881/kartor/A 61771-2022 karta.png", "A 61771-2022")</f>
        <v/>
      </c>
      <c r="Y55">
        <f>HYPERLINK("https://klasma.github.io/Logging_0881/kartor_geotiff/A 61771-2022 georefererad karta.tif", "A 61771-2022")</f>
        <v/>
      </c>
      <c r="AA55">
        <f>HYPERLINK("https://klasma.github.io/Logging_0881/klagomål/A 61771-2022 FSC-klagomål.docx", "A 61771-2022")</f>
        <v/>
      </c>
      <c r="AB55">
        <f>HYPERLINK("https://klasma.github.io/Logging_0881/klagomålsmail/A 61771-2022 FSC-klagomål mail.docx", "A 61771-2022")</f>
        <v/>
      </c>
      <c r="AC55">
        <f>HYPERLINK("https://klasma.github.io/Logging_0881/tillsyn/A 61771-2022 tillsynsbegäran.docx", "A 61771-2022")</f>
        <v/>
      </c>
      <c r="AD55">
        <f>HYPERLINK("https://klasma.github.io/Logging_0881/tillsynsmail/A 61771-2022 tillsynsbegäran mail.docx", "A 61771-2022")</f>
        <v/>
      </c>
      <c r="AE55">
        <f>HYPERLINK("https://klasma.github.io/Logging_0881/fåglar/A 61771-2022 prioriterade fågelarter.docx", "A 61771-2022")</f>
        <v/>
      </c>
    </row>
    <row r="56" ht="15" customHeight="1">
      <c r="A56" t="inlineStr">
        <is>
          <t>A 51784-2023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46237</v>
      </c>
      <c r="F56" t="inlineStr">
        <is>
          <t>KALMAR LÄN</t>
        </is>
      </c>
      <c r="G56" t="inlineStr">
        <is>
          <t>NYBRO</t>
        </is>
      </c>
      <c r="I56" t="n">
        <v>1.2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Solvända
Tvåblad</t>
        </is>
      </c>
      <c r="W56">
        <f>HYPERLINK("https://klasma.github.io/Logging_0881/artfynd/A 51784-2023 artfynd.xlsx", "A 51784-2023")</f>
        <v/>
      </c>
      <c r="X56">
        <f>HYPERLINK("https://klasma.github.io/Logging_0881/kartor/A 51784-2023 karta.png", "A 51784-2023")</f>
        <v/>
      </c>
      <c r="Y56">
        <f>HYPERLINK("https://klasma.github.io/Logging_0881/kartor_geotiff/A 51784-2023 georefererad karta.tif", "A 51784-2023")</f>
        <v/>
      </c>
      <c r="AA56">
        <f>HYPERLINK("https://klasma.github.io/Logging_0881/klagomål/A 51784-2023 FSC-klagomål.docx", "A 51784-2023")</f>
        <v/>
      </c>
      <c r="AB56">
        <f>HYPERLINK("https://klasma.github.io/Logging_0881/klagomålsmail/A 51784-2023 FSC-klagomål mail.docx", "A 51784-2023")</f>
        <v/>
      </c>
      <c r="AC56">
        <f>HYPERLINK("https://klasma.github.io/Logging_0881/tillsyn/A 51784-2023 tillsynsbegäran.docx", "A 51784-2023")</f>
        <v/>
      </c>
      <c r="AD56">
        <f>HYPERLINK("https://klasma.github.io/Logging_0881/tillsynsmail/A 51784-2023 tillsynsbegäran mail.docx", "A 51784-2023")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46237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46237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46237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46237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46237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22316-2024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46237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Nordfladdermus
Dvärgpipistrell</t>
        </is>
      </c>
      <c r="W62">
        <f>HYPERLINK("https://klasma.github.io/Logging_0881/artfynd/A 22316-2024 artfynd.xlsx", "A 22316-2024")</f>
        <v/>
      </c>
      <c r="X62">
        <f>HYPERLINK("https://klasma.github.io/Logging_0881/kartor/A 22316-2024 karta.png", "A 22316-2024")</f>
        <v/>
      </c>
      <c r="Y62">
        <f>HYPERLINK("https://klasma.github.io/Logging_0881/kartor_geotiff/A 22316-2024 georefererad karta.tif", "A 22316-2024")</f>
        <v/>
      </c>
      <c r="AA62">
        <f>HYPERLINK("https://klasma.github.io/Logging_0881/klagomål/A 22316-2024 FSC-klagomål.docx", "A 22316-2024")</f>
        <v/>
      </c>
      <c r="AB62">
        <f>HYPERLINK("https://klasma.github.io/Logging_0881/klagomålsmail/A 22316-2024 FSC-klagomål mail.docx", "A 22316-2024")</f>
        <v/>
      </c>
      <c r="AC62">
        <f>HYPERLINK("https://klasma.github.io/Logging_0881/tillsyn/A 22316-2024 tillsynsbegäran.docx", "A 22316-2024")</f>
        <v/>
      </c>
      <c r="AD62">
        <f>HYPERLINK("https://klasma.github.io/Logging_0881/tillsynsmail/A 22316-2024 tillsynsbegäran mail.docx", "A 22316-2024")</f>
        <v/>
      </c>
    </row>
    <row r="63" ht="15" customHeight="1">
      <c r="A63" t="inlineStr">
        <is>
          <t>A 22683-2024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46237</v>
      </c>
      <c r="F63" t="inlineStr">
        <is>
          <t>KALMAR LÄN</t>
        </is>
      </c>
      <c r="G63" t="inlineStr">
        <is>
          <t>NYBRO</t>
        </is>
      </c>
      <c r="I63" t="n">
        <v>6.7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Purpurknipprot
Skogsknipprot</t>
        </is>
      </c>
      <c r="W63">
        <f>HYPERLINK("https://klasma.github.io/Logging_0881/artfynd/A 22683-2024 artfynd.xlsx", "A 22683-2024")</f>
        <v/>
      </c>
      <c r="X63">
        <f>HYPERLINK("https://klasma.github.io/Logging_0881/kartor/A 22683-2024 karta.png", "A 22683-2024")</f>
        <v/>
      </c>
      <c r="Y63">
        <f>HYPERLINK("https://klasma.github.io/Logging_0881/kartor_geotiff/A 22683-2024 georefererad karta.tif", "A 22683-2024")</f>
        <v/>
      </c>
      <c r="AA63">
        <f>HYPERLINK("https://klasma.github.io/Logging_0881/klagomål/A 22683-2024 FSC-klagomål.docx", "A 22683-2024")</f>
        <v/>
      </c>
      <c r="AB63">
        <f>HYPERLINK("https://klasma.github.io/Logging_0881/klagomålsmail/A 22683-2024 FSC-klagomål mail.docx", "A 22683-2024")</f>
        <v/>
      </c>
      <c r="AC63">
        <f>HYPERLINK("https://klasma.github.io/Logging_0881/tillsyn/A 22683-2024 tillsynsbegäran.docx", "A 22683-2024")</f>
        <v/>
      </c>
      <c r="AD63">
        <f>HYPERLINK("https://klasma.github.io/Logging_0881/tillsynsmail/A 22683-2024 tillsynsbegäran mail.docx", "A 22683-2024")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46237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46237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46237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46237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46237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46237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50008-2023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46237</v>
      </c>
      <c r="F78" t="inlineStr">
        <is>
          <t>KALMAR LÄN</t>
        </is>
      </c>
      <c r="G78" t="inlineStr">
        <is>
          <t>NYBRO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HYPERLINK("https://klasma.github.io/Logging_0881/artfynd/A 50008-2023 artfynd.xlsx", "A 50008-2023")</f>
        <v/>
      </c>
      <c r="X78">
        <f>HYPERLINK("https://klasma.github.io/Logging_0881/kartor/A 50008-2023 karta.png", "A 50008-2023")</f>
        <v/>
      </c>
      <c r="Y78">
        <f>HYPERLINK("https://klasma.github.io/Logging_0881/kartor_geotiff/A 50008-2023 georefererad karta.tif", "A 50008-2023")</f>
        <v/>
      </c>
      <c r="AA78">
        <f>HYPERLINK("https://klasma.github.io/Logging_0881/klagomål/A 50008-2023 FSC-klagomål.docx", "A 50008-2023")</f>
        <v/>
      </c>
      <c r="AB78">
        <f>HYPERLINK("https://klasma.github.io/Logging_0881/klagomålsmail/A 50008-2023 FSC-klagomål mail.docx", "A 50008-2023")</f>
        <v/>
      </c>
      <c r="AC78">
        <f>HYPERLINK("https://klasma.github.io/Logging_0881/tillsyn/A 50008-2023 tillsynsbegäran.docx", "A 50008-2023")</f>
        <v/>
      </c>
      <c r="AD78">
        <f>HYPERLINK("https://klasma.github.io/Logging_0881/tillsynsmail/A 50008-2023 tillsynsbegäran mail.docx", "A 50008-2023")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46237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46237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46237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46237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46237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22952-2024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45449</v>
      </c>
      <c r="E84" s="1" t="n">
        <v>46237</v>
      </c>
      <c r="F84" t="inlineStr">
        <is>
          <t>KALMAR LÄN</t>
        </is>
      </c>
      <c r="G84" t="inlineStr">
        <is>
          <t>NYBRO</t>
        </is>
      </c>
      <c r="I84" t="n">
        <v>14.1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HYPERLINK("https://klasma.github.io/Logging_0881/artfynd/A 22952-2024 artfynd.xlsx", "A 22952-2024")</f>
        <v/>
      </c>
      <c r="X84">
        <f>HYPERLINK("https://klasma.github.io/Logging_0881/kartor/A 22952-2024 karta.png", "A 22952-2024")</f>
        <v/>
      </c>
      <c r="Y84">
        <f>HYPERLINK("https://klasma.github.io/Logging_0881/kartor_geotiff/A 22952-2024 georefererad karta.tif", "A 22952-2024")</f>
        <v/>
      </c>
      <c r="AA84">
        <f>HYPERLINK("https://klasma.github.io/Logging_0881/klagomål/A 22952-2024 FSC-klagomål.docx", "A 22952-2024")</f>
        <v/>
      </c>
      <c r="AB84">
        <f>HYPERLINK("https://klasma.github.io/Logging_0881/klagomålsmail/A 22952-2024 FSC-klagomål mail.docx", "A 22952-2024")</f>
        <v/>
      </c>
      <c r="AC84">
        <f>HYPERLINK("https://klasma.github.io/Logging_0881/tillsyn/A 22952-2024 tillsynsbegäran.docx", "A 22952-2024")</f>
        <v/>
      </c>
      <c r="AD84">
        <f>HYPERLINK("https://klasma.github.io/Logging_0881/tillsynsmail/A 22952-2024 tillsynsbegäran mail.docx", "A 22952-2024")</f>
        <v/>
      </c>
    </row>
    <row r="85" ht="15" customHeight="1">
      <c r="A85" t="inlineStr">
        <is>
          <t>A 47582-2021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46237</v>
      </c>
      <c r="F85" t="inlineStr">
        <is>
          <t>KALMAR LÄN</t>
        </is>
      </c>
      <c r="G85" t="inlineStr">
        <is>
          <t>NYBRO</t>
        </is>
      </c>
      <c r="I85" t="n">
        <v>4.5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Kungsfågel</t>
        </is>
      </c>
      <c r="W85">
        <f>HYPERLINK("https://klasma.github.io/Logging_0881/artfynd/A 47582-2021 artfynd.xlsx", "A 47582-2021")</f>
        <v/>
      </c>
      <c r="X85">
        <f>HYPERLINK("https://klasma.github.io/Logging_0881/kartor/A 47582-2021 karta.png", "A 47582-2021")</f>
        <v/>
      </c>
      <c r="Y85">
        <f>HYPERLINK("https://klasma.github.io/Logging_0881/kartor_geotiff/A 47582-2021 georefererad karta.tif", "A 47582-2021")</f>
        <v/>
      </c>
      <c r="AA85">
        <f>HYPERLINK("https://klasma.github.io/Logging_0881/klagomål/A 47582-2021 FSC-klagomål.docx", "A 47582-2021")</f>
        <v/>
      </c>
      <c r="AB85">
        <f>HYPERLINK("https://klasma.github.io/Logging_0881/klagomålsmail/A 47582-2021 FSC-klagomål mail.docx", "A 47582-2021")</f>
        <v/>
      </c>
      <c r="AC85">
        <f>HYPERLINK("https://klasma.github.io/Logging_0881/tillsyn/A 47582-2021 tillsynsbegäran.docx", "A 47582-2021")</f>
        <v/>
      </c>
      <c r="AD85">
        <f>HYPERLINK("https://klasma.github.io/Logging_0881/tillsynsmail/A 47582-2021 tillsynsbegäran mail.docx", "A 47582-2021")</f>
        <v/>
      </c>
    </row>
    <row r="86" ht="15" customHeight="1">
      <c r="A86" t="inlineStr">
        <is>
          <t>A 46223-2024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46237</v>
      </c>
      <c r="F86" t="inlineStr">
        <is>
          <t>KALMAR LÄN</t>
        </is>
      </c>
      <c r="G86" t="inlineStr">
        <is>
          <t>NYBRO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Sumpviol</t>
        </is>
      </c>
      <c r="W86">
        <f>HYPERLINK("https://klasma.github.io/Logging_0881/artfynd/A 46223-2024 artfynd.xlsx", "A 46223-2024")</f>
        <v/>
      </c>
      <c r="X86">
        <f>HYPERLINK("https://klasma.github.io/Logging_0881/kartor/A 46223-2024 karta.png", "A 46223-2024")</f>
        <v/>
      </c>
      <c r="Y86">
        <f>HYPERLINK("https://klasma.github.io/Logging_0881/kartor_geotiff/A 46223-2024 georefererad karta.tif", "A 46223-2024")</f>
        <v/>
      </c>
      <c r="AA86">
        <f>HYPERLINK("https://klasma.github.io/Logging_0881/klagomål/A 46223-2024 FSC-klagomål.docx", "A 46223-2024")</f>
        <v/>
      </c>
      <c r="AB86">
        <f>HYPERLINK("https://klasma.github.io/Logging_0881/klagomålsmail/A 46223-2024 FSC-klagomål mail.docx", "A 46223-2024")</f>
        <v/>
      </c>
      <c r="AC86">
        <f>HYPERLINK("https://klasma.github.io/Logging_0881/tillsyn/A 46223-2024 tillsynsbegäran.docx", "A 46223-2024")</f>
        <v/>
      </c>
      <c r="AD86">
        <f>HYPERLINK("https://klasma.github.io/Logging_0881/tillsynsmail/A 46223-2024 tillsynsbegäran mail.docx", "A 46223-2024")</f>
        <v/>
      </c>
    </row>
    <row r="87" ht="15" customHeight="1">
      <c r="A87" t="inlineStr">
        <is>
          <t>A 20647-2026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46237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Ljungögontröst</t>
        </is>
      </c>
      <c r="W87">
        <f>HYPERLINK("https://klasma.github.io/Logging_0881/artfynd/A 20647-2026 artfynd.xlsx", "A 20647-2026")</f>
        <v/>
      </c>
      <c r="X87">
        <f>HYPERLINK("https://klasma.github.io/Logging_0881/kartor/A 20647-2026 karta.png", "A 20647-2026")</f>
        <v/>
      </c>
      <c r="Y87">
        <f>HYPERLINK("https://klasma.github.io/Logging_0881/kartor_geotiff/A 20647-2026 georefererad karta.tif", "A 20647-2026")</f>
        <v/>
      </c>
      <c r="AA87">
        <f>HYPERLINK("https://klasma.github.io/Logging_0881/klagomål/A 20647-2026 FSC-klagomål.docx", "A 20647-2026")</f>
        <v/>
      </c>
      <c r="AB87">
        <f>HYPERLINK("https://klasma.github.io/Logging_0881/klagomålsmail/A 20647-2026 FSC-klagomål mail.docx", "A 20647-2026")</f>
        <v/>
      </c>
      <c r="AC87">
        <f>HYPERLINK("https://klasma.github.io/Logging_0881/tillsyn/A 20647-2026 tillsynsbegäran.docx", "A 20647-2026")</f>
        <v/>
      </c>
      <c r="AD87">
        <f>HYPERLINK("https://klasma.github.io/Logging_0881/tillsynsmail/A 20647-2026 tillsynsbegäran mail.docx", "A 20647-2026")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46237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49782-2025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46237</v>
      </c>
      <c r="F89" t="inlineStr">
        <is>
          <t>KALMAR LÄN</t>
        </is>
      </c>
      <c r="G89" t="inlineStr">
        <is>
          <t>NYBRO</t>
        </is>
      </c>
      <c r="I89" t="n">
        <v>5.9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 glada</t>
        </is>
      </c>
      <c r="W89">
        <f>HYPERLINK("https://klasma.github.io/Logging_0881/artfynd/A 49782-2025 artfynd.xlsx", "A 49782-2025")</f>
        <v/>
      </c>
      <c r="X89">
        <f>HYPERLINK("https://klasma.github.io/Logging_0881/kartor/A 49782-2025 karta.png", "A 49782-2025")</f>
        <v/>
      </c>
      <c r="Y89">
        <f>HYPERLINK("https://klasma.github.io/Logging_0881/kartor_geotiff/A 49782-2025 georefererad karta.tif", "A 49782-2025")</f>
        <v/>
      </c>
      <c r="AA89">
        <f>HYPERLINK("https://klasma.github.io/Logging_0881/klagomål/A 49782-2025 FSC-klagomål.docx", "A 49782-2025")</f>
        <v/>
      </c>
      <c r="AB89">
        <f>HYPERLINK("https://klasma.github.io/Logging_0881/klagomålsmail/A 49782-2025 FSC-klagomål mail.docx", "A 49782-2025")</f>
        <v/>
      </c>
      <c r="AC89">
        <f>HYPERLINK("https://klasma.github.io/Logging_0881/tillsyn/A 49782-2025 tillsynsbegäran.docx", "A 49782-2025")</f>
        <v/>
      </c>
      <c r="AD89">
        <f>HYPERLINK("https://klasma.github.io/Logging_0881/tillsynsmail/A 49782-2025 tillsynsbegäran mail.docx", "A 49782-2025")</f>
        <v/>
      </c>
      <c r="AE89">
        <f>HYPERLINK("https://klasma.github.io/Logging_0881/fåglar/A 49782-2025 prioriterade fågelarter.docx", "A 49782-2025")</f>
        <v/>
      </c>
    </row>
    <row r="90" ht="15" customHeight="1">
      <c r="A90" t="inlineStr">
        <is>
          <t>A 30510-2023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46237</v>
      </c>
      <c r="F90" t="inlineStr">
        <is>
          <t>KALMAR LÄN</t>
        </is>
      </c>
      <c r="G90" t="inlineStr">
        <is>
          <t>NYBRO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HYPERLINK("https://klasma.github.io/Logging_0881/artfynd/A 30510-2023 artfynd.xlsx", "A 30510-2023")</f>
        <v/>
      </c>
      <c r="X90">
        <f>HYPERLINK("https://klasma.github.io/Logging_0881/kartor/A 30510-2023 karta.png", "A 30510-2023")</f>
        <v/>
      </c>
      <c r="Y90">
        <f>HYPERLINK("https://klasma.github.io/Logging_0881/kartor_geotiff/A 30510-2023 georefererad karta.tif", "A 30510-2023")</f>
        <v/>
      </c>
      <c r="AA90">
        <f>HYPERLINK("https://klasma.github.io/Logging_0881/klagomål/A 30510-2023 FSC-klagomål.docx", "A 30510-2023")</f>
        <v/>
      </c>
      <c r="AB90">
        <f>HYPERLINK("https://klasma.github.io/Logging_0881/klagomålsmail/A 30510-2023 FSC-klagomål mail.docx", "A 30510-2023")</f>
        <v/>
      </c>
      <c r="AC90">
        <f>HYPERLINK("https://klasma.github.io/Logging_0881/tillsyn/A 30510-2023 tillsynsbegäran.docx", "A 30510-2023")</f>
        <v/>
      </c>
      <c r="AD90">
        <f>HYPERLINK("https://klasma.github.io/Logging_0881/tillsynsmail/A 30510-2023 tillsynsbegäran mail.docx", "A 30510-2023")</f>
        <v/>
      </c>
      <c r="AE90">
        <f>HYPERLINK("https://klasma.github.io/Logging_0881/fåglar/A 30510-2023 prioriterade fågelarter.docx", "A 30510-2023")</f>
        <v/>
      </c>
    </row>
    <row r="91" ht="15" customHeight="1">
      <c r="A91" t="inlineStr">
        <is>
          <t>A 6676-2023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46237</v>
      </c>
      <c r="F91" t="inlineStr">
        <is>
          <t>KALMAR LÄN</t>
        </is>
      </c>
      <c r="G91" t="inlineStr">
        <is>
          <t>NYBRO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Etternässla</t>
        </is>
      </c>
      <c r="W91">
        <f>HYPERLINK("https://klasma.github.io/Logging_0881/artfynd/A 6676-2023 artfynd.xlsx", "A 6676-2023")</f>
        <v/>
      </c>
      <c r="X91">
        <f>HYPERLINK("https://klasma.github.io/Logging_0881/kartor/A 6676-2023 karta.png", "A 6676-2023")</f>
        <v/>
      </c>
      <c r="Y91">
        <f>HYPERLINK("https://klasma.github.io/Logging_0881/kartor_geotiff/A 6676-2023 georefererad karta.tif", "A 6676-2023")</f>
        <v/>
      </c>
      <c r="AA91">
        <f>HYPERLINK("https://klasma.github.io/Logging_0881/klagomål/A 6676-2023 FSC-klagomål.docx", "A 6676-2023")</f>
        <v/>
      </c>
      <c r="AB91">
        <f>HYPERLINK("https://klasma.github.io/Logging_0881/klagomålsmail/A 6676-2023 FSC-klagomål mail.docx", "A 6676-2023")</f>
        <v/>
      </c>
      <c r="AC91">
        <f>HYPERLINK("https://klasma.github.io/Logging_0881/tillsyn/A 6676-2023 tillsynsbegäran.docx", "A 6676-2023")</f>
        <v/>
      </c>
      <c r="AD91">
        <f>HYPERLINK("https://klasma.github.io/Logging_0881/tillsynsmail/A 6676-2023 tillsynsbegäran mail.docx", "A 6676-2023")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46237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46237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Talltita</t>
        </is>
      </c>
      <c r="W93">
        <f>HYPERLINK("https://klasma.github.io/Logging_0881/artfynd/A 22097-2026 artfynd.xlsx", "A 22097-2026")</f>
        <v/>
      </c>
      <c r="X93">
        <f>HYPERLINK("https://klasma.github.io/Logging_0881/kartor/A 22097-2026 karta.png", "A 22097-2026")</f>
        <v/>
      </c>
      <c r="Y93">
        <f>HYPERLINK("https://klasma.github.io/Logging_0881/kartor_geotiff/A 22097-2026 georefererad karta.tif", "A 22097-2026")</f>
        <v/>
      </c>
      <c r="AA93">
        <f>HYPERLINK("https://klasma.github.io/Logging_0881/klagomål/A 22097-2026 FSC-klagomål.docx", "A 22097-2026")</f>
        <v/>
      </c>
      <c r="AB93">
        <f>HYPERLINK("https://klasma.github.io/Logging_0881/klagomålsmail/A 22097-2026 FSC-klagomål mail.docx", "A 22097-2026")</f>
        <v/>
      </c>
      <c r="AC93">
        <f>HYPERLINK("https://klasma.github.io/Logging_0881/tillsyn/A 22097-2026 tillsynsbegäran.docx", "A 22097-2026")</f>
        <v/>
      </c>
      <c r="AD93">
        <f>HYPERLINK("https://klasma.github.io/Logging_0881/tillsynsmail/A 22097-2026 tillsynsbegäran mail.docx", "A 22097-2026")</f>
        <v/>
      </c>
      <c r="AE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46237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Talltita</t>
        </is>
      </c>
      <c r="W94">
        <f>HYPERLINK("https://klasma.github.io/Logging_0881/artfynd/A 22089-2026 artfynd.xlsx", "A 22089-2026")</f>
        <v/>
      </c>
      <c r="X94">
        <f>HYPERLINK("https://klasma.github.io/Logging_0881/kartor/A 22089-2026 karta.png", "A 22089-2026")</f>
        <v/>
      </c>
      <c r="Y94">
        <f>HYPERLINK("https://klasma.github.io/Logging_0881/kartor_geotiff/A 22089-2026 georefererad karta.tif", "A 22089-2026")</f>
        <v/>
      </c>
      <c r="AA94">
        <f>HYPERLINK("https://klasma.github.io/Logging_0881/klagomål/A 22089-2026 FSC-klagomål.docx", "A 22089-2026")</f>
        <v/>
      </c>
      <c r="AB94">
        <f>HYPERLINK("https://klasma.github.io/Logging_0881/klagomålsmail/A 22089-2026 FSC-klagomål mail.docx", "A 22089-2026")</f>
        <v/>
      </c>
      <c r="AC94">
        <f>HYPERLINK("https://klasma.github.io/Logging_0881/tillsyn/A 22089-2026 tillsynsbegäran.docx", "A 22089-2026")</f>
        <v/>
      </c>
      <c r="AD94">
        <f>HYPERLINK("https://klasma.github.io/Logging_0881/tillsynsmail/A 22089-2026 tillsynsbegäran mail.docx", "A 22089-2026")</f>
        <v/>
      </c>
      <c r="AE94">
        <f>HYPERLINK("https://klasma.github.io/Logging_0881/fåglar/A 22089-2026 prioriterade fågelarter.docx", "A 22089-2026")</f>
        <v/>
      </c>
    </row>
    <row r="95" ht="15" customHeight="1">
      <c r="A95" t="inlineStr">
        <is>
          <t>A 22127-2026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46237</v>
      </c>
      <c r="F95" t="inlineStr">
        <is>
          <t>KALMAR LÄN</t>
        </is>
      </c>
      <c r="G95" t="inlineStr">
        <is>
          <t>NYBRO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HYPERLINK("https://klasma.github.io/Logging_0881/artfynd/A 22127-2026 artfynd.xlsx", "A 22127-2026")</f>
        <v/>
      </c>
      <c r="X95">
        <f>HYPERLINK("https://klasma.github.io/Logging_0881/kartor/A 22127-2026 karta.png", "A 22127-2026")</f>
        <v/>
      </c>
      <c r="Y95">
        <f>HYPERLINK("https://klasma.github.io/Logging_0881/kartor_geotiff/A 22127-2026 georefererad karta.tif", "A 22127-2026")</f>
        <v/>
      </c>
      <c r="AA95">
        <f>HYPERLINK("https://klasma.github.io/Logging_0881/klagomål/A 22127-2026 FSC-klagomål.docx", "A 22127-2026")</f>
        <v/>
      </c>
      <c r="AB95">
        <f>HYPERLINK("https://klasma.github.io/Logging_0881/klagomålsmail/A 22127-2026 FSC-klagomål mail.docx", "A 22127-2026")</f>
        <v/>
      </c>
      <c r="AC95">
        <f>HYPERLINK("https://klasma.github.io/Logging_0881/tillsyn/A 22127-2026 tillsynsbegäran.docx", "A 22127-2026")</f>
        <v/>
      </c>
      <c r="AD95">
        <f>HYPERLINK("https://klasma.github.io/Logging_0881/tillsynsmail/A 22127-2026 tillsynsbegäran mail.docx", "A 22127-2026")</f>
        <v/>
      </c>
      <c r="AE95">
        <f>HYPERLINK("https://klasma.github.io/Logging_0881/fåglar/A 22127-2026 prioriterade fågelarter.docx", "A 22127-2026")</f>
        <v/>
      </c>
    </row>
    <row r="96" ht="15" customHeight="1">
      <c r="A96" t="inlineStr">
        <is>
          <t>A 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44951</v>
      </c>
      <c r="E96" s="1" t="n">
        <v>46237</v>
      </c>
      <c r="F96" t="inlineStr">
        <is>
          <t>KALMAR LÄN</t>
        </is>
      </c>
      <c r="G96" t="inlineStr">
        <is>
          <t>NYBRO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HYPERLINK("https://klasma.github.io/Logging_0881/artfynd/A 3726-2023 artfynd.xlsx", "A 3726-2023")</f>
        <v/>
      </c>
      <c r="X96">
        <f>HYPERLINK("https://klasma.github.io/Logging_0881/kartor/A 3726-2023 karta.png", "A 3726-2023")</f>
        <v/>
      </c>
      <c r="Y96">
        <f>HYPERLINK("https://klasma.github.io/Logging_0881/kartor_geotiff/A 3726-2023 georefererad karta.tif", "A 3726-2023")</f>
        <v/>
      </c>
      <c r="AA96">
        <f>HYPERLINK("https://klasma.github.io/Logging_0881/klagomål/A 3726-2023 FSC-klagomål.docx", "A 3726-2023")</f>
        <v/>
      </c>
      <c r="AB96">
        <f>HYPERLINK("https://klasma.github.io/Logging_0881/klagomålsmail/A 3726-2023 FSC-klagomål mail.docx", "A 3726-2023")</f>
        <v/>
      </c>
      <c r="AC96">
        <f>HYPERLINK("https://klasma.github.io/Logging_0881/tillsyn/A 3726-2023 tillsynsbegäran.docx", "A 3726-2023")</f>
        <v/>
      </c>
      <c r="AD96">
        <f>HYPERLINK("https://klasma.github.io/Logging_0881/tillsynsmail/A 3726-2023 tillsynsbegäran mail.docx", "A 3726-2023")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46237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61617-2025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46237</v>
      </c>
      <c r="F98" t="inlineStr">
        <is>
          <t>KALMAR LÄN</t>
        </is>
      </c>
      <c r="G98" t="inlineStr">
        <is>
          <t>NYBRO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Orangefläckig brunbagge</t>
        </is>
      </c>
      <c r="W98">
        <f>HYPERLINK("https://klasma.github.io/Logging_0881/artfynd/A 61617-2025 artfynd.xlsx", "A 61617-2025")</f>
        <v/>
      </c>
      <c r="X98">
        <f>HYPERLINK("https://klasma.github.io/Logging_0881/kartor/A 61617-2025 karta.png", "A 61617-2025")</f>
        <v/>
      </c>
      <c r="Y98">
        <f>HYPERLINK("https://klasma.github.io/Logging_0881/kartor_geotiff/A 61617-2025 georefererad karta.tif", "A 61617-2025")</f>
        <v/>
      </c>
      <c r="AA98">
        <f>HYPERLINK("https://klasma.github.io/Logging_0881/klagomål/A 61617-2025 FSC-klagomål.docx", "A 61617-2025")</f>
        <v/>
      </c>
      <c r="AB98">
        <f>HYPERLINK("https://klasma.github.io/Logging_0881/klagomålsmail/A 61617-2025 FSC-klagomål mail.docx", "A 61617-2025")</f>
        <v/>
      </c>
      <c r="AC98">
        <f>HYPERLINK("https://klasma.github.io/Logging_0881/tillsyn/A 61617-2025 tillsynsbegäran.docx", "A 61617-2025")</f>
        <v/>
      </c>
      <c r="AD98">
        <f>HYPERLINK("https://klasma.github.io/Logging_0881/tillsynsmail/A 61617-2025 tillsynsbegäran mail.docx", "A 61617-2025")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46237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61809-2024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46237</v>
      </c>
      <c r="F100" t="inlineStr">
        <is>
          <t>KALMAR LÄN</t>
        </is>
      </c>
      <c r="G100" t="inlineStr">
        <is>
          <t>NYBRO</t>
        </is>
      </c>
      <c r="I100" t="n">
        <v>15.8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61809-2024 artfynd.xlsx", "A 61809-2024")</f>
        <v/>
      </c>
      <c r="X100">
        <f>HYPERLINK("https://klasma.github.io/Logging_0881/kartor/A 61809-2024 karta.png", "A 61809-2024")</f>
        <v/>
      </c>
      <c r="Y100">
        <f>HYPERLINK("https://klasma.github.io/Logging_0881/kartor_geotiff/A 61809-2024 georefererad karta.tif", "A 61809-2024")</f>
        <v/>
      </c>
      <c r="AA100">
        <f>HYPERLINK("https://klasma.github.io/Logging_0881/klagomål/A 61809-2024 FSC-klagomål.docx", "A 61809-2024")</f>
        <v/>
      </c>
      <c r="AB100">
        <f>HYPERLINK("https://klasma.github.io/Logging_0881/klagomålsmail/A 61809-2024 FSC-klagomål mail.docx", "A 61809-2024")</f>
        <v/>
      </c>
      <c r="AC100">
        <f>HYPERLINK("https://klasma.github.io/Logging_0881/tillsyn/A 61809-2024 tillsynsbegäran.docx", "A 61809-2024")</f>
        <v/>
      </c>
      <c r="AD100">
        <f>HYPERLINK("https://klasma.github.io/Logging_0881/tillsynsmail/A 61809-2024 tillsynsbegäran mail.docx", "A 61809-2024")</f>
        <v/>
      </c>
      <c r="AE100">
        <f>HYPERLINK("https://klasma.github.io/Logging_0881/fåglar/A 61809-2024 prioriterade fågelarter.docx", "A 61809-2024")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46237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46237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48980-2024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46237</v>
      </c>
      <c r="F103" t="inlineStr">
        <is>
          <t>KALMAR LÄN</t>
        </is>
      </c>
      <c r="G103" t="inlineStr">
        <is>
          <t>NYBRO</t>
        </is>
      </c>
      <c r="I103" t="n">
        <v>41.9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Hjärtstilla</t>
        </is>
      </c>
      <c r="W103">
        <f>HYPERLINK("https://klasma.github.io/Logging_0881/artfynd/A 48980-2024 artfynd.xlsx", "A 48980-2024")</f>
        <v/>
      </c>
      <c r="X103">
        <f>HYPERLINK("https://klasma.github.io/Logging_0881/kartor/A 48980-2024 karta.png", "A 48980-2024")</f>
        <v/>
      </c>
      <c r="Y103">
        <f>HYPERLINK("https://klasma.github.io/Logging_0881/kartor_geotiff/A 48980-2024 georefererad karta.tif", "A 48980-2024")</f>
        <v/>
      </c>
      <c r="AA103">
        <f>HYPERLINK("https://klasma.github.io/Logging_0881/klagomål/A 48980-2024 FSC-klagomål.docx", "A 48980-2024")</f>
        <v/>
      </c>
      <c r="AB103">
        <f>HYPERLINK("https://klasma.github.io/Logging_0881/klagomålsmail/A 48980-2024 FSC-klagomål mail.docx", "A 48980-2024")</f>
        <v/>
      </c>
      <c r="AC103">
        <f>HYPERLINK("https://klasma.github.io/Logging_0881/tillsyn/A 48980-2024 tillsynsbegäran.docx", "A 48980-2024")</f>
        <v/>
      </c>
      <c r="AD103">
        <f>HYPERLINK("https://klasma.github.io/Logging_0881/tillsynsmail/A 48980-2024 tillsynsbegäran mail.docx", "A 48980-2024")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46237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7038-2026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46237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flatbagge</t>
        </is>
      </c>
      <c r="W105">
        <f>HYPERLINK("https://klasma.github.io/Logging_0881/artfynd/A 7038-2026 artfynd.xlsx", "A 7038-2026")</f>
        <v/>
      </c>
      <c r="X105">
        <f>HYPERLINK("https://klasma.github.io/Logging_0881/kartor/A 7038-2026 karta.png", "A 7038-2026")</f>
        <v/>
      </c>
      <c r="Y105">
        <f>HYPERLINK("https://klasma.github.io/Logging_0881/kartor_geotiff/A 7038-2026 georefererad karta.tif", "A 7038-2026")</f>
        <v/>
      </c>
      <c r="AA105">
        <f>HYPERLINK("https://klasma.github.io/Logging_0881/klagomål/A 7038-2026 FSC-klagomål.docx", "A 7038-2026")</f>
        <v/>
      </c>
      <c r="AB105">
        <f>HYPERLINK("https://klasma.github.io/Logging_0881/klagomålsmail/A 7038-2026 FSC-klagomål mail.docx", "A 7038-2026")</f>
        <v/>
      </c>
      <c r="AC105">
        <f>HYPERLINK("https://klasma.github.io/Logging_0881/tillsyn/A 7038-2026 tillsynsbegäran.docx", "A 7038-2026")</f>
        <v/>
      </c>
      <c r="AD105">
        <f>HYPERLINK("https://klasma.github.io/Logging_0881/tillsynsmail/A 7038-2026 tillsynsbegäran mail.docx", "A 7038-2026")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46237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31861-2023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46237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Ask</t>
        </is>
      </c>
      <c r="W107">
        <f>HYPERLINK("https://klasma.github.io/Logging_0881/artfynd/A 31861-2023 artfynd.xlsx", "A 31861-2023")</f>
        <v/>
      </c>
      <c r="X107">
        <f>HYPERLINK("https://klasma.github.io/Logging_0881/kartor/A 31861-2023 karta.png", "A 31861-2023")</f>
        <v/>
      </c>
      <c r="Y107">
        <f>HYPERLINK("https://klasma.github.io/Logging_0881/kartor_geotiff/A 31861-2023 georefererad karta.tif", "A 31861-2023")</f>
        <v/>
      </c>
      <c r="AA107">
        <f>HYPERLINK("https://klasma.github.io/Logging_0881/klagomål/A 31861-2023 FSC-klagomål.docx", "A 31861-2023")</f>
        <v/>
      </c>
      <c r="AB107">
        <f>HYPERLINK("https://klasma.github.io/Logging_0881/klagomålsmail/A 31861-2023 FSC-klagomål mail.docx", "A 31861-2023")</f>
        <v/>
      </c>
      <c r="AC107">
        <f>HYPERLINK("https://klasma.github.io/Logging_0881/tillsyn/A 31861-2023 tillsynsbegäran.docx", "A 31861-2023")</f>
        <v/>
      </c>
      <c r="AD107">
        <f>HYPERLINK("https://klasma.github.io/Logging_0881/tillsynsmail/A 31861-2023 tillsynsbegäran mail.docx", "A 31861-2023")</f>
        <v/>
      </c>
    </row>
    <row r="108" ht="15" customHeight="1">
      <c r="A108" t="inlineStr">
        <is>
          <t>A 64315-2023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45279</v>
      </c>
      <c r="E108" s="1" t="n">
        <v>46237</v>
      </c>
      <c r="F108" t="inlineStr">
        <is>
          <t>KALMAR LÄN</t>
        </is>
      </c>
      <c r="G108" t="inlineStr">
        <is>
          <t>NYBRO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HYPERLINK("https://klasma.github.io/Logging_0881/artfynd/A 64315-2023 artfynd.xlsx", "A 64315-2023")</f>
        <v/>
      </c>
      <c r="X108">
        <f>HYPERLINK("https://klasma.github.io/Logging_0881/kartor/A 64315-2023 karta.png", "A 64315-2023")</f>
        <v/>
      </c>
      <c r="Y108">
        <f>HYPERLINK("https://klasma.github.io/Logging_0881/kartor_geotiff/A 64315-2023 georefererad karta.tif", "A 64315-2023")</f>
        <v/>
      </c>
      <c r="AA108">
        <f>HYPERLINK("https://klasma.github.io/Logging_0881/klagomål/A 64315-2023 FSC-klagomål.docx", "A 64315-2023")</f>
        <v/>
      </c>
      <c r="AB108">
        <f>HYPERLINK("https://klasma.github.io/Logging_0881/klagomålsmail/A 64315-2023 FSC-klagomål mail.docx", "A 64315-2023")</f>
        <v/>
      </c>
      <c r="AC108">
        <f>HYPERLINK("https://klasma.github.io/Logging_0881/tillsyn/A 64315-2023 tillsynsbegäran.docx", "A 64315-2023")</f>
        <v/>
      </c>
      <c r="AD108">
        <f>HYPERLINK("https://klasma.github.io/Logging_0881/tillsynsmail/A 64315-2023 tillsynsbegäran mail.docx", "A 64315-2023")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46237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13690-2022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46237</v>
      </c>
      <c r="F110" t="inlineStr">
        <is>
          <t>KALMAR LÄN</t>
        </is>
      </c>
      <c r="G110" t="inlineStr">
        <is>
          <t>NYBRO</t>
        </is>
      </c>
      <c r="H110" t="inlineStr">
        <is>
          <t>Kommuner</t>
        </is>
      </c>
      <c r="I110" t="n">
        <v>8.300000000000001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7</v>
      </c>
      <c r="U110" t="n">
        <v>7</v>
      </c>
      <c r="V110" s="2" t="inlineStr">
        <is>
          <t>Knärot</t>
        </is>
      </c>
      <c r="W110">
        <f>HYPERLINK("https://klasma.github.io/Logging_0881/artfynd/A 13690-2022 artfynd.xlsx", "A 13690-2022")</f>
        <v/>
      </c>
      <c r="X110">
        <f>HYPERLINK("https://klasma.github.io/Logging_0881/kartor/A 13690-2022 karta.png", "A 13690-2022")</f>
        <v/>
      </c>
      <c r="Y110">
        <f>HYPERLINK("https://klasma.github.io/Logging_0881/kartor_geotiff/A 13690-2022 georefererad karta.tif", "A 13690-2022")</f>
        <v/>
      </c>
      <c r="Z110">
        <f>HYPERLINK("https://klasma.github.io/Logging_0881/knärot/A 13690-2022 karta knärot.png", "A 13690-2022")</f>
        <v/>
      </c>
      <c r="AA110">
        <f>HYPERLINK("https://klasma.github.io/Logging_0881/klagomål/A 13690-2022 FSC-klagomål.docx", "A 13690-2022")</f>
        <v/>
      </c>
      <c r="AB110">
        <f>HYPERLINK("https://klasma.github.io/Logging_0881/klagomålsmail/A 13690-2022 FSC-klagomål mail.docx", "A 13690-2022")</f>
        <v/>
      </c>
      <c r="AC110">
        <f>HYPERLINK("https://klasma.github.io/Logging_0881/tillsyn/A 13690-2022 tillsynsbegäran.docx", "A 13690-2022")</f>
        <v/>
      </c>
      <c r="AD110">
        <f>HYPERLINK("https://klasma.github.io/Logging_0881/tillsynsmail/A 13690-2022 tillsynsbegäran mail.docx", "A 13690-2022")</f>
        <v/>
      </c>
    </row>
    <row r="111" ht="15" customHeight="1">
      <c r="A111" t="inlineStr">
        <is>
          <t>A 13412-2026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46237</v>
      </c>
      <c r="F111" t="inlineStr">
        <is>
          <t>KALMAR LÄN</t>
        </is>
      </c>
      <c r="G111" t="inlineStr">
        <is>
          <t>NYBRO</t>
        </is>
      </c>
      <c r="I111" t="n">
        <v>3.2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HYPERLINK("https://klasma.github.io/Logging_0881/artfynd/A 13412-2026 artfynd.xlsx", "A 13412-2026")</f>
        <v/>
      </c>
      <c r="X111">
        <f>HYPERLINK("https://klasma.github.io/Logging_0881/kartor/A 13412-2026 karta.png", "A 13412-2026")</f>
        <v/>
      </c>
      <c r="Y111">
        <f>HYPERLINK("https://klasma.github.io/Logging_0881/kartor_geotiff/A 13412-2026 georefererad karta.tif", "A 13412-2026")</f>
        <v/>
      </c>
      <c r="AA111">
        <f>HYPERLINK("https://klasma.github.io/Logging_0881/klagomål/A 13412-2026 FSC-klagomål.docx", "A 13412-2026")</f>
        <v/>
      </c>
      <c r="AB111">
        <f>HYPERLINK("https://klasma.github.io/Logging_0881/klagomålsmail/A 13412-2026 FSC-klagomål mail.docx", "A 13412-2026")</f>
        <v/>
      </c>
      <c r="AC111">
        <f>HYPERLINK("https://klasma.github.io/Logging_0881/tillsyn/A 13412-2026 tillsynsbegäran.docx", "A 13412-2026")</f>
        <v/>
      </c>
      <c r="AD111">
        <f>HYPERLINK("https://klasma.github.io/Logging_0881/tillsynsmail/A 13412-2026 tillsynsbegäran mail.docx", "A 13412-2026")</f>
        <v/>
      </c>
    </row>
    <row r="112" ht="15" customHeight="1">
      <c r="A112" t="inlineStr">
        <is>
          <t>A 16161-2026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46237</v>
      </c>
      <c r="F112" t="inlineStr">
        <is>
          <t>KALMAR LÄN</t>
        </is>
      </c>
      <c r="G112" t="inlineStr">
        <is>
          <t>NYBRO</t>
        </is>
      </c>
      <c r="I112" t="n">
        <v>6.1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Mosippa</t>
        </is>
      </c>
      <c r="W112">
        <f>HYPERLINK("https://klasma.github.io/Logging_0881/artfynd/A 16161-2026 artfynd.xlsx", "A 16161-2026")</f>
        <v/>
      </c>
      <c r="X112">
        <f>HYPERLINK("https://klasma.github.io/Logging_0881/kartor/A 16161-2026 karta.png", "A 16161-2026")</f>
        <v/>
      </c>
      <c r="Y112">
        <f>HYPERLINK("https://klasma.github.io/Logging_0881/kartor_geotiff/A 16161-2026 georefererad karta.tif", "A 16161-2026")</f>
        <v/>
      </c>
      <c r="AA112">
        <f>HYPERLINK("https://klasma.github.io/Logging_0881/klagomål/A 16161-2026 FSC-klagomål.docx", "A 16161-2026")</f>
        <v/>
      </c>
      <c r="AB112">
        <f>HYPERLINK("https://klasma.github.io/Logging_0881/klagomålsmail/A 16161-2026 FSC-klagomål mail.docx", "A 16161-2026")</f>
        <v/>
      </c>
      <c r="AC112">
        <f>HYPERLINK("https://klasma.github.io/Logging_0881/tillsyn/A 16161-2026 tillsynsbegäran.docx", "A 16161-2026")</f>
        <v/>
      </c>
      <c r="AD112">
        <f>HYPERLINK("https://klasma.github.io/Logging_0881/tillsynsmail/A 16161-2026 tillsynsbegäran mail.docx", "A 16161-2026")</f>
        <v/>
      </c>
    </row>
    <row r="113" ht="15" customHeight="1">
      <c r="A113" t="inlineStr">
        <is>
          <t>A 37621-2024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46237</v>
      </c>
      <c r="F113" t="inlineStr">
        <is>
          <t>KALMAR LÄN</t>
        </is>
      </c>
      <c r="G113" t="inlineStr">
        <is>
          <t>NYBRO</t>
        </is>
      </c>
      <c r="I113" t="n">
        <v>4.1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Blåmossa</t>
        </is>
      </c>
      <c r="W113">
        <f>HYPERLINK("https://klasma.github.io/Logging_0881/artfynd/A 37621-2024 artfynd.xlsx", "A 37621-2024")</f>
        <v/>
      </c>
      <c r="X113">
        <f>HYPERLINK("https://klasma.github.io/Logging_0881/kartor/A 37621-2024 karta.png", "A 37621-2024")</f>
        <v/>
      </c>
      <c r="Y113">
        <f>HYPERLINK("https://klasma.github.io/Logging_0881/kartor_geotiff/A 37621-2024 georefererad karta.tif", "A 37621-2024")</f>
        <v/>
      </c>
      <c r="AA113">
        <f>HYPERLINK("https://klasma.github.io/Logging_0881/klagomål/A 37621-2024 FSC-klagomål.docx", "A 37621-2024")</f>
        <v/>
      </c>
      <c r="AB113">
        <f>HYPERLINK("https://klasma.github.io/Logging_0881/klagomålsmail/A 37621-2024 FSC-klagomål mail.docx", "A 37621-2024")</f>
        <v/>
      </c>
      <c r="AC113">
        <f>HYPERLINK("https://klasma.github.io/Logging_0881/tillsyn/A 37621-2024 tillsynsbegäran.docx", "A 37621-2024")</f>
        <v/>
      </c>
      <c r="AD113">
        <f>HYPERLINK("https://klasma.github.io/Logging_0881/tillsynsmail/A 37621-2024 tillsynsbegäran mail.docx", "A 37621-2024")</f>
        <v/>
      </c>
    </row>
    <row r="114" ht="15" customHeight="1">
      <c r="A114" t="inlineStr">
        <is>
          <t>A 16715-2025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46237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Större brunfladdermus</t>
        </is>
      </c>
      <c r="W114">
        <f>HYPERLINK("https://klasma.github.io/Logging_0881/artfynd/A 16715-2025 artfynd.xlsx", "A 16715-2025")</f>
        <v/>
      </c>
      <c r="X114">
        <f>HYPERLINK("https://klasma.github.io/Logging_0881/kartor/A 16715-2025 karta.png", "A 16715-2025")</f>
        <v/>
      </c>
      <c r="Y114">
        <f>HYPERLINK("https://klasma.github.io/Logging_0881/kartor_geotiff/A 16715-2025 georefererad karta.tif", "A 16715-2025")</f>
        <v/>
      </c>
      <c r="AA114">
        <f>HYPERLINK("https://klasma.github.io/Logging_0881/klagomål/A 16715-2025 FSC-klagomål.docx", "A 16715-2025")</f>
        <v/>
      </c>
      <c r="AB114">
        <f>HYPERLINK("https://klasma.github.io/Logging_0881/klagomålsmail/A 16715-2025 FSC-klagomål mail.docx", "A 16715-2025")</f>
        <v/>
      </c>
      <c r="AC114">
        <f>HYPERLINK("https://klasma.github.io/Logging_0881/tillsyn/A 16715-2025 tillsynsbegäran.docx", "A 16715-2025")</f>
        <v/>
      </c>
      <c r="AD114">
        <f>HYPERLINK("https://klasma.github.io/Logging_0881/tillsynsmail/A 16715-2025 tillsynsbegäran mail.docx", "A 16715-2025")</f>
        <v/>
      </c>
    </row>
    <row r="115" ht="15" customHeight="1">
      <c r="A115" t="inlineStr">
        <is>
          <t>A 18402-2026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46126</v>
      </c>
      <c r="E115" s="1" t="n">
        <v>46237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13.2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18402-2026 artfynd.xlsx", "A 18402-2026")</f>
        <v/>
      </c>
      <c r="X115">
        <f>HYPERLINK("https://klasma.github.io/Logging_0881/kartor/A 18402-2026 karta.png", "A 18402-2026")</f>
        <v/>
      </c>
      <c r="Y115">
        <f>HYPERLINK("https://klasma.github.io/Logging_0881/kartor_geotiff/A 18402-2026 georefererad karta.tif", "A 18402-2026")</f>
        <v/>
      </c>
      <c r="AA115">
        <f>HYPERLINK("https://klasma.github.io/Logging_0881/klagomål/A 18402-2026 FSC-klagomål.docx", "A 18402-2026")</f>
        <v/>
      </c>
      <c r="AB115">
        <f>HYPERLINK("https://klasma.github.io/Logging_0881/klagomålsmail/A 18402-2026 FSC-klagomål mail.docx", "A 18402-2026")</f>
        <v/>
      </c>
      <c r="AC115">
        <f>HYPERLINK("https://klasma.github.io/Logging_0881/tillsyn/A 18402-2026 tillsynsbegäran.docx", "A 18402-2026")</f>
        <v/>
      </c>
      <c r="AD115">
        <f>HYPERLINK("https://klasma.github.io/Logging_0881/tillsynsmail/A 18402-2026 tillsynsbegäran mail.docx", "A 18402-2026")</f>
        <v/>
      </c>
      <c r="AE115">
        <f>HYPERLINK("https://klasma.github.io/Logging_0881/fåglar/A 18402-2026 prioriterade fågelarter.docx", "A 18402-2026")</f>
        <v/>
      </c>
    </row>
    <row r="116" ht="15" customHeight="1">
      <c r="A116" t="inlineStr">
        <is>
          <t>A 60036-2022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46237</v>
      </c>
      <c r="F116" t="inlineStr">
        <is>
          <t>KALMAR LÄN</t>
        </is>
      </c>
      <c r="G116" t="inlineStr">
        <is>
          <t>NYBRO</t>
        </is>
      </c>
      <c r="I116" t="n">
        <v>8.699999999999999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13</v>
      </c>
      <c r="U116" t="n">
        <v>0</v>
      </c>
      <c r="V116" s="2" t="inlineStr">
        <is>
          <t>Knärot</t>
        </is>
      </c>
      <c r="W116">
        <f>HYPERLINK("https://klasma.github.io/Logging_0881/artfynd/A 60036-2022 artfynd.xlsx", "A 60036-2022")</f>
        <v/>
      </c>
      <c r="X116">
        <f>HYPERLINK("https://klasma.github.io/Logging_0881/kartor/A 60036-2022 karta.png", "A 60036-2022")</f>
        <v/>
      </c>
      <c r="Y116">
        <f>HYPERLINK("https://klasma.github.io/Logging_0881/kartor_geotiff/A 60036-2022 georefererad karta.tif", "A 60036-2022")</f>
        <v/>
      </c>
      <c r="Z116">
        <f>HYPERLINK("https://klasma.github.io/Logging_0881/knärot/A 60036-2022 karta knärot.png", "A 60036-2022")</f>
        <v/>
      </c>
      <c r="AA116">
        <f>HYPERLINK("https://klasma.github.io/Logging_0881/klagomål/A 60036-2022 FSC-klagomål.docx", "A 60036-2022")</f>
        <v/>
      </c>
      <c r="AB116">
        <f>HYPERLINK("https://klasma.github.io/Logging_0881/klagomålsmail/A 60036-2022 FSC-klagomål mail.docx", "A 60036-2022")</f>
        <v/>
      </c>
      <c r="AC116">
        <f>HYPERLINK("https://klasma.github.io/Logging_0881/tillsyn/A 60036-2022 tillsynsbegäran.docx", "A 60036-2022")</f>
        <v/>
      </c>
      <c r="AD116">
        <f>HYPERLINK("https://klasma.github.io/Logging_0881/tillsynsmail/A 60036-2022 tillsynsbegäran mail.docx", "A 60036-2022")</f>
        <v/>
      </c>
    </row>
    <row r="117" ht="15" customHeight="1">
      <c r="A117" t="inlineStr">
        <is>
          <t>A 38798-2024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46237</v>
      </c>
      <c r="F117" t="inlineStr">
        <is>
          <t>KALMAR LÄN</t>
        </is>
      </c>
      <c r="G117" t="inlineStr">
        <is>
          <t>NYBRO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Nattskärra</t>
        </is>
      </c>
      <c r="W117">
        <f>HYPERLINK("https://klasma.github.io/Logging_0881/artfynd/A 38798-2024 artfynd.xlsx", "A 38798-2024")</f>
        <v/>
      </c>
      <c r="X117">
        <f>HYPERLINK("https://klasma.github.io/Logging_0881/kartor/A 38798-2024 karta.png", "A 38798-2024")</f>
        <v/>
      </c>
      <c r="Y117">
        <f>HYPERLINK("https://klasma.github.io/Logging_0881/kartor_geotiff/A 38798-2024 georefererad karta.tif", "A 38798-2024")</f>
        <v/>
      </c>
      <c r="AA117">
        <f>HYPERLINK("https://klasma.github.io/Logging_0881/klagomål/A 38798-2024 FSC-klagomål.docx", "A 38798-2024")</f>
        <v/>
      </c>
      <c r="AB117">
        <f>HYPERLINK("https://klasma.github.io/Logging_0881/klagomålsmail/A 38798-2024 FSC-klagomål mail.docx", "A 38798-2024")</f>
        <v/>
      </c>
      <c r="AC117">
        <f>HYPERLINK("https://klasma.github.io/Logging_0881/tillsyn/A 38798-2024 tillsynsbegäran.docx", "A 38798-2024")</f>
        <v/>
      </c>
      <c r="AD117">
        <f>HYPERLINK("https://klasma.github.io/Logging_0881/tillsynsmail/A 38798-2024 tillsynsbegäran mail.docx", "A 38798-2024")</f>
        <v/>
      </c>
      <c r="AE117">
        <f>HYPERLINK("https://klasma.github.io/Logging_0881/fåglar/A 38798-2024 prioriterade fågelarter.docx", "A 38798-2024")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46237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46237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6061-2025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46237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Purpurknipprot</t>
        </is>
      </c>
      <c r="W120">
        <f>HYPERLINK("https://klasma.github.io/Logging_0881/artfynd/A 6061-2025 artfynd.xlsx", "A 6061-2025")</f>
        <v/>
      </c>
      <c r="X120">
        <f>HYPERLINK("https://klasma.github.io/Logging_0881/kartor/A 6061-2025 karta.png", "A 6061-2025")</f>
        <v/>
      </c>
      <c r="Y120">
        <f>HYPERLINK("https://klasma.github.io/Logging_0881/kartor_geotiff/A 6061-2025 georefererad karta.tif", "A 6061-2025")</f>
        <v/>
      </c>
      <c r="AA120">
        <f>HYPERLINK("https://klasma.github.io/Logging_0881/klagomål/A 6061-2025 FSC-klagomål.docx", "A 6061-2025")</f>
        <v/>
      </c>
      <c r="AB120">
        <f>HYPERLINK("https://klasma.github.io/Logging_0881/klagomålsmail/A 6061-2025 FSC-klagomål mail.docx", "A 6061-2025")</f>
        <v/>
      </c>
      <c r="AC120">
        <f>HYPERLINK("https://klasma.github.io/Logging_0881/tillsyn/A 6061-2025 tillsynsbegäran.docx", "A 6061-2025")</f>
        <v/>
      </c>
      <c r="AD120">
        <f>HYPERLINK("https://klasma.github.io/Logging_0881/tillsynsmail/A 6061-2025 tillsynsbegäran mail.docx", "A 6061-2025")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46237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46237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46237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46237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46237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46237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46237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46237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46237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46237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46237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46237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46237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46237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46237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46237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46237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46237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46237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46237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46237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46237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46237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46237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46237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46237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46237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46237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46237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46237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46237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46237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46237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46237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46237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46237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46237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46237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46237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46237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46237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46237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46237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46237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46237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46237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46237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46237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44449</v>
      </c>
      <c r="E169" s="1" t="n">
        <v>46237</v>
      </c>
      <c r="F169" t="inlineStr">
        <is>
          <t>KALMAR LÄN</t>
        </is>
      </c>
      <c r="G169" t="inlineStr">
        <is>
          <t>NYBRO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46237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73336-2021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46237</v>
      </c>
      <c r="F171" t="inlineStr">
        <is>
          <t>KALMAR LÄN</t>
        </is>
      </c>
      <c r="G171" t="inlineStr">
        <is>
          <t>NYBRO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46237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46237</v>
      </c>
      <c r="F173" t="inlineStr">
        <is>
          <t>KALMAR LÄN</t>
        </is>
      </c>
      <c r="G173" t="inlineStr">
        <is>
          <t>NYBRO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46237</v>
      </c>
      <c r="F174" t="inlineStr">
        <is>
          <t>KALMAR LÄN</t>
        </is>
      </c>
      <c r="G174" t="inlineStr">
        <is>
          <t>NYBRO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46237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46237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46237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46237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44418</v>
      </c>
      <c r="E179" s="1" t="n">
        <v>46237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46237</v>
      </c>
      <c r="F180" t="inlineStr">
        <is>
          <t>KALMAR LÄN</t>
        </is>
      </c>
      <c r="G180" t="inlineStr">
        <is>
          <t>NYBRO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46237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46237</v>
      </c>
      <c r="F182" t="inlineStr">
        <is>
          <t>KALMAR LÄN</t>
        </is>
      </c>
      <c r="G182" t="inlineStr">
        <is>
          <t>NYBRO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46237</v>
      </c>
      <c r="F183" t="inlineStr">
        <is>
          <t>KALMAR LÄN</t>
        </is>
      </c>
      <c r="G183" t="inlineStr">
        <is>
          <t>NYBRO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46237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46237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46237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44785</v>
      </c>
      <c r="E187" s="1" t="n">
        <v>46237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46237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44957</v>
      </c>
      <c r="E189" s="1" t="n">
        <v>46237</v>
      </c>
      <c r="F189" t="inlineStr">
        <is>
          <t>KALMAR LÄN</t>
        </is>
      </c>
      <c r="G189" t="inlineStr">
        <is>
          <t>NYBRO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46237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44634</v>
      </c>
      <c r="E191" s="1" t="n">
        <v>46237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11828-2022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44634</v>
      </c>
      <c r="E192" s="1" t="n">
        <v>46237</v>
      </c>
      <c r="F192" t="inlineStr">
        <is>
          <t>KALMAR LÄN</t>
        </is>
      </c>
      <c r="G192" t="inlineStr">
        <is>
          <t>NYBRO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44650</v>
      </c>
      <c r="E193" s="1" t="n">
        <v>46237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46237</v>
      </c>
      <c r="F194" t="inlineStr">
        <is>
          <t>KALMAR LÄN</t>
        </is>
      </c>
      <c r="G194" t="inlineStr">
        <is>
          <t>NYBRO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46237</v>
      </c>
      <c r="F195" t="inlineStr">
        <is>
          <t>KALMAR LÄN</t>
        </is>
      </c>
      <c r="G195" t="inlineStr">
        <is>
          <t>NYBRO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46237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44904</v>
      </c>
      <c r="E197" s="1" t="n">
        <v>46237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46237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46237</v>
      </c>
      <c r="F199" t="inlineStr">
        <is>
          <t>KALMAR LÄN</t>
        </is>
      </c>
      <c r="G199" t="inlineStr">
        <is>
          <t>NYBRO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68345-2021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44528</v>
      </c>
      <c r="E200" s="1" t="n">
        <v>46237</v>
      </c>
      <c r="F200" t="inlineStr">
        <is>
          <t>KALMAR LÄN</t>
        </is>
      </c>
      <c r="G200" t="inlineStr">
        <is>
          <t>NYBRO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46237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46237</v>
      </c>
      <c r="F202" t="inlineStr">
        <is>
          <t>KALMAR LÄN</t>
        </is>
      </c>
      <c r="G202" t="inlineStr">
        <is>
          <t>NYBRO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44526</v>
      </c>
      <c r="E203" s="1" t="n">
        <v>46237</v>
      </c>
      <c r="F203" t="inlineStr">
        <is>
          <t>KALMAR LÄN</t>
        </is>
      </c>
      <c r="G203" t="inlineStr">
        <is>
          <t>NYBRO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73297-2021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46237</v>
      </c>
      <c r="F204" t="inlineStr">
        <is>
          <t>KALMAR LÄN</t>
        </is>
      </c>
      <c r="G204" t="inlineStr">
        <is>
          <t>NYBRO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44870</v>
      </c>
      <c r="E205" s="1" t="n">
        <v>46237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46237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46237</v>
      </c>
      <c r="F207" t="inlineStr">
        <is>
          <t>KALMAR LÄN</t>
        </is>
      </c>
      <c r="G207" t="inlineStr">
        <is>
          <t>NYBRO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46237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46237</v>
      </c>
      <c r="F209" t="inlineStr">
        <is>
          <t>KALMAR LÄN</t>
        </is>
      </c>
      <c r="G209" t="inlineStr">
        <is>
          <t>NYBRO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46237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46237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46237</v>
      </c>
      <c r="F212" t="inlineStr">
        <is>
          <t>KALMAR LÄN</t>
        </is>
      </c>
      <c r="G212" t="inlineStr">
        <is>
          <t>NYBRO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45341</v>
      </c>
      <c r="E213" s="1" t="n">
        <v>46237</v>
      </c>
      <c r="F213" t="inlineStr">
        <is>
          <t>KALMAR LÄN</t>
        </is>
      </c>
      <c r="G213" t="inlineStr">
        <is>
          <t>NYBRO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44779-2023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45190</v>
      </c>
      <c r="E214" s="1" t="n">
        <v>46237</v>
      </c>
      <c r="F214" t="inlineStr">
        <is>
          <t>KALMAR LÄN</t>
        </is>
      </c>
      <c r="G214" t="inlineStr">
        <is>
          <t>NYBRO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46237</v>
      </c>
      <c r="F215" t="inlineStr">
        <is>
          <t>KALMAR LÄN</t>
        </is>
      </c>
      <c r="G215" t="inlineStr">
        <is>
          <t>NYBRO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46237</v>
      </c>
      <c r="F216" t="inlineStr">
        <is>
          <t>KALMAR LÄN</t>
        </is>
      </c>
      <c r="G216" t="inlineStr">
        <is>
          <t>NYBRO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46237</v>
      </c>
      <c r="F217" t="inlineStr">
        <is>
          <t>KALMAR LÄN</t>
        </is>
      </c>
      <c r="G217" t="inlineStr">
        <is>
          <t>NYBRO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46237</v>
      </c>
      <c r="F218" t="inlineStr">
        <is>
          <t>KALMAR LÄN</t>
        </is>
      </c>
      <c r="G218" t="inlineStr">
        <is>
          <t>NYBRO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46237</v>
      </c>
      <c r="F219" t="inlineStr">
        <is>
          <t>KALMAR LÄN</t>
        </is>
      </c>
      <c r="G219" t="inlineStr">
        <is>
          <t>NYBRO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45341</v>
      </c>
      <c r="E220" s="1" t="n">
        <v>46237</v>
      </c>
      <c r="F220" t="inlineStr">
        <is>
          <t>KALMAR LÄN</t>
        </is>
      </c>
      <c r="G220" t="inlineStr">
        <is>
          <t>NYBRO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46237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46237</v>
      </c>
      <c r="F222" t="inlineStr">
        <is>
          <t>KALMAR LÄN</t>
        </is>
      </c>
      <c r="G222" t="inlineStr">
        <is>
          <t>NYBRO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44933</v>
      </c>
      <c r="E223" s="1" t="n">
        <v>46237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44977</v>
      </c>
      <c r="E224" s="1" t="n">
        <v>46237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46237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46237</v>
      </c>
      <c r="F226" t="inlineStr">
        <is>
          <t>KALMAR LÄN</t>
        </is>
      </c>
      <c r="G226" t="inlineStr">
        <is>
          <t>NYBRO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46237</v>
      </c>
      <c r="F227" t="inlineStr">
        <is>
          <t>KALMAR LÄN</t>
        </is>
      </c>
      <c r="G227" t="inlineStr">
        <is>
          <t>NYBRO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46237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45729</v>
      </c>
      <c r="E229" s="1" t="n">
        <v>46237</v>
      </c>
      <c r="F229" t="inlineStr">
        <is>
          <t>KALMAR LÄN</t>
        </is>
      </c>
      <c r="G229" t="inlineStr">
        <is>
          <t>NYBRO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44915</v>
      </c>
      <c r="E230" s="1" t="n">
        <v>46237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46237</v>
      </c>
      <c r="F231" t="inlineStr">
        <is>
          <t>KALMAR LÄN</t>
        </is>
      </c>
      <c r="G231" t="inlineStr">
        <is>
          <t>NYBRO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44419</v>
      </c>
      <c r="E232" s="1" t="n">
        <v>46237</v>
      </c>
      <c r="F232" t="inlineStr">
        <is>
          <t>KALMAR LÄN</t>
        </is>
      </c>
      <c r="G232" t="inlineStr">
        <is>
          <t>NYBRO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46237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46237</v>
      </c>
      <c r="F234" t="inlineStr">
        <is>
          <t>KALMAR LÄN</t>
        </is>
      </c>
      <c r="G234" t="inlineStr">
        <is>
          <t>NYBRO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46237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46237</v>
      </c>
      <c r="F236" t="inlineStr">
        <is>
          <t>KALMAR LÄN</t>
        </is>
      </c>
      <c r="G236" t="inlineStr">
        <is>
          <t>NYBRO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46237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46237</v>
      </c>
      <c r="F238" t="inlineStr">
        <is>
          <t>KALMAR LÄN</t>
        </is>
      </c>
      <c r="G238" t="inlineStr">
        <is>
          <t>NYBRO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46237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46237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46237</v>
      </c>
      <c r="F241" t="inlineStr">
        <is>
          <t>KALMAR LÄN</t>
        </is>
      </c>
      <c r="G241" t="inlineStr">
        <is>
          <t>NYBRO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44755</v>
      </c>
      <c r="E242" s="1" t="n">
        <v>46237</v>
      </c>
      <c r="F242" t="inlineStr">
        <is>
          <t>KALMAR LÄN</t>
        </is>
      </c>
      <c r="G242" t="inlineStr">
        <is>
          <t>NYBRO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46237</v>
      </c>
      <c r="F243" t="inlineStr">
        <is>
          <t>KALMAR LÄN</t>
        </is>
      </c>
      <c r="G243" t="inlineStr">
        <is>
          <t>NYBRO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46237</v>
      </c>
      <c r="F244" t="inlineStr">
        <is>
          <t>KALMAR LÄN</t>
        </is>
      </c>
      <c r="G244" t="inlineStr">
        <is>
          <t>NYBRO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46237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46237</v>
      </c>
      <c r="F246" t="inlineStr">
        <is>
          <t>KALMAR LÄN</t>
        </is>
      </c>
      <c r="G246" t="inlineStr">
        <is>
          <t>NYBRO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46237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46237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45342</v>
      </c>
      <c r="E249" s="1" t="n">
        <v>46237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46237</v>
      </c>
      <c r="F250" t="inlineStr">
        <is>
          <t>KALMAR LÄN</t>
        </is>
      </c>
      <c r="G250" t="inlineStr">
        <is>
          <t>NYBRO</t>
        </is>
      </c>
      <c r="I250" t="n">
        <v>12.1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46237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44488</v>
      </c>
      <c r="E252" s="1" t="n">
        <v>46237</v>
      </c>
      <c r="F252" t="inlineStr">
        <is>
          <t>KALMAR LÄN</t>
        </is>
      </c>
      <c r="G252" t="inlineStr">
        <is>
          <t>NYBRO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45791</v>
      </c>
      <c r="E253" s="1" t="n">
        <v>46237</v>
      </c>
      <c r="F253" t="inlineStr">
        <is>
          <t>KALMAR LÄN</t>
        </is>
      </c>
      <c r="G253" t="inlineStr">
        <is>
          <t>NYBRO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46237</v>
      </c>
      <c r="F254" t="inlineStr">
        <is>
          <t>KALMAR LÄN</t>
        </is>
      </c>
      <c r="G254" t="inlineStr">
        <is>
          <t>NYBRO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44505</v>
      </c>
      <c r="E255" s="1" t="n">
        <v>46237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44497</v>
      </c>
      <c r="E256" s="1" t="n">
        <v>46237</v>
      </c>
      <c r="F256" t="inlineStr">
        <is>
          <t>KALMAR LÄN</t>
        </is>
      </c>
      <c r="G256" t="inlineStr">
        <is>
          <t>NYBRO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46237</v>
      </c>
      <c r="F257" t="inlineStr">
        <is>
          <t>KALMAR LÄN</t>
        </is>
      </c>
      <c r="G257" t="inlineStr">
        <is>
          <t>NYBRO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46237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46237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46237</v>
      </c>
      <c r="F260" t="inlineStr">
        <is>
          <t>KALMAR LÄN</t>
        </is>
      </c>
      <c r="G260" t="inlineStr">
        <is>
          <t>NYBRO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46237</v>
      </c>
      <c r="F261" t="inlineStr">
        <is>
          <t>KALMAR LÄN</t>
        </is>
      </c>
      <c r="G261" t="inlineStr">
        <is>
          <t>NYBRO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46237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46237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46237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46237</v>
      </c>
      <c r="F265" t="inlineStr">
        <is>
          <t>KALMAR LÄN</t>
        </is>
      </c>
      <c r="G265" t="inlineStr">
        <is>
          <t>NYBRO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46237</v>
      </c>
      <c r="F266" t="inlineStr">
        <is>
          <t>KALMAR LÄN</t>
        </is>
      </c>
      <c r="G266" t="inlineStr">
        <is>
          <t>NYBRO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46237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46237</v>
      </c>
      <c r="F268" t="inlineStr">
        <is>
          <t>KALMAR LÄN</t>
        </is>
      </c>
      <c r="G268" t="inlineStr">
        <is>
          <t>NYBRO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46237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46237</v>
      </c>
      <c r="F270" t="inlineStr">
        <is>
          <t>KALMAR LÄN</t>
        </is>
      </c>
      <c r="G270" t="inlineStr">
        <is>
          <t>NYBRO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46237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46237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46237</v>
      </c>
      <c r="F273" t="inlineStr">
        <is>
          <t>KALMAR LÄN</t>
        </is>
      </c>
      <c r="G273" t="inlineStr">
        <is>
          <t>NYBRO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46237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46237</v>
      </c>
      <c r="F275" t="inlineStr">
        <is>
          <t>KALMAR LÄN</t>
        </is>
      </c>
      <c r="G275" t="inlineStr">
        <is>
          <t>NYBRO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46237</v>
      </c>
      <c r="F276" t="inlineStr">
        <is>
          <t>KALMAR LÄN</t>
        </is>
      </c>
      <c r="G276" t="inlineStr">
        <is>
          <t>NYBRO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44982</v>
      </c>
      <c r="E277" s="1" t="n">
        <v>46237</v>
      </c>
      <c r="F277" t="inlineStr">
        <is>
          <t>KALMAR LÄN</t>
        </is>
      </c>
      <c r="G277" t="inlineStr">
        <is>
          <t>NYBRO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45376</v>
      </c>
      <c r="E278" s="1" t="n">
        <v>46237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21388-2024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45440</v>
      </c>
      <c r="E279" s="1" t="n">
        <v>46237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46237</v>
      </c>
      <c r="F280" t="inlineStr">
        <is>
          <t>KALMAR LÄN</t>
        </is>
      </c>
      <c r="G280" t="inlineStr">
        <is>
          <t>NYBRO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46237</v>
      </c>
      <c r="F281" t="inlineStr">
        <is>
          <t>KALMAR LÄN</t>
        </is>
      </c>
      <c r="G281" t="inlineStr">
        <is>
          <t>NYBRO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51081-2022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44868</v>
      </c>
      <c r="E282" s="1" t="n">
        <v>46237</v>
      </c>
      <c r="F282" t="inlineStr">
        <is>
          <t>KALMAR LÄN</t>
        </is>
      </c>
      <c r="G282" t="inlineStr">
        <is>
          <t>NYBRO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45385</v>
      </c>
      <c r="E283" s="1" t="n">
        <v>46237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45056</v>
      </c>
      <c r="E284" s="1" t="n">
        <v>46237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46237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46237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46237</v>
      </c>
      <c r="F287" t="inlineStr">
        <is>
          <t>KALMAR LÄN</t>
        </is>
      </c>
      <c r="G287" t="inlineStr">
        <is>
          <t>NYBRO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46237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46237</v>
      </c>
      <c r="F289" t="inlineStr">
        <is>
          <t>KALMAR LÄN</t>
        </is>
      </c>
      <c r="G289" t="inlineStr">
        <is>
          <t>NYBRO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46237</v>
      </c>
      <c r="F290" t="inlineStr">
        <is>
          <t>KALMAR LÄN</t>
        </is>
      </c>
      <c r="G290" t="inlineStr">
        <is>
          <t>NYBRO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46237</v>
      </c>
      <c r="F291" t="inlineStr">
        <is>
          <t>KALMAR LÄN</t>
        </is>
      </c>
      <c r="G291" t="inlineStr">
        <is>
          <t>NYBRO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45606</v>
      </c>
      <c r="E292" s="1" t="n">
        <v>46237</v>
      </c>
      <c r="F292" t="inlineStr">
        <is>
          <t>KALMAR LÄN</t>
        </is>
      </c>
      <c r="G292" t="inlineStr">
        <is>
          <t>NYBRO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46237</v>
      </c>
      <c r="F293" t="inlineStr">
        <is>
          <t>KALMAR LÄN</t>
        </is>
      </c>
      <c r="G293" t="inlineStr">
        <is>
          <t>NYBRO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46237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46237</v>
      </c>
      <c r="F295" t="inlineStr">
        <is>
          <t>KALMAR LÄN</t>
        </is>
      </c>
      <c r="G295" t="inlineStr">
        <is>
          <t>NYBRO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46237</v>
      </c>
      <c r="F296" t="inlineStr">
        <is>
          <t>KALMAR LÄN</t>
        </is>
      </c>
      <c r="G296" t="inlineStr">
        <is>
          <t>NYBRO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46237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46237</v>
      </c>
      <c r="F298" t="inlineStr">
        <is>
          <t>KALMAR LÄN</t>
        </is>
      </c>
      <c r="G298" t="inlineStr">
        <is>
          <t>NYBRO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46237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72166-2021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44544</v>
      </c>
      <c r="E300" s="1" t="n">
        <v>46237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46237</v>
      </c>
      <c r="F301" t="inlineStr">
        <is>
          <t>KALMAR LÄN</t>
        </is>
      </c>
      <c r="G301" t="inlineStr">
        <is>
          <t>NYBRO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46237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44395-2022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44839</v>
      </c>
      <c r="E303" s="1" t="n">
        <v>46237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19244-2022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44692</v>
      </c>
      <c r="E304" s="1" t="n">
        <v>46237</v>
      </c>
      <c r="F304" t="inlineStr">
        <is>
          <t>KALMAR LÄN</t>
        </is>
      </c>
      <c r="G304" t="inlineStr">
        <is>
          <t>NYBRO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46237</v>
      </c>
      <c r="F305" t="inlineStr">
        <is>
          <t>KALMAR LÄN</t>
        </is>
      </c>
      <c r="G305" t="inlineStr">
        <is>
          <t>NYBRO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46237</v>
      </c>
      <c r="F306" t="inlineStr">
        <is>
          <t>KALMAR LÄN</t>
        </is>
      </c>
      <c r="G306" t="inlineStr">
        <is>
          <t>NYBRO</t>
        </is>
      </c>
      <c r="H306" t="inlineStr">
        <is>
          <t>Kyrkan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46237</v>
      </c>
      <c r="F307" t="inlineStr">
        <is>
          <t>KALMAR LÄN</t>
        </is>
      </c>
      <c r="G307" t="inlineStr">
        <is>
          <t>NYBRO</t>
        </is>
      </c>
      <c r="H307" t="inlineStr">
        <is>
          <t>Kyrkan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46237</v>
      </c>
      <c r="F308" t="inlineStr">
        <is>
          <t>KALMAR LÄN</t>
        </is>
      </c>
      <c r="G308" t="inlineStr">
        <is>
          <t>NYBRO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46237</v>
      </c>
      <c r="F309" t="inlineStr">
        <is>
          <t>KALMAR LÄN</t>
        </is>
      </c>
      <c r="G309" t="inlineStr">
        <is>
          <t>NYBRO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46237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46237</v>
      </c>
      <c r="F311" t="inlineStr">
        <is>
          <t>KALMAR LÄN</t>
        </is>
      </c>
      <c r="G311" t="inlineStr">
        <is>
          <t>NYBRO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46237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46237</v>
      </c>
      <c r="F313" t="inlineStr">
        <is>
          <t>KALMAR LÄN</t>
        </is>
      </c>
      <c r="G313" t="inlineStr">
        <is>
          <t>NYBRO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46237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19457-2025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46237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46237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46237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46237</v>
      </c>
      <c r="F318" t="inlineStr">
        <is>
          <t>KALMAR LÄN</t>
        </is>
      </c>
      <c r="G318" t="inlineStr">
        <is>
          <t>NYBRO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45145</v>
      </c>
      <c r="E319" s="1" t="n">
        <v>46237</v>
      </c>
      <c r="F319" t="inlineStr">
        <is>
          <t>KALMAR LÄN</t>
        </is>
      </c>
      <c r="G319" t="inlineStr">
        <is>
          <t>NYBRO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46237</v>
      </c>
      <c r="F320" t="inlineStr">
        <is>
          <t>KALMAR LÄN</t>
        </is>
      </c>
      <c r="G320" t="inlineStr">
        <is>
          <t>NYBRO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46237</v>
      </c>
      <c r="F321" t="inlineStr">
        <is>
          <t>KALMAR LÄN</t>
        </is>
      </c>
      <c r="G321" t="inlineStr">
        <is>
          <t>NYBRO</t>
        </is>
      </c>
      <c r="I321" t="n">
        <v>16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44593</v>
      </c>
      <c r="E322" s="1" t="n">
        <v>46237</v>
      </c>
      <c r="F322" t="inlineStr">
        <is>
          <t>KALMAR LÄN</t>
        </is>
      </c>
      <c r="G322" t="inlineStr">
        <is>
          <t>NYBRO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45852</v>
      </c>
      <c r="E323" s="1" t="n">
        <v>46237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46237</v>
      </c>
      <c r="F324" t="inlineStr">
        <is>
          <t>KALMAR LÄN</t>
        </is>
      </c>
      <c r="G324" t="inlineStr">
        <is>
          <t>NYBRO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45335</v>
      </c>
      <c r="E325" s="1" t="n">
        <v>46237</v>
      </c>
      <c r="F325" t="inlineStr">
        <is>
          <t>KALMAR LÄN</t>
        </is>
      </c>
      <c r="G325" t="inlineStr">
        <is>
          <t>NYBRO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46237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46237</v>
      </c>
      <c r="F327" t="inlineStr">
        <is>
          <t>KALMAR LÄN</t>
        </is>
      </c>
      <c r="G327" t="inlineStr">
        <is>
          <t>NYBRO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46237</v>
      </c>
      <c r="F328" t="inlineStr">
        <is>
          <t>KALMAR LÄN</t>
        </is>
      </c>
      <c r="G328" t="inlineStr">
        <is>
          <t>NYBRO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46237</v>
      </c>
      <c r="F329" t="inlineStr">
        <is>
          <t>KALMAR LÄN</t>
        </is>
      </c>
      <c r="G329" t="inlineStr">
        <is>
          <t>NYBRO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46237</v>
      </c>
      <c r="F330" t="inlineStr">
        <is>
          <t>KALMAR LÄN</t>
        </is>
      </c>
      <c r="G330" t="inlineStr">
        <is>
          <t>NYBRO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46237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46237</v>
      </c>
      <c r="F332" t="inlineStr">
        <is>
          <t>KALMAR LÄN</t>
        </is>
      </c>
      <c r="G332" t="inlineStr">
        <is>
          <t>NYBRO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46237</v>
      </c>
      <c r="F333" t="inlineStr">
        <is>
          <t>KALMAR LÄN</t>
        </is>
      </c>
      <c r="G333" t="inlineStr">
        <is>
          <t>NYBRO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46237</v>
      </c>
      <c r="F334" t="inlineStr">
        <is>
          <t>KALMAR LÄN</t>
        </is>
      </c>
      <c r="G334" t="inlineStr">
        <is>
          <t>NYBRO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45372</v>
      </c>
      <c r="E335" s="1" t="n">
        <v>46237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46237</v>
      </c>
      <c r="F336" t="inlineStr">
        <is>
          <t>KALMAR LÄN</t>
        </is>
      </c>
      <c r="G336" t="inlineStr">
        <is>
          <t>NYBRO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46237</v>
      </c>
      <c r="F337" t="inlineStr">
        <is>
          <t>KALMAR LÄN</t>
        </is>
      </c>
      <c r="G337" t="inlineStr">
        <is>
          <t>NYBRO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46237</v>
      </c>
      <c r="F338" t="inlineStr">
        <is>
          <t>KALMAR LÄN</t>
        </is>
      </c>
      <c r="G338" t="inlineStr">
        <is>
          <t>NYBRO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45213</v>
      </c>
      <c r="E339" s="1" t="n">
        <v>46237</v>
      </c>
      <c r="F339" t="inlineStr">
        <is>
          <t>KALMAR LÄN</t>
        </is>
      </c>
      <c r="G339" t="inlineStr">
        <is>
          <t>NYBRO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46237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45367</v>
      </c>
      <c r="E341" s="1" t="n">
        <v>46237</v>
      </c>
      <c r="F341" t="inlineStr">
        <is>
          <t>KALMAR LÄN</t>
        </is>
      </c>
      <c r="G341" t="inlineStr">
        <is>
          <t>NYBRO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46237</v>
      </c>
      <c r="F342" t="inlineStr">
        <is>
          <t>KALMAR LÄN</t>
        </is>
      </c>
      <c r="G342" t="inlineStr">
        <is>
          <t>NYBRO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45572</v>
      </c>
      <c r="E343" s="1" t="n">
        <v>46237</v>
      </c>
      <c r="F343" t="inlineStr">
        <is>
          <t>KALMAR LÄN</t>
        </is>
      </c>
      <c r="G343" t="inlineStr">
        <is>
          <t>NYBRO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25717-2022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44733</v>
      </c>
      <c r="E344" s="1" t="n">
        <v>46237</v>
      </c>
      <c r="F344" t="inlineStr">
        <is>
          <t>KALMAR LÄN</t>
        </is>
      </c>
      <c r="G344" t="inlineStr">
        <is>
          <t>NYBRO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46237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46237</v>
      </c>
      <c r="F346" t="inlineStr">
        <is>
          <t>KALMAR LÄN</t>
        </is>
      </c>
      <c r="G346" t="inlineStr">
        <is>
          <t>NYBRO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44970</v>
      </c>
      <c r="E347" s="1" t="n">
        <v>46237</v>
      </c>
      <c r="F347" t="inlineStr">
        <is>
          <t>KALMAR LÄN</t>
        </is>
      </c>
      <c r="G347" t="inlineStr">
        <is>
          <t>NYBRO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46237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45191</v>
      </c>
      <c r="E349" s="1" t="n">
        <v>46237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46237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46237</v>
      </c>
      <c r="F351" t="inlineStr">
        <is>
          <t>KALMAR LÄN</t>
        </is>
      </c>
      <c r="G351" t="inlineStr">
        <is>
          <t>NYBRO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46237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46237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46237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44713</v>
      </c>
      <c r="E355" s="1" t="n">
        <v>46237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46237</v>
      </c>
      <c r="F356" t="inlineStr">
        <is>
          <t>KALMAR LÄN</t>
        </is>
      </c>
      <c r="G356" t="inlineStr">
        <is>
          <t>NYBRO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46237</v>
      </c>
      <c r="F357" t="inlineStr">
        <is>
          <t>KALMAR LÄN</t>
        </is>
      </c>
      <c r="G357" t="inlineStr">
        <is>
          <t>NYBRO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45415</v>
      </c>
      <c r="E358" s="1" t="n">
        <v>46237</v>
      </c>
      <c r="F358" t="inlineStr">
        <is>
          <t>KALMAR LÄN</t>
        </is>
      </c>
      <c r="G358" t="inlineStr">
        <is>
          <t>NYBRO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46237</v>
      </c>
      <c r="F359" t="inlineStr">
        <is>
          <t>KALMAR LÄN</t>
        </is>
      </c>
      <c r="G359" t="inlineStr">
        <is>
          <t>NYBRO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47270-2024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45586</v>
      </c>
      <c r="E360" s="1" t="n">
        <v>46237</v>
      </c>
      <c r="F360" t="inlineStr">
        <is>
          <t>KALMAR LÄN</t>
        </is>
      </c>
      <c r="G360" t="inlineStr">
        <is>
          <t>NYBRO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20952-2024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45439</v>
      </c>
      <c r="E361" s="1" t="n">
        <v>46237</v>
      </c>
      <c r="F361" t="inlineStr">
        <is>
          <t>KALMAR LÄN</t>
        </is>
      </c>
      <c r="G361" t="inlineStr">
        <is>
          <t>NYBRO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44909</v>
      </c>
      <c r="E362" s="1" t="n">
        <v>46237</v>
      </c>
      <c r="F362" t="inlineStr">
        <is>
          <t>KALMAR LÄN</t>
        </is>
      </c>
      <c r="G362" t="inlineStr">
        <is>
          <t>NYBRO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46237</v>
      </c>
      <c r="F363" t="inlineStr">
        <is>
          <t>KALMAR LÄN</t>
        </is>
      </c>
      <c r="G363" t="inlineStr">
        <is>
          <t>NYBRO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46237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22429-2023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45070</v>
      </c>
      <c r="E365" s="1" t="n">
        <v>46237</v>
      </c>
      <c r="F365" t="inlineStr">
        <is>
          <t>KALMAR LÄN</t>
        </is>
      </c>
      <c r="G365" t="inlineStr">
        <is>
          <t>NYBRO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45367</v>
      </c>
      <c r="E366" s="1" t="n">
        <v>46237</v>
      </c>
      <c r="F366" t="inlineStr">
        <is>
          <t>KALMAR LÄN</t>
        </is>
      </c>
      <c r="G366" t="inlineStr">
        <is>
          <t>NYBRO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46237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45411</v>
      </c>
      <c r="E368" s="1" t="n">
        <v>46237</v>
      </c>
      <c r="F368" t="inlineStr">
        <is>
          <t>KALMAR LÄN</t>
        </is>
      </c>
      <c r="G368" t="inlineStr">
        <is>
          <t>NYBRO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46237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44713</v>
      </c>
      <c r="E370" s="1" t="n">
        <v>46237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45121</v>
      </c>
      <c r="E371" s="1" t="n">
        <v>46237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45121</v>
      </c>
      <c r="E372" s="1" t="n">
        <v>46237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46237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28164-2022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44746</v>
      </c>
      <c r="E374" s="1" t="n">
        <v>46237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44798</v>
      </c>
      <c r="E375" s="1" t="n">
        <v>46237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46237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45307</v>
      </c>
      <c r="E377" s="1" t="n">
        <v>46237</v>
      </c>
      <c r="F377" t="inlineStr">
        <is>
          <t>KALMAR LÄN</t>
        </is>
      </c>
      <c r="G377" t="inlineStr">
        <is>
          <t>NYBRO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45359</v>
      </c>
      <c r="E378" s="1" t="n">
        <v>46237</v>
      </c>
      <c r="F378" t="inlineStr">
        <is>
          <t>KALMAR LÄN</t>
        </is>
      </c>
      <c r="G378" t="inlineStr">
        <is>
          <t>NYBRO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46237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46237</v>
      </c>
      <c r="F380" t="inlineStr">
        <is>
          <t>KALMAR LÄN</t>
        </is>
      </c>
      <c r="G380" t="inlineStr">
        <is>
          <t>NYBRO</t>
        </is>
      </c>
      <c r="H380" t="inlineStr">
        <is>
          <t>Kommuner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46237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44931</v>
      </c>
      <c r="E382" s="1" t="n">
        <v>46237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59687-2021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46237</v>
      </c>
      <c r="F383" t="inlineStr">
        <is>
          <t>KALMAR LÄN</t>
        </is>
      </c>
      <c r="G383" t="inlineStr">
        <is>
          <t>NYBRO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46237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45561</v>
      </c>
      <c r="E385" s="1" t="n">
        <v>46237</v>
      </c>
      <c r="F385" t="inlineStr">
        <is>
          <t>KALMAR LÄN</t>
        </is>
      </c>
      <c r="G385" t="inlineStr">
        <is>
          <t>NYBRO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46237</v>
      </c>
      <c r="F386" t="inlineStr">
        <is>
          <t>KALMAR LÄN</t>
        </is>
      </c>
      <c r="G386" t="inlineStr">
        <is>
          <t>NYBRO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46237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52137-2021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46237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46237</v>
      </c>
      <c r="F389" t="inlineStr">
        <is>
          <t>KALMAR LÄN</t>
        </is>
      </c>
      <c r="G389" t="inlineStr">
        <is>
          <t>NYBRO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45057</v>
      </c>
      <c r="E390" s="1" t="n">
        <v>46237</v>
      </c>
      <c r="F390" t="inlineStr">
        <is>
          <t>KALMAR LÄN</t>
        </is>
      </c>
      <c r="G390" t="inlineStr">
        <is>
          <t>NYBRO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45063</v>
      </c>
      <c r="E391" s="1" t="n">
        <v>46237</v>
      </c>
      <c r="F391" t="inlineStr">
        <is>
          <t>KALMAR LÄN</t>
        </is>
      </c>
      <c r="G391" t="inlineStr">
        <is>
          <t>NYBRO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45057</v>
      </c>
      <c r="E392" s="1" t="n">
        <v>46237</v>
      </c>
      <c r="F392" t="inlineStr">
        <is>
          <t>KALMAR LÄN</t>
        </is>
      </c>
      <c r="G392" t="inlineStr">
        <is>
          <t>NYBRO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44798</v>
      </c>
      <c r="E393" s="1" t="n">
        <v>46237</v>
      </c>
      <c r="F393" t="inlineStr">
        <is>
          <t>KALMAR LÄN</t>
        </is>
      </c>
      <c r="G393" t="inlineStr">
        <is>
          <t>NYBRO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47435-2022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44853</v>
      </c>
      <c r="E394" s="1" t="n">
        <v>46237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45470</v>
      </c>
      <c r="E395" s="1" t="n">
        <v>46237</v>
      </c>
      <c r="F395" t="inlineStr">
        <is>
          <t>KALMAR LÄN</t>
        </is>
      </c>
      <c r="G395" t="inlineStr">
        <is>
          <t>NYBRO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46237</v>
      </c>
      <c r="F396" t="inlineStr">
        <is>
          <t>KALMAR LÄN</t>
        </is>
      </c>
      <c r="G396" t="inlineStr">
        <is>
          <t>NYBRO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46237</v>
      </c>
      <c r="F397" t="inlineStr">
        <is>
          <t>KALMAR LÄN</t>
        </is>
      </c>
      <c r="G397" t="inlineStr">
        <is>
          <t>NYBRO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49338-2025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45938</v>
      </c>
      <c r="E398" s="1" t="n">
        <v>46237</v>
      </c>
      <c r="F398" t="inlineStr">
        <is>
          <t>KALMAR LÄN</t>
        </is>
      </c>
      <c r="G398" t="inlineStr">
        <is>
          <t>NYBRO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46237</v>
      </c>
      <c r="F399" t="inlineStr">
        <is>
          <t>KALMAR LÄN</t>
        </is>
      </c>
      <c r="G399" t="inlineStr">
        <is>
          <t>NYBRO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46237</v>
      </c>
      <c r="F400" t="inlineStr">
        <is>
          <t>KALMAR LÄN</t>
        </is>
      </c>
      <c r="G400" t="inlineStr">
        <is>
          <t>NYBRO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46237</v>
      </c>
      <c r="F401" t="inlineStr">
        <is>
          <t>KALMAR LÄN</t>
        </is>
      </c>
      <c r="G401" t="inlineStr">
        <is>
          <t>NYBRO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45668</v>
      </c>
      <c r="E402" s="1" t="n">
        <v>46237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45681</v>
      </c>
      <c r="E403" s="1" t="n">
        <v>46237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46237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46237</v>
      </c>
      <c r="F405" t="inlineStr">
        <is>
          <t>KALMAR LÄN</t>
        </is>
      </c>
      <c r="G405" t="inlineStr">
        <is>
          <t>NYBRO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44713</v>
      </c>
      <c r="E406" s="1" t="n">
        <v>46237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46237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46237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46237</v>
      </c>
      <c r="F409" t="inlineStr">
        <is>
          <t>KALMAR LÄN</t>
        </is>
      </c>
      <c r="G409" t="inlineStr">
        <is>
          <t>NYBRO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46237</v>
      </c>
      <c r="F410" t="inlineStr">
        <is>
          <t>KALMAR LÄN</t>
        </is>
      </c>
      <c r="G410" t="inlineStr">
        <is>
          <t>NYBRO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46237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44908</v>
      </c>
      <c r="E412" s="1" t="n">
        <v>46237</v>
      </c>
      <c r="F412" t="inlineStr">
        <is>
          <t>KALMAR LÄN</t>
        </is>
      </c>
      <c r="G412" t="inlineStr">
        <is>
          <t>NYBRO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46237</v>
      </c>
      <c r="F413" t="inlineStr">
        <is>
          <t>KALMAR LÄN</t>
        </is>
      </c>
      <c r="G413" t="inlineStr">
        <is>
          <t>NYBRO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45079</v>
      </c>
      <c r="E414" s="1" t="n">
        <v>46237</v>
      </c>
      <c r="F414" t="inlineStr">
        <is>
          <t>KALMAR LÄN</t>
        </is>
      </c>
      <c r="G414" t="inlineStr">
        <is>
          <t>NYBRO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45208</v>
      </c>
      <c r="E415" s="1" t="n">
        <v>46237</v>
      </c>
      <c r="F415" t="inlineStr">
        <is>
          <t>KALMAR LÄN</t>
        </is>
      </c>
      <c r="G415" t="inlineStr">
        <is>
          <t>NYBRO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46237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46237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45525</v>
      </c>
      <c r="E418" s="1" t="n">
        <v>46237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46237</v>
      </c>
      <c r="F419" t="inlineStr">
        <is>
          <t>KALMAR LÄN</t>
        </is>
      </c>
      <c r="G419" t="inlineStr">
        <is>
          <t>NYBRO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46237</v>
      </c>
      <c r="F420" t="inlineStr">
        <is>
          <t>KALMAR LÄN</t>
        </is>
      </c>
      <c r="G420" t="inlineStr">
        <is>
          <t>NYBRO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46237</v>
      </c>
      <c r="F421" t="inlineStr">
        <is>
          <t>KALMAR LÄN</t>
        </is>
      </c>
      <c r="G421" t="inlineStr">
        <is>
          <t>NYBRO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46237</v>
      </c>
      <c r="F422" t="inlineStr">
        <is>
          <t>KALMAR LÄN</t>
        </is>
      </c>
      <c r="G422" t="inlineStr">
        <is>
          <t>NYBRO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46237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46237</v>
      </c>
      <c r="F424" t="inlineStr">
        <is>
          <t>KALMAR LÄN</t>
        </is>
      </c>
      <c r="G424" t="inlineStr">
        <is>
          <t>NYBRO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46237</v>
      </c>
      <c r="F425" t="inlineStr">
        <is>
          <t>KALMAR LÄN</t>
        </is>
      </c>
      <c r="G425" t="inlineStr">
        <is>
          <t>NYBRO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45590</v>
      </c>
      <c r="E426" s="1" t="n">
        <v>46237</v>
      </c>
      <c r="F426" t="inlineStr">
        <is>
          <t>KALMAR LÄN</t>
        </is>
      </c>
      <c r="G426" t="inlineStr">
        <is>
          <t>NYBRO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29544-2024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46237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45409</v>
      </c>
      <c r="E428" s="1" t="n">
        <v>46237</v>
      </c>
      <c r="F428" t="inlineStr">
        <is>
          <t>KALMAR LÄN</t>
        </is>
      </c>
      <c r="G428" t="inlineStr">
        <is>
          <t>NYBRO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46237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46237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41635-2023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46237</v>
      </c>
      <c r="F431" t="inlineStr">
        <is>
          <t>KALMAR LÄN</t>
        </is>
      </c>
      <c r="G431" t="inlineStr">
        <is>
          <t>NYBRO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45022</v>
      </c>
      <c r="E432" s="1" t="n">
        <v>46237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46237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46237</v>
      </c>
      <c r="F434" t="inlineStr">
        <is>
          <t>KALMAR LÄN</t>
        </is>
      </c>
      <c r="G434" t="inlineStr">
        <is>
          <t>NYBRO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46237</v>
      </c>
      <c r="F435" t="inlineStr">
        <is>
          <t>KALMAR LÄN</t>
        </is>
      </c>
      <c r="G435" t="inlineStr">
        <is>
          <t>NYBRO</t>
        </is>
      </c>
      <c r="H435" t="inlineStr">
        <is>
          <t>Sveaskog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46237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45111</v>
      </c>
      <c r="E437" s="1" t="n">
        <v>46237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40193-2025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45894</v>
      </c>
      <c r="E438" s="1" t="n">
        <v>46237</v>
      </c>
      <c r="F438" t="inlineStr">
        <is>
          <t>KALMAR LÄN</t>
        </is>
      </c>
      <c r="G438" t="inlineStr">
        <is>
          <t>NYBRO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46160</v>
      </c>
      <c r="E439" s="1" t="n">
        <v>46237</v>
      </c>
      <c r="F439" t="inlineStr">
        <is>
          <t>KALMAR LÄN</t>
        </is>
      </c>
      <c r="G439" t="inlineStr">
        <is>
          <t>NYBRO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46237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44973</v>
      </c>
      <c r="E441" s="1" t="n">
        <v>46237</v>
      </c>
      <c r="F441" t="inlineStr">
        <is>
          <t>KALMAR LÄN</t>
        </is>
      </c>
      <c r="G441" t="inlineStr">
        <is>
          <t>NYBRO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46237</v>
      </c>
      <c r="F442" t="inlineStr">
        <is>
          <t>KALMAR LÄN</t>
        </is>
      </c>
      <c r="G442" t="inlineStr">
        <is>
          <t>NYBRO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44818</v>
      </c>
      <c r="E443" s="1" t="n">
        <v>46237</v>
      </c>
      <c r="F443" t="inlineStr">
        <is>
          <t>KALMAR LÄN</t>
        </is>
      </c>
      <c r="G443" t="inlineStr">
        <is>
          <t>NYBRO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46237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46237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46237</v>
      </c>
      <c r="F446" t="inlineStr">
        <is>
          <t>KALMAR LÄN</t>
        </is>
      </c>
      <c r="G446" t="inlineStr">
        <is>
          <t>NYBRO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46237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44945</v>
      </c>
      <c r="E448" s="1" t="n">
        <v>46237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59689-2021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46237</v>
      </c>
      <c r="F449" t="inlineStr">
        <is>
          <t>KALMAR LÄN</t>
        </is>
      </c>
      <c r="G449" t="inlineStr">
        <is>
          <t>NYBRO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45733</v>
      </c>
      <c r="E450" s="1" t="n">
        <v>46237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44991</v>
      </c>
      <c r="E451" s="1" t="n">
        <v>46237</v>
      </c>
      <c r="F451" t="inlineStr">
        <is>
          <t>KALMAR LÄN</t>
        </is>
      </c>
      <c r="G451" t="inlineStr">
        <is>
          <t>NYBRO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45554</v>
      </c>
      <c r="E452" s="1" t="n">
        <v>46237</v>
      </c>
      <c r="F452" t="inlineStr">
        <is>
          <t>KALMAR LÄN</t>
        </is>
      </c>
      <c r="G452" t="inlineStr">
        <is>
          <t>NYBRO</t>
        </is>
      </c>
      <c r="H452" t="inlineStr">
        <is>
          <t>Kyrkan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46237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46237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45980</v>
      </c>
      <c r="E455" s="1" t="n">
        <v>46237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46237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46237</v>
      </c>
      <c r="F457" t="inlineStr">
        <is>
          <t>KALMAR LÄN</t>
        </is>
      </c>
      <c r="G457" t="inlineStr">
        <is>
          <t>NYBRO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46237</v>
      </c>
      <c r="F458" t="inlineStr">
        <is>
          <t>KALMAR LÄN</t>
        </is>
      </c>
      <c r="G458" t="inlineStr">
        <is>
          <t>NYBRO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45509</v>
      </c>
      <c r="E459" s="1" t="n">
        <v>46237</v>
      </c>
      <c r="F459" t="inlineStr">
        <is>
          <t>KALMAR LÄN</t>
        </is>
      </c>
      <c r="G459" t="inlineStr">
        <is>
          <t>NYBRO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46237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44418</v>
      </c>
      <c r="E461" s="1" t="n">
        <v>46237</v>
      </c>
      <c r="F461" t="inlineStr">
        <is>
          <t>KALMAR LÄN</t>
        </is>
      </c>
      <c r="G461" t="inlineStr">
        <is>
          <t>NYBRO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45078</v>
      </c>
      <c r="E462" s="1" t="n">
        <v>46237</v>
      </c>
      <c r="F462" t="inlineStr">
        <is>
          <t>KALMAR LÄN</t>
        </is>
      </c>
      <c r="G462" t="inlineStr">
        <is>
          <t>NYBRO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11968-2025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45728</v>
      </c>
      <c r="E463" s="1" t="n">
        <v>46237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46237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46237</v>
      </c>
      <c r="F465" t="inlineStr">
        <is>
          <t>KALMAR LÄN</t>
        </is>
      </c>
      <c r="G465" t="inlineStr">
        <is>
          <t>NYBRO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44700</v>
      </c>
      <c r="E466" s="1" t="n">
        <v>46237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45072</v>
      </c>
      <c r="E467" s="1" t="n">
        <v>46237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46237</v>
      </c>
      <c r="F468" t="inlineStr">
        <is>
          <t>KALMAR LÄN</t>
        </is>
      </c>
      <c r="G468" t="inlineStr">
        <is>
          <t>NYBRO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46237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45135</v>
      </c>
      <c r="E470" s="1" t="n">
        <v>46237</v>
      </c>
      <c r="F470" t="inlineStr">
        <is>
          <t>KALMAR LÄN</t>
        </is>
      </c>
      <c r="G470" t="inlineStr">
        <is>
          <t>NYBRO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46237</v>
      </c>
      <c r="F471" t="inlineStr">
        <is>
          <t>KALMAR LÄN</t>
        </is>
      </c>
      <c r="G471" t="inlineStr">
        <is>
          <t>NYBRO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45055</v>
      </c>
      <c r="E472" s="1" t="n">
        <v>46237</v>
      </c>
      <c r="F472" t="inlineStr">
        <is>
          <t>KALMAR LÄN</t>
        </is>
      </c>
      <c r="G472" t="inlineStr">
        <is>
          <t>NYBRO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45111</v>
      </c>
      <c r="E473" s="1" t="n">
        <v>46237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45987</v>
      </c>
      <c r="E474" s="1" t="n">
        <v>46237</v>
      </c>
      <c r="F474" t="inlineStr">
        <is>
          <t>KALMAR LÄN</t>
        </is>
      </c>
      <c r="G474" t="inlineStr">
        <is>
          <t>NYBRO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45761</v>
      </c>
      <c r="E475" s="1" t="n">
        <v>46237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45488</v>
      </c>
      <c r="E476" s="1" t="n">
        <v>46237</v>
      </c>
      <c r="F476" t="inlineStr">
        <is>
          <t>KALMAR LÄN</t>
        </is>
      </c>
      <c r="G476" t="inlineStr">
        <is>
          <t>NYBRO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45050</v>
      </c>
      <c r="E477" s="1" t="n">
        <v>46237</v>
      </c>
      <c r="F477" t="inlineStr">
        <is>
          <t>KALMAR LÄN</t>
        </is>
      </c>
      <c r="G477" t="inlineStr">
        <is>
          <t>NYBRO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45401</v>
      </c>
      <c r="E478" s="1" t="n">
        <v>46237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46237</v>
      </c>
      <c r="F479" t="inlineStr">
        <is>
          <t>KALMAR LÄN</t>
        </is>
      </c>
      <c r="G479" t="inlineStr">
        <is>
          <t>NYBRO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46237</v>
      </c>
      <c r="F480" t="inlineStr">
        <is>
          <t>KALMAR LÄN</t>
        </is>
      </c>
      <c r="G480" t="inlineStr">
        <is>
          <t>NYBRO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45075</v>
      </c>
      <c r="E481" s="1" t="n">
        <v>46237</v>
      </c>
      <c r="F481" t="inlineStr">
        <is>
          <t>KALMAR LÄN</t>
        </is>
      </c>
      <c r="G481" t="inlineStr">
        <is>
          <t>NYBRO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46237</v>
      </c>
      <c r="F482" t="inlineStr">
        <is>
          <t>KALMAR LÄN</t>
        </is>
      </c>
      <c r="G482" t="inlineStr">
        <is>
          <t>NYBRO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53681-2022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44880</v>
      </c>
      <c r="E483" s="1" t="n">
        <v>46237</v>
      </c>
      <c r="F483" t="inlineStr">
        <is>
          <t>KALMAR LÄN</t>
        </is>
      </c>
      <c r="G483" t="inlineStr">
        <is>
          <t>NYBRO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18586-2025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45763</v>
      </c>
      <c r="E484" s="1" t="n">
        <v>46237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45606</v>
      </c>
      <c r="E485" s="1" t="n">
        <v>46237</v>
      </c>
      <c r="F485" t="inlineStr">
        <is>
          <t>KALMAR LÄN</t>
        </is>
      </c>
      <c r="G485" t="inlineStr">
        <is>
          <t>NYBRO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44431</v>
      </c>
      <c r="E486" s="1" t="n">
        <v>46237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42965-2021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44431</v>
      </c>
      <c r="E487" s="1" t="n">
        <v>46237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52382-2022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46237</v>
      </c>
      <c r="F488" t="inlineStr">
        <is>
          <t>KALMAR LÄN</t>
        </is>
      </c>
      <c r="G488" t="inlineStr">
        <is>
          <t>NYBRO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46237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46237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46237</v>
      </c>
      <c r="F491" t="inlineStr">
        <is>
          <t>KALMAR LÄN</t>
        </is>
      </c>
      <c r="G491" t="inlineStr">
        <is>
          <t>NYBRO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46237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46237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55289-2022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44882</v>
      </c>
      <c r="E494" s="1" t="n">
        <v>46237</v>
      </c>
      <c r="F494" t="inlineStr">
        <is>
          <t>KALMAR LÄN</t>
        </is>
      </c>
      <c r="G494" t="inlineStr">
        <is>
          <t>NYBRO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45210</v>
      </c>
      <c r="E495" s="1" t="n">
        <v>46237</v>
      </c>
      <c r="F495" t="inlineStr">
        <is>
          <t>KALMAR LÄN</t>
        </is>
      </c>
      <c r="G495" t="inlineStr">
        <is>
          <t>NYBRO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46237</v>
      </c>
      <c r="F496" t="inlineStr">
        <is>
          <t>KALMAR LÄN</t>
        </is>
      </c>
      <c r="G496" t="inlineStr">
        <is>
          <t>NYBRO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46237</v>
      </c>
      <c r="F497" t="inlineStr">
        <is>
          <t>KALMAR LÄN</t>
        </is>
      </c>
      <c r="G497" t="inlineStr">
        <is>
          <t>NYBRO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44825</v>
      </c>
      <c r="E498" s="1" t="n">
        <v>46237</v>
      </c>
      <c r="F498" t="inlineStr">
        <is>
          <t>KALMAR LÄN</t>
        </is>
      </c>
      <c r="G498" t="inlineStr">
        <is>
          <t>NYBRO</t>
        </is>
      </c>
      <c r="I498" t="n">
        <v>18.6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46237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44586</v>
      </c>
      <c r="E500" s="1" t="n">
        <v>46237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46237</v>
      </c>
      <c r="F501" t="inlineStr">
        <is>
          <t>KALMAR LÄN</t>
        </is>
      </c>
      <c r="G501" t="inlineStr">
        <is>
          <t>NYBRO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46237</v>
      </c>
      <c r="F502" t="inlineStr">
        <is>
          <t>KALMAR LÄN</t>
        </is>
      </c>
      <c r="G502" t="inlineStr">
        <is>
          <t>NYBRO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46237</v>
      </c>
      <c r="F503" t="inlineStr">
        <is>
          <t>KALMAR LÄN</t>
        </is>
      </c>
      <c r="G503" t="inlineStr">
        <is>
          <t>NYBRO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46237</v>
      </c>
      <c r="F504" t="inlineStr">
        <is>
          <t>KALMAR LÄN</t>
        </is>
      </c>
      <c r="G504" t="inlineStr">
        <is>
          <t>NYBRO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46237</v>
      </c>
      <c r="F505" t="inlineStr">
        <is>
          <t>KALMAR LÄN</t>
        </is>
      </c>
      <c r="G505" t="inlineStr">
        <is>
          <t>NYBRO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46237</v>
      </c>
      <c r="F506" t="inlineStr">
        <is>
          <t>KALMAR LÄN</t>
        </is>
      </c>
      <c r="G506" t="inlineStr">
        <is>
          <t>NYBRO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45313</v>
      </c>
      <c r="E507" s="1" t="n">
        <v>46237</v>
      </c>
      <c r="F507" t="inlineStr">
        <is>
          <t>KALMAR LÄN</t>
        </is>
      </c>
      <c r="G507" t="inlineStr">
        <is>
          <t>NYBRO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46237</v>
      </c>
      <c r="F508" t="inlineStr">
        <is>
          <t>KALMAR LÄN</t>
        </is>
      </c>
      <c r="G508" t="inlineStr">
        <is>
          <t>NYBRO</t>
        </is>
      </c>
      <c r="H508" t="inlineStr">
        <is>
          <t>Kyrkan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46237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49912-2022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46237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46237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24941-2023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45085</v>
      </c>
      <c r="E512" s="1" t="n">
        <v>46237</v>
      </c>
      <c r="F512" t="inlineStr">
        <is>
          <t>KALMAR LÄN</t>
        </is>
      </c>
      <c r="G512" t="inlineStr">
        <is>
          <t>NYBRO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14534-2024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46237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45368</v>
      </c>
      <c r="E514" s="1" t="n">
        <v>46237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45369</v>
      </c>
      <c r="E515" s="1" t="n">
        <v>46237</v>
      </c>
      <c r="F515" t="inlineStr">
        <is>
          <t>KALMAR LÄN</t>
        </is>
      </c>
      <c r="G515" t="inlineStr">
        <is>
          <t>NYBRO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45308</v>
      </c>
      <c r="E516" s="1" t="n">
        <v>46237</v>
      </c>
      <c r="F516" t="inlineStr">
        <is>
          <t>KALMAR LÄN</t>
        </is>
      </c>
      <c r="G516" t="inlineStr">
        <is>
          <t>NYBRO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46237</v>
      </c>
      <c r="F517" t="inlineStr">
        <is>
          <t>KALMAR LÄN</t>
        </is>
      </c>
      <c r="G517" t="inlineStr">
        <is>
          <t>NYBRO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45649</v>
      </c>
      <c r="E518" s="1" t="n">
        <v>46237</v>
      </c>
      <c r="F518" t="inlineStr">
        <is>
          <t>KALMAR LÄN</t>
        </is>
      </c>
      <c r="G518" t="inlineStr">
        <is>
          <t>NYBRO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45240</v>
      </c>
      <c r="E519" s="1" t="n">
        <v>46237</v>
      </c>
      <c r="F519" t="inlineStr">
        <is>
          <t>KALMAR LÄN</t>
        </is>
      </c>
      <c r="G519" t="inlineStr">
        <is>
          <t>NYBRO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33035-2022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44785</v>
      </c>
      <c r="E520" s="1" t="n">
        <v>46237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46237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1535-2025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45670</v>
      </c>
      <c r="E522" s="1" t="n">
        <v>46237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45011</v>
      </c>
      <c r="E523" s="1" t="n">
        <v>46237</v>
      </c>
      <c r="F523" t="inlineStr">
        <is>
          <t>KALMAR LÄN</t>
        </is>
      </c>
      <c r="G523" t="inlineStr">
        <is>
          <t>NYBRO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46237</v>
      </c>
      <c r="F524" t="inlineStr">
        <is>
          <t>KALMAR LÄN</t>
        </is>
      </c>
      <c r="G524" t="inlineStr">
        <is>
          <t>NYBRO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46237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45591</v>
      </c>
      <c r="E526" s="1" t="n">
        <v>46237</v>
      </c>
      <c r="F526" t="inlineStr">
        <is>
          <t>KALMAR LÄN</t>
        </is>
      </c>
      <c r="G526" t="inlineStr">
        <is>
          <t>NYBRO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58551-2024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45635</v>
      </c>
      <c r="E527" s="1" t="n">
        <v>46237</v>
      </c>
      <c r="F527" t="inlineStr">
        <is>
          <t>KALMAR LÄN</t>
        </is>
      </c>
      <c r="G527" t="inlineStr">
        <is>
          <t>NYBRO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45028</v>
      </c>
      <c r="E528" s="1" t="n">
        <v>46237</v>
      </c>
      <c r="F528" t="inlineStr">
        <is>
          <t>KALMAR LÄN</t>
        </is>
      </c>
      <c r="G528" t="inlineStr">
        <is>
          <t>NYBRO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44811</v>
      </c>
      <c r="E529" s="1" t="n">
        <v>46237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44867</v>
      </c>
      <c r="E530" s="1" t="n">
        <v>46237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46237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44594</v>
      </c>
      <c r="E532" s="1" t="n">
        <v>46237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45331</v>
      </c>
      <c r="E533" s="1" t="n">
        <v>46237</v>
      </c>
      <c r="F533" t="inlineStr">
        <is>
          <t>KALMAR LÄN</t>
        </is>
      </c>
      <c r="G533" t="inlineStr">
        <is>
          <t>NYBRO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46237</v>
      </c>
      <c r="F534" t="inlineStr">
        <is>
          <t>KALMAR LÄN</t>
        </is>
      </c>
      <c r="G534" t="inlineStr">
        <is>
          <t>NYBRO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46237</v>
      </c>
      <c r="F535" t="inlineStr">
        <is>
          <t>KALMAR LÄN</t>
        </is>
      </c>
      <c r="G535" t="inlineStr">
        <is>
          <t>NYBRO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64453-2023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45280</v>
      </c>
      <c r="E536" s="1" t="n">
        <v>46237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45123</v>
      </c>
      <c r="E537" s="1" t="n">
        <v>46237</v>
      </c>
      <c r="F537" t="inlineStr">
        <is>
          <t>KALMAR LÄN</t>
        </is>
      </c>
      <c r="G537" t="inlineStr">
        <is>
          <t>NYBRO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45022</v>
      </c>
      <c r="E538" s="1" t="n">
        <v>46237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31612-2023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46237</v>
      </c>
      <c r="F539" t="inlineStr">
        <is>
          <t>KALMAR LÄN</t>
        </is>
      </c>
      <c r="G539" t="inlineStr">
        <is>
          <t>NYBRO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46237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45084</v>
      </c>
      <c r="E541" s="1" t="n">
        <v>46237</v>
      </c>
      <c r="F541" t="inlineStr">
        <is>
          <t>KALMAR LÄN</t>
        </is>
      </c>
      <c r="G541" t="inlineStr">
        <is>
          <t>NYBRO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46237</v>
      </c>
      <c r="F542" t="inlineStr">
        <is>
          <t>KALMAR LÄN</t>
        </is>
      </c>
      <c r="G542" t="inlineStr">
        <is>
          <t>NYBRO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46237</v>
      </c>
      <c r="F543" t="inlineStr">
        <is>
          <t>KALMAR LÄN</t>
        </is>
      </c>
      <c r="G543" t="inlineStr">
        <is>
          <t>NYBRO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58761-2021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44489</v>
      </c>
      <c r="E544" s="1" t="n">
        <v>46237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46237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46237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45079</v>
      </c>
      <c r="E547" s="1" t="n">
        <v>46237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49051-2021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44453</v>
      </c>
      <c r="E548" s="1" t="n">
        <v>46237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46237</v>
      </c>
      <c r="F549" t="inlineStr">
        <is>
          <t>KALMAR LÄN</t>
        </is>
      </c>
      <c r="G549" t="inlineStr">
        <is>
          <t>NYBRO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52367-2021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44465</v>
      </c>
      <c r="E550" s="1" t="n">
        <v>46237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44953</v>
      </c>
      <c r="E551" s="1" t="n">
        <v>46237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46237</v>
      </c>
      <c r="F552" t="inlineStr">
        <is>
          <t>KALMAR LÄN</t>
        </is>
      </c>
      <c r="G552" t="inlineStr">
        <is>
          <t>NYBRO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32048-2022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44778</v>
      </c>
      <c r="E553" s="1" t="n">
        <v>46237</v>
      </c>
      <c r="F553" t="inlineStr">
        <is>
          <t>KALMAR LÄN</t>
        </is>
      </c>
      <c r="G553" t="inlineStr">
        <is>
          <t>NYBRO</t>
        </is>
      </c>
      <c r="I553" t="n">
        <v>13.7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46237</v>
      </c>
      <c r="F554" t="inlineStr">
        <is>
          <t>KALMAR LÄN</t>
        </is>
      </c>
      <c r="G554" t="inlineStr">
        <is>
          <t>NYBRO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45156</v>
      </c>
      <c r="E555" s="1" t="n">
        <v>46237</v>
      </c>
      <c r="F555" t="inlineStr">
        <is>
          <t>KALMAR LÄN</t>
        </is>
      </c>
      <c r="G555" t="inlineStr">
        <is>
          <t>NYBRO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24614-2026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46169</v>
      </c>
      <c r="E556" s="1" t="n">
        <v>46237</v>
      </c>
      <c r="F556" t="inlineStr">
        <is>
          <t>KALMAR LÄN</t>
        </is>
      </c>
      <c r="G556" t="inlineStr">
        <is>
          <t>NYBRO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45056</v>
      </c>
      <c r="E557" s="1" t="n">
        <v>46237</v>
      </c>
      <c r="F557" t="inlineStr">
        <is>
          <t>KALMAR LÄN</t>
        </is>
      </c>
      <c r="G557" t="inlineStr">
        <is>
          <t>NYBRO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46237</v>
      </c>
      <c r="F558" t="inlineStr">
        <is>
          <t>KALMAR LÄN</t>
        </is>
      </c>
      <c r="G558" t="inlineStr">
        <is>
          <t>NYBRO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46237</v>
      </c>
      <c r="F559" t="inlineStr">
        <is>
          <t>KALMAR LÄN</t>
        </is>
      </c>
      <c r="G559" t="inlineStr">
        <is>
          <t>NYBRO</t>
        </is>
      </c>
      <c r="H559" t="inlineStr">
        <is>
          <t>Kyrkan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46237</v>
      </c>
      <c r="F560" t="inlineStr">
        <is>
          <t>KALMAR LÄN</t>
        </is>
      </c>
      <c r="G560" t="inlineStr">
        <is>
          <t>NYBRO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48102-2023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46237</v>
      </c>
      <c r="F561" t="inlineStr">
        <is>
          <t>KALMAR LÄN</t>
        </is>
      </c>
      <c r="G561" t="inlineStr">
        <is>
          <t>NYBRO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46237</v>
      </c>
      <c r="F562" t="inlineStr">
        <is>
          <t>KALMAR LÄN</t>
        </is>
      </c>
      <c r="G562" t="inlineStr">
        <is>
          <t>NYBRO</t>
        </is>
      </c>
      <c r="H562" t="inlineStr">
        <is>
          <t>Sveaskog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19363-2024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45429</v>
      </c>
      <c r="E563" s="1" t="n">
        <v>46237</v>
      </c>
      <c r="F563" t="inlineStr">
        <is>
          <t>KALMAR LÄN</t>
        </is>
      </c>
      <c r="G563" t="inlineStr">
        <is>
          <t>NYBRO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44938</v>
      </c>
      <c r="E564" s="1" t="n">
        <v>46237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46237</v>
      </c>
      <c r="F565" t="inlineStr">
        <is>
          <t>KALMAR LÄN</t>
        </is>
      </c>
      <c r="G565" t="inlineStr">
        <is>
          <t>NYBRO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46237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46237</v>
      </c>
      <c r="F567" t="inlineStr">
        <is>
          <t>KALMAR LÄN</t>
        </is>
      </c>
      <c r="G567" t="inlineStr">
        <is>
          <t>NYBRO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45260</v>
      </c>
      <c r="E568" s="1" t="n">
        <v>46237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46237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25717-2026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46178</v>
      </c>
      <c r="E570" s="1" t="n">
        <v>46237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46237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46237</v>
      </c>
      <c r="F572" t="inlineStr">
        <is>
          <t>KALMAR LÄN</t>
        </is>
      </c>
      <c r="G572" t="inlineStr">
        <is>
          <t>NYBRO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28149-2023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45096</v>
      </c>
      <c r="E573" s="1" t="n">
        <v>46237</v>
      </c>
      <c r="F573" t="inlineStr">
        <is>
          <t>KALMAR LÄN</t>
        </is>
      </c>
      <c r="G573" t="inlineStr">
        <is>
          <t>NYBRO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25714-2026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46237</v>
      </c>
      <c r="F574" t="inlineStr">
        <is>
          <t>KALMAR LÄN</t>
        </is>
      </c>
      <c r="G574" t="inlineStr">
        <is>
          <t>NYBRO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46051</v>
      </c>
      <c r="E575" s="1" t="n">
        <v>46237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46237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46237</v>
      </c>
      <c r="F577" t="inlineStr">
        <is>
          <t>KALMAR LÄN</t>
        </is>
      </c>
      <c r="G577" t="inlineStr">
        <is>
          <t>NYBRO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44580</v>
      </c>
      <c r="E578" s="1" t="n">
        <v>46237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45079</v>
      </c>
      <c r="E579" s="1" t="n">
        <v>46237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46237</v>
      </c>
      <c r="F580" t="inlineStr">
        <is>
          <t>KALMAR LÄN</t>
        </is>
      </c>
      <c r="G580" t="inlineStr">
        <is>
          <t>NYBRO</t>
        </is>
      </c>
      <c r="I580" t="n">
        <v>15.9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45320</v>
      </c>
      <c r="E581" s="1" t="n">
        <v>46237</v>
      </c>
      <c r="F581" t="inlineStr">
        <is>
          <t>KALMAR LÄN</t>
        </is>
      </c>
      <c r="G581" t="inlineStr">
        <is>
          <t>NYBRO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46237</v>
      </c>
      <c r="F582" t="inlineStr">
        <is>
          <t>KALMAR LÄN</t>
        </is>
      </c>
      <c r="G582" t="inlineStr">
        <is>
          <t>NYBRO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46237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46237</v>
      </c>
      <c r="F584" t="inlineStr">
        <is>
          <t>KALMAR LÄN</t>
        </is>
      </c>
      <c r="G584" t="inlineStr">
        <is>
          <t>NYBRO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46237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56103-2023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46237</v>
      </c>
      <c r="F586" t="inlineStr">
        <is>
          <t>KALMAR LÄN</t>
        </is>
      </c>
      <c r="G586" t="inlineStr">
        <is>
          <t>NYBRO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33472-2023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45131</v>
      </c>
      <c r="E587" s="1" t="n">
        <v>46237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45763</v>
      </c>
      <c r="E588" s="1" t="n">
        <v>46237</v>
      </c>
      <c r="F588" t="inlineStr">
        <is>
          <t>KALMAR LÄN</t>
        </is>
      </c>
      <c r="G588" t="inlineStr">
        <is>
          <t>NYBRO</t>
        </is>
      </c>
      <c r="I588" t="n">
        <v>30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46237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45315</v>
      </c>
      <c r="E590" s="1" t="n">
        <v>46237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15116-2023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45016</v>
      </c>
      <c r="E591" s="1" t="n">
        <v>46237</v>
      </c>
      <c r="F591" t="inlineStr">
        <is>
          <t>KALMAR LÄN</t>
        </is>
      </c>
      <c r="G591" t="inlineStr">
        <is>
          <t>NYBRO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45561</v>
      </c>
      <c r="E592" s="1" t="n">
        <v>46237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46237</v>
      </c>
      <c r="F593" t="inlineStr">
        <is>
          <t>KALMAR LÄN</t>
        </is>
      </c>
      <c r="G593" t="inlineStr">
        <is>
          <t>NYBRO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44566</v>
      </c>
      <c r="E594" s="1" t="n">
        <v>46237</v>
      </c>
      <c r="F594" t="inlineStr">
        <is>
          <t>KALMAR LÄN</t>
        </is>
      </c>
      <c r="G594" t="inlineStr">
        <is>
          <t>NYBRO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28272-2024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46237</v>
      </c>
      <c r="F595" t="inlineStr">
        <is>
          <t>KALMAR LÄN</t>
        </is>
      </c>
      <c r="G595" t="inlineStr">
        <is>
          <t>NYBRO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46237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46282-2023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45197</v>
      </c>
      <c r="E597" s="1" t="n">
        <v>46237</v>
      </c>
      <c r="F597" t="inlineStr">
        <is>
          <t>KALMAR LÄN</t>
        </is>
      </c>
      <c r="G597" t="inlineStr">
        <is>
          <t>NYBRO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46237</v>
      </c>
      <c r="F598" t="inlineStr">
        <is>
          <t>KALMAR LÄN</t>
        </is>
      </c>
      <c r="G598" t="inlineStr">
        <is>
          <t>NYBRO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9009-2026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46237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8883-2026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46067</v>
      </c>
      <c r="E600" s="1" t="n">
        <v>46237</v>
      </c>
      <c r="F600" t="inlineStr">
        <is>
          <t>KALMAR LÄN</t>
        </is>
      </c>
      <c r="G600" t="inlineStr">
        <is>
          <t>NYBRO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46237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46237</v>
      </c>
      <c r="F602" t="inlineStr">
        <is>
          <t>KALMAR LÄN</t>
        </is>
      </c>
      <c r="G602" t="inlineStr">
        <is>
          <t>NYBRO</t>
        </is>
      </c>
      <c r="I602" t="n">
        <v>15.1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46237</v>
      </c>
      <c r="F603" t="inlineStr">
        <is>
          <t>KALMAR LÄN</t>
        </is>
      </c>
      <c r="G603" t="inlineStr">
        <is>
          <t>NYBRO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44832</v>
      </c>
      <c r="E604" s="1" t="n">
        <v>46237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16354-2024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45407</v>
      </c>
      <c r="E605" s="1" t="n">
        <v>46237</v>
      </c>
      <c r="F605" t="inlineStr">
        <is>
          <t>KALMAR LÄN</t>
        </is>
      </c>
      <c r="G605" t="inlineStr">
        <is>
          <t>NYBRO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46237</v>
      </c>
      <c r="F606" t="inlineStr">
        <is>
          <t>KALMAR LÄN</t>
        </is>
      </c>
      <c r="G606" t="inlineStr">
        <is>
          <t>NYBRO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45338</v>
      </c>
      <c r="E607" s="1" t="n">
        <v>46237</v>
      </c>
      <c r="F607" t="inlineStr">
        <is>
          <t>KALMAR LÄN</t>
        </is>
      </c>
      <c r="G607" t="inlineStr">
        <is>
          <t>NYBRO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46237</v>
      </c>
      <c r="F608" t="inlineStr">
        <is>
          <t>KALMAR LÄN</t>
        </is>
      </c>
      <c r="G608" t="inlineStr">
        <is>
          <t>NYBRO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41679-2024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45560</v>
      </c>
      <c r="E609" s="1" t="n">
        <v>46237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9690-2026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46237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54341-2022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44882</v>
      </c>
      <c r="E611" s="1" t="n">
        <v>46237</v>
      </c>
      <c r="F611" t="inlineStr">
        <is>
          <t>KALMAR LÄN</t>
        </is>
      </c>
      <c r="G611" t="inlineStr">
        <is>
          <t>NYBRO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46237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46237</v>
      </c>
      <c r="F613" t="inlineStr">
        <is>
          <t>KALMAR LÄN</t>
        </is>
      </c>
      <c r="G613" t="inlineStr">
        <is>
          <t>NYBRO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44645</v>
      </c>
      <c r="E614" s="1" t="n">
        <v>46237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46237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45664</v>
      </c>
      <c r="E616" s="1" t="n">
        <v>46237</v>
      </c>
      <c r="F616" t="inlineStr">
        <is>
          <t>KALMAR LÄN</t>
        </is>
      </c>
      <c r="G616" t="inlineStr">
        <is>
          <t>NYBRO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45069</v>
      </c>
      <c r="E617" s="1" t="n">
        <v>46237</v>
      </c>
      <c r="F617" t="inlineStr">
        <is>
          <t>KALMAR LÄN</t>
        </is>
      </c>
      <c r="G617" t="inlineStr">
        <is>
          <t>NYBRO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17157-2022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44677</v>
      </c>
      <c r="E618" s="1" t="n">
        <v>46237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46083</v>
      </c>
      <c r="E619" s="1" t="n">
        <v>46237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38844-2023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46237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45373</v>
      </c>
      <c r="E621" s="1" t="n">
        <v>46237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46237</v>
      </c>
      <c r="F622" t="inlineStr">
        <is>
          <t>KALMAR LÄN</t>
        </is>
      </c>
      <c r="G622" t="inlineStr">
        <is>
          <t>NYBRO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45063</v>
      </c>
      <c r="E623" s="1" t="n">
        <v>46237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45373</v>
      </c>
      <c r="E624" s="1" t="n">
        <v>46237</v>
      </c>
      <c r="F624" t="inlineStr">
        <is>
          <t>KALMAR LÄN</t>
        </is>
      </c>
      <c r="G624" t="inlineStr">
        <is>
          <t>NYBRO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46237</v>
      </c>
      <c r="F625" t="inlineStr">
        <is>
          <t>KALMAR LÄN</t>
        </is>
      </c>
      <c r="G625" t="inlineStr">
        <is>
          <t>NYBRO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45082</v>
      </c>
      <c r="E626" s="1" t="n">
        <v>46237</v>
      </c>
      <c r="F626" t="inlineStr">
        <is>
          <t>KALMAR LÄN</t>
        </is>
      </c>
      <c r="G626" t="inlineStr">
        <is>
          <t>NYBRO</t>
        </is>
      </c>
      <c r="H626" t="inlineStr">
        <is>
          <t>Kommuner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45074-2023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46237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46237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46237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14983-2022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44657</v>
      </c>
      <c r="E630" s="1" t="n">
        <v>46237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46237</v>
      </c>
      <c r="F631" t="inlineStr">
        <is>
          <t>KALMAR LÄN</t>
        </is>
      </c>
      <c r="G631" t="inlineStr">
        <is>
          <t>NYBRO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46237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44594</v>
      </c>
      <c r="E633" s="1" t="n">
        <v>46237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45049</v>
      </c>
      <c r="E634" s="1" t="n">
        <v>46237</v>
      </c>
      <c r="F634" t="inlineStr">
        <is>
          <t>KALMAR LÄN</t>
        </is>
      </c>
      <c r="G634" t="inlineStr">
        <is>
          <t>NYBRO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10289-2022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44622</v>
      </c>
      <c r="E635" s="1" t="n">
        <v>46237</v>
      </c>
      <c r="F635" t="inlineStr">
        <is>
          <t>KALMAR LÄN</t>
        </is>
      </c>
      <c r="G635" t="inlineStr">
        <is>
          <t>NYBRO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59207-2024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46237</v>
      </c>
      <c r="F636" t="inlineStr">
        <is>
          <t>KALMAR LÄN</t>
        </is>
      </c>
      <c r="G636" t="inlineStr">
        <is>
          <t>NYBRO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46237</v>
      </c>
      <c r="F637" t="inlineStr">
        <is>
          <t>KALMAR LÄN</t>
        </is>
      </c>
      <c r="G637" t="inlineStr">
        <is>
          <t>NYBRO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46237</v>
      </c>
      <c r="F638" t="inlineStr">
        <is>
          <t>KALMAR LÄN</t>
        </is>
      </c>
      <c r="G638" t="inlineStr">
        <is>
          <t>NYBRO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22877-2023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45072</v>
      </c>
      <c r="E639" s="1" t="n">
        <v>46237</v>
      </c>
      <c r="F639" t="inlineStr">
        <is>
          <t>KALMAR LÄN</t>
        </is>
      </c>
      <c r="G639" t="inlineStr">
        <is>
          <t>NYBRO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14600-2023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46237</v>
      </c>
      <c r="F640" t="inlineStr">
        <is>
          <t>KALMAR LÄN</t>
        </is>
      </c>
      <c r="G640" t="inlineStr">
        <is>
          <t>NYBRO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41674-2024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45560</v>
      </c>
      <c r="E641" s="1" t="n">
        <v>46237</v>
      </c>
      <c r="F641" t="inlineStr">
        <is>
          <t>KALMAR LÄN</t>
        </is>
      </c>
      <c r="G641" t="inlineStr">
        <is>
          <t>NYBRO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18323-2025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46237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45118</v>
      </c>
      <c r="E643" s="1" t="n">
        <v>46237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14057-2024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46237</v>
      </c>
      <c r="F644" t="inlineStr">
        <is>
          <t>KALMAR LÄN</t>
        </is>
      </c>
      <c r="G644" t="inlineStr">
        <is>
          <t>NYBRO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46024-2023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46237</v>
      </c>
      <c r="F645" t="inlineStr">
        <is>
          <t>KALMAR LÄN</t>
        </is>
      </c>
      <c r="G645" t="inlineStr">
        <is>
          <t>NYBRO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45096</v>
      </c>
      <c r="E646" s="1" t="n">
        <v>46237</v>
      </c>
      <c r="F646" t="inlineStr">
        <is>
          <t>KALMAR LÄN</t>
        </is>
      </c>
      <c r="G646" t="inlineStr">
        <is>
          <t>NYBRO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43118-2022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44833</v>
      </c>
      <c r="E647" s="1" t="n">
        <v>46237</v>
      </c>
      <c r="F647" t="inlineStr">
        <is>
          <t>KALMAR LÄN</t>
        </is>
      </c>
      <c r="G647" t="inlineStr">
        <is>
          <t>NYBRO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45679</v>
      </c>
      <c r="E648" s="1" t="n">
        <v>46237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18884-2022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44690</v>
      </c>
      <c r="E649" s="1" t="n">
        <v>46237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18072-2022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44684</v>
      </c>
      <c r="E650" s="1" t="n">
        <v>46237</v>
      </c>
      <c r="F650" t="inlineStr">
        <is>
          <t>KALMAR LÄN</t>
        </is>
      </c>
      <c r="G650" t="inlineStr">
        <is>
          <t>NYBRO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42817-2023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45182</v>
      </c>
      <c r="E651" s="1" t="n">
        <v>46237</v>
      </c>
      <c r="F651" t="inlineStr">
        <is>
          <t>KALMAR LÄN</t>
        </is>
      </c>
      <c r="G651" t="inlineStr">
        <is>
          <t>NYBRO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46237</v>
      </c>
      <c r="F652" t="inlineStr">
        <is>
          <t>KALMAR LÄN</t>
        </is>
      </c>
      <c r="G652" t="inlineStr">
        <is>
          <t>NYBRO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46237</v>
      </c>
      <c r="F653" t="inlineStr">
        <is>
          <t>KALMAR LÄN</t>
        </is>
      </c>
      <c r="G653" t="inlineStr">
        <is>
          <t>NYBRO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26859-2023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45093</v>
      </c>
      <c r="E654" s="1" t="n">
        <v>46237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46237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46237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45649</v>
      </c>
      <c r="E657" s="1" t="n">
        <v>46237</v>
      </c>
      <c r="F657" t="inlineStr">
        <is>
          <t>KALMAR LÄN</t>
        </is>
      </c>
      <c r="G657" t="inlineStr">
        <is>
          <t>NYBRO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46237</v>
      </c>
      <c r="F658" t="inlineStr">
        <is>
          <t>KALMAR LÄN</t>
        </is>
      </c>
      <c r="G658" t="inlineStr">
        <is>
          <t>NYBRO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45649</v>
      </c>
      <c r="E659" s="1" t="n">
        <v>46237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50783-2023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45217</v>
      </c>
      <c r="E660" s="1" t="n">
        <v>46237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45762</v>
      </c>
      <c r="E661" s="1" t="n">
        <v>46237</v>
      </c>
      <c r="F661" t="inlineStr">
        <is>
          <t>KALMAR LÄN</t>
        </is>
      </c>
      <c r="G661" t="inlineStr">
        <is>
          <t>NYBRO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46237</v>
      </c>
      <c r="F662" t="inlineStr">
        <is>
          <t>KALMAR LÄN</t>
        </is>
      </c>
      <c r="G662" t="inlineStr">
        <is>
          <t>NYBRO</t>
        </is>
      </c>
      <c r="H662" t="inlineStr">
        <is>
          <t>Sveaskog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44999</v>
      </c>
      <c r="E663" s="1" t="n">
        <v>46237</v>
      </c>
      <c r="F663" t="inlineStr">
        <is>
          <t>KALMAR LÄN</t>
        </is>
      </c>
      <c r="G663" t="inlineStr">
        <is>
          <t>NYBRO</t>
        </is>
      </c>
      <c r="I663" t="n">
        <v>16.5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46237</v>
      </c>
      <c r="F664" t="inlineStr">
        <is>
          <t>KALMAR LÄN</t>
        </is>
      </c>
      <c r="G664" t="inlineStr">
        <is>
          <t>NYBRO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14371-2025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45741</v>
      </c>
      <c r="E665" s="1" t="n">
        <v>46237</v>
      </c>
      <c r="F665" t="inlineStr">
        <is>
          <t>KALMAR LÄN</t>
        </is>
      </c>
      <c r="G665" t="inlineStr">
        <is>
          <t>NYBRO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45666</v>
      </c>
      <c r="E666" s="1" t="n">
        <v>46237</v>
      </c>
      <c r="F666" t="inlineStr">
        <is>
          <t>KALMAR LÄN</t>
        </is>
      </c>
      <c r="G666" t="inlineStr">
        <is>
          <t>NYBRO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45756</v>
      </c>
      <c r="E667" s="1" t="n">
        <v>46237</v>
      </c>
      <c r="F667" t="inlineStr">
        <is>
          <t>KALMAR LÄN</t>
        </is>
      </c>
      <c r="G667" t="inlineStr">
        <is>
          <t>NYBRO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42711-2023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46237</v>
      </c>
      <c r="F668" t="inlineStr">
        <is>
          <t>KALMAR LÄN</t>
        </is>
      </c>
      <c r="G668" t="inlineStr">
        <is>
          <t>NYBRO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46237</v>
      </c>
      <c r="F669" t="inlineStr">
        <is>
          <t>KALMAR LÄN</t>
        </is>
      </c>
      <c r="G669" t="inlineStr">
        <is>
          <t>NYBRO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16604-2026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46237</v>
      </c>
      <c r="F670" t="inlineStr">
        <is>
          <t>KALMAR LÄN</t>
        </is>
      </c>
      <c r="G670" t="inlineStr">
        <is>
          <t>NYBRO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49340-2023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46237</v>
      </c>
      <c r="F671" t="inlineStr">
        <is>
          <t>KALMAR LÄN</t>
        </is>
      </c>
      <c r="G671" t="inlineStr">
        <is>
          <t>NYBRO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22435-2023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45070</v>
      </c>
      <c r="E672" s="1" t="n">
        <v>46237</v>
      </c>
      <c r="F672" t="inlineStr">
        <is>
          <t>KALMAR LÄN</t>
        </is>
      </c>
      <c r="G672" t="inlineStr">
        <is>
          <t>NYBRO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46237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46237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46237</v>
      </c>
      <c r="F675" t="inlineStr">
        <is>
          <t>KALMAR LÄN</t>
        </is>
      </c>
      <c r="G675" t="inlineStr">
        <is>
          <t>NYBRO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43731-2023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45187</v>
      </c>
      <c r="E676" s="1" t="n">
        <v>46237</v>
      </c>
      <c r="F676" t="inlineStr">
        <is>
          <t>KALMAR LÄN</t>
        </is>
      </c>
      <c r="G676" t="inlineStr">
        <is>
          <t>NYBRO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7424-2022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44606</v>
      </c>
      <c r="E677" s="1" t="n">
        <v>46237</v>
      </c>
      <c r="F677" t="inlineStr">
        <is>
          <t>KALMAR LÄN</t>
        </is>
      </c>
      <c r="G677" t="inlineStr">
        <is>
          <t>NYBRO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50586-2024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45601</v>
      </c>
      <c r="E678" s="1" t="n">
        <v>46237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45449</v>
      </c>
      <c r="E679" s="1" t="n">
        <v>46237</v>
      </c>
      <c r="F679" t="inlineStr">
        <is>
          <t>KALMAR LÄN</t>
        </is>
      </c>
      <c r="G679" t="inlineStr">
        <is>
          <t>NYBRO</t>
        </is>
      </c>
      <c r="I679" t="n">
        <v>8.4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45545</v>
      </c>
      <c r="E680" s="1" t="n">
        <v>46237</v>
      </c>
      <c r="F680" t="inlineStr">
        <is>
          <t>KALMAR LÄN</t>
        </is>
      </c>
      <c r="G680" t="inlineStr">
        <is>
          <t>NYBRO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45476</v>
      </c>
      <c r="E681" s="1" t="n">
        <v>46237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16268-2024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45407</v>
      </c>
      <c r="E682" s="1" t="n">
        <v>46237</v>
      </c>
      <c r="F682" t="inlineStr">
        <is>
          <t>KALMAR LÄN</t>
        </is>
      </c>
      <c r="G682" t="inlineStr">
        <is>
          <t>NYBRO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46237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45489</v>
      </c>
      <c r="E684" s="1" t="n">
        <v>46237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27419-2022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44742</v>
      </c>
      <c r="E685" s="1" t="n">
        <v>46237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46237</v>
      </c>
      <c r="F686" t="inlineStr">
        <is>
          <t>KALMAR LÄN</t>
        </is>
      </c>
      <c r="G686" t="inlineStr">
        <is>
          <t>NYBRO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59940-2022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44909</v>
      </c>
      <c r="E687" s="1" t="n">
        <v>46237</v>
      </c>
      <c r="F687" t="inlineStr">
        <is>
          <t>KALMAR LÄN</t>
        </is>
      </c>
      <c r="G687" t="inlineStr">
        <is>
          <t>NYBRO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41531-2023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46237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46237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46684-2023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45198</v>
      </c>
      <c r="E690" s="1" t="n">
        <v>46237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46237</v>
      </c>
      <c r="F691" t="inlineStr">
        <is>
          <t>KALMAR LÄN</t>
        </is>
      </c>
      <c r="G691" t="inlineStr">
        <is>
          <t>NYBRO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46237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49405-2023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46237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46237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28795-2022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44749</v>
      </c>
      <c r="E695" s="1" t="n">
        <v>46237</v>
      </c>
      <c r="F695" t="inlineStr">
        <is>
          <t>KALMAR LÄN</t>
        </is>
      </c>
      <c r="G695" t="inlineStr">
        <is>
          <t>NYBRO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46237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23607-2022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44721</v>
      </c>
      <c r="E697" s="1" t="n">
        <v>46237</v>
      </c>
      <c r="F697" t="inlineStr">
        <is>
          <t>KALMAR LÄN</t>
        </is>
      </c>
      <c r="G697" t="inlineStr">
        <is>
          <t>NYBRO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46237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46237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44743</v>
      </c>
      <c r="E700" s="1" t="n">
        <v>46237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45175</v>
      </c>
      <c r="E701" s="1" t="n">
        <v>46237</v>
      </c>
      <c r="F701" t="inlineStr">
        <is>
          <t>KALMAR LÄN</t>
        </is>
      </c>
      <c r="G701" t="inlineStr">
        <is>
          <t>NYBRO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46237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46237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46237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46237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46237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19457-2026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46237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46237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17409-2024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45414</v>
      </c>
      <c r="E709" s="1" t="n">
        <v>46237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57716-2023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46237</v>
      </c>
      <c r="F710" t="inlineStr">
        <is>
          <t>KALMAR LÄN</t>
        </is>
      </c>
      <c r="G710" t="inlineStr">
        <is>
          <t>NYBRO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46237</v>
      </c>
      <c r="F711" t="inlineStr">
        <is>
          <t>KALMAR LÄN</t>
        </is>
      </c>
      <c r="G711" t="inlineStr">
        <is>
          <t>NYBRO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46237</v>
      </c>
      <c r="F712" t="inlineStr">
        <is>
          <t>KALMAR LÄN</t>
        </is>
      </c>
      <c r="G712" t="inlineStr">
        <is>
          <t>NYBRO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46237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44909</v>
      </c>
      <c r="E714" s="1" t="n">
        <v>46237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46237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46237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44801-2022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44841</v>
      </c>
      <c r="E717" s="1" t="n">
        <v>46237</v>
      </c>
      <c r="F717" t="inlineStr">
        <is>
          <t>KALMAR LÄN</t>
        </is>
      </c>
      <c r="G717" t="inlineStr">
        <is>
          <t>NYBRO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46237</v>
      </c>
      <c r="F718" t="inlineStr">
        <is>
          <t>KALMAR LÄN</t>
        </is>
      </c>
      <c r="G718" t="inlineStr">
        <is>
          <t>NYBRO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44803</v>
      </c>
      <c r="E719" s="1" t="n">
        <v>46237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19451-2022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44693</v>
      </c>
      <c r="E720" s="1" t="n">
        <v>46237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45448</v>
      </c>
      <c r="E721" s="1" t="n">
        <v>46237</v>
      </c>
      <c r="F721" t="inlineStr">
        <is>
          <t>KALMAR LÄN</t>
        </is>
      </c>
      <c r="G721" t="inlineStr">
        <is>
          <t>NYBRO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26715-2022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44739</v>
      </c>
      <c r="E722" s="1" t="n">
        <v>46237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44746</v>
      </c>
      <c r="E723" s="1" t="n">
        <v>46237</v>
      </c>
      <c r="F723" t="inlineStr">
        <is>
          <t>KALMAR LÄN</t>
        </is>
      </c>
      <c r="G723" t="inlineStr">
        <is>
          <t>NYBRO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9005-2024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45357</v>
      </c>
      <c r="E724" s="1" t="n">
        <v>46237</v>
      </c>
      <c r="F724" t="inlineStr">
        <is>
          <t>KALMAR LÄN</t>
        </is>
      </c>
      <c r="G724" t="inlineStr">
        <is>
          <t>NYBRO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45367</v>
      </c>
      <c r="E725" s="1" t="n">
        <v>46237</v>
      </c>
      <c r="F725" t="inlineStr">
        <is>
          <t>KALMAR LÄN</t>
        </is>
      </c>
      <c r="G725" t="inlineStr">
        <is>
          <t>NYBRO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19474-2026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46237</v>
      </c>
      <c r="F726" t="inlineStr">
        <is>
          <t>KALMAR LÄN</t>
        </is>
      </c>
      <c r="G726" t="inlineStr">
        <is>
          <t>NYBRO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59545-2023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46237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28676-2024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45478</v>
      </c>
      <c r="E728" s="1" t="n">
        <v>46237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45966</v>
      </c>
      <c r="E729" s="1" t="n">
        <v>46237</v>
      </c>
      <c r="F729" t="inlineStr">
        <is>
          <t>KALMAR LÄN</t>
        </is>
      </c>
      <c r="G729" t="inlineStr">
        <is>
          <t>NYBRO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45363</v>
      </c>
      <c r="E730" s="1" t="n">
        <v>46237</v>
      </c>
      <c r="F730" t="inlineStr">
        <is>
          <t>KALMAR LÄN</t>
        </is>
      </c>
      <c r="G730" t="inlineStr">
        <is>
          <t>NYBRO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45914</v>
      </c>
      <c r="E731" s="1" t="n">
        <v>46237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2184-2025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46237</v>
      </c>
      <c r="F732" t="inlineStr">
        <is>
          <t>KALMAR LÄN</t>
        </is>
      </c>
      <c r="G732" t="inlineStr">
        <is>
          <t>NYBRO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47616-2025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45930</v>
      </c>
      <c r="E733" s="1" t="n">
        <v>46237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28756-2025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45820</v>
      </c>
      <c r="E734" s="1" t="n">
        <v>46237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45330</v>
      </c>
      <c r="E735" s="1" t="n">
        <v>46237</v>
      </c>
      <c r="F735" t="inlineStr">
        <is>
          <t>KALMAR LÄN</t>
        </is>
      </c>
      <c r="G735" t="inlineStr">
        <is>
          <t>NYBRO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45841</v>
      </c>
      <c r="E736" s="1" t="n">
        <v>46237</v>
      </c>
      <c r="F736" t="inlineStr">
        <is>
          <t>KALMAR LÄN</t>
        </is>
      </c>
      <c r="G736" t="inlineStr">
        <is>
          <t>NYBRO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1079-2024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45301</v>
      </c>
      <c r="E737" s="1" t="n">
        <v>46237</v>
      </c>
      <c r="F737" t="inlineStr">
        <is>
          <t>KALMAR LÄN</t>
        </is>
      </c>
      <c r="G737" t="inlineStr">
        <is>
          <t>NYBRO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54848-2025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45966</v>
      </c>
      <c r="E738" s="1" t="n">
        <v>46237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61060-2021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46237</v>
      </c>
      <c r="F739" t="inlineStr">
        <is>
          <t>KALMAR LÄN</t>
        </is>
      </c>
      <c r="G739" t="inlineStr">
        <is>
          <t>NYBRO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56972-2024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45625</v>
      </c>
      <c r="E740" s="1" t="n">
        <v>46237</v>
      </c>
      <c r="F740" t="inlineStr">
        <is>
          <t>KALMAR LÄN</t>
        </is>
      </c>
      <c r="G740" t="inlineStr">
        <is>
          <t>NYBRO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45705</v>
      </c>
      <c r="E741" s="1" t="n">
        <v>46237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51588-2025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45951</v>
      </c>
      <c r="E742" s="1" t="n">
        <v>46237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45489</v>
      </c>
      <c r="E743" s="1" t="n">
        <v>46237</v>
      </c>
      <c r="F743" t="inlineStr">
        <is>
          <t>KALMAR LÄN</t>
        </is>
      </c>
      <c r="G743" t="inlineStr">
        <is>
          <t>NYBRO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8100-2023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44974</v>
      </c>
      <c r="E744" s="1" t="n">
        <v>46237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28683-2024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46237</v>
      </c>
      <c r="F745" t="inlineStr">
        <is>
          <t>KALMAR LÄN</t>
        </is>
      </c>
      <c r="G745" t="inlineStr">
        <is>
          <t>NYBRO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10457-2024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45366</v>
      </c>
      <c r="E746" s="1" t="n">
        <v>46237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22042-2025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45785</v>
      </c>
      <c r="E747" s="1" t="n">
        <v>46237</v>
      </c>
      <c r="F747" t="inlineStr">
        <is>
          <t>KALMAR LÄN</t>
        </is>
      </c>
      <c r="G747" t="inlineStr">
        <is>
          <t>NYBRO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45577</v>
      </c>
      <c r="E748" s="1" t="n">
        <v>46237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57489-2025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45980</v>
      </c>
      <c r="E749" s="1" t="n">
        <v>46237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47627-2025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46237</v>
      </c>
      <c r="F750" t="inlineStr">
        <is>
          <t>KALMAR LÄN</t>
        </is>
      </c>
      <c r="G750" t="inlineStr">
        <is>
          <t>NYBRO</t>
        </is>
      </c>
      <c r="H750" t="inlineStr">
        <is>
          <t>Kyrkan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14085-2024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45392</v>
      </c>
      <c r="E751" s="1" t="n">
        <v>46237</v>
      </c>
      <c r="F751" t="inlineStr">
        <is>
          <t>KALMAR LÄN</t>
        </is>
      </c>
      <c r="G751" t="inlineStr">
        <is>
          <t>NYBRO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45217</v>
      </c>
      <c r="E752" s="1" t="n">
        <v>46237</v>
      </c>
      <c r="F752" t="inlineStr">
        <is>
          <t>KALMAR LÄN</t>
        </is>
      </c>
      <c r="G752" t="inlineStr">
        <is>
          <t>NYBRO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35635-2025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45859</v>
      </c>
      <c r="E753" s="1" t="n">
        <v>46237</v>
      </c>
      <c r="F753" t="inlineStr">
        <is>
          <t>KALMAR LÄN</t>
        </is>
      </c>
      <c r="G753" t="inlineStr">
        <is>
          <t>NYBRO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61780-2022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46237</v>
      </c>
      <c r="F754" t="inlineStr">
        <is>
          <t>KALMAR LÄN</t>
        </is>
      </c>
      <c r="G754" t="inlineStr">
        <is>
          <t>NYBRO</t>
        </is>
      </c>
      <c r="H754" t="inlineStr">
        <is>
          <t>Kommuner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56574-2025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46237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46237</v>
      </c>
      <c r="F756" t="inlineStr">
        <is>
          <t>KALMAR LÄN</t>
        </is>
      </c>
      <c r="G756" t="inlineStr">
        <is>
          <t>NYBRO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60706-2024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45644</v>
      </c>
      <c r="E757" s="1" t="n">
        <v>46237</v>
      </c>
      <c r="F757" t="inlineStr">
        <is>
          <t>KALMAR LÄN</t>
        </is>
      </c>
      <c r="G757" t="inlineStr">
        <is>
          <t>NYBRO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45551</v>
      </c>
      <c r="E758" s="1" t="n">
        <v>46237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22302-2025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45786</v>
      </c>
      <c r="E759" s="1" t="n">
        <v>46237</v>
      </c>
      <c r="F759" t="inlineStr">
        <is>
          <t>KALMAR LÄN</t>
        </is>
      </c>
      <c r="G759" t="inlineStr">
        <is>
          <t>NYBRO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63111-2023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45273</v>
      </c>
      <c r="E760" s="1" t="n">
        <v>46237</v>
      </c>
      <c r="F760" t="inlineStr">
        <is>
          <t>KALMAR LÄN</t>
        </is>
      </c>
      <c r="G760" t="inlineStr">
        <is>
          <t>NYBRO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39771-2022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44819</v>
      </c>
      <c r="E761" s="1" t="n">
        <v>46237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47632-2025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45931</v>
      </c>
      <c r="E762" s="1" t="n">
        <v>46237</v>
      </c>
      <c r="F762" t="inlineStr">
        <is>
          <t>KALMAR LÄN</t>
        </is>
      </c>
      <c r="G762" t="inlineStr">
        <is>
          <t>NYBRO</t>
        </is>
      </c>
      <c r="H762" t="inlineStr">
        <is>
          <t>Kyrkan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45862</v>
      </c>
      <c r="E763" s="1" t="n">
        <v>46237</v>
      </c>
      <c r="F763" t="inlineStr">
        <is>
          <t>KALMAR LÄN</t>
        </is>
      </c>
      <c r="G763" t="inlineStr">
        <is>
          <t>NYBRO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866-2024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46237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46237</v>
      </c>
      <c r="F765" t="inlineStr">
        <is>
          <t>KALMAR LÄN</t>
        </is>
      </c>
      <c r="G765" t="inlineStr">
        <is>
          <t>NYBRO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45763</v>
      </c>
      <c r="E766" s="1" t="n">
        <v>46237</v>
      </c>
      <c r="F766" t="inlineStr">
        <is>
          <t>KALMAR LÄN</t>
        </is>
      </c>
      <c r="G766" t="inlineStr">
        <is>
          <t>NYBRO</t>
        </is>
      </c>
      <c r="I766" t="n">
        <v>7.7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45327</v>
      </c>
      <c r="E767" s="1" t="n">
        <v>46237</v>
      </c>
      <c r="F767" t="inlineStr">
        <is>
          <t>KALMAR LÄN</t>
        </is>
      </c>
      <c r="G767" t="inlineStr">
        <is>
          <t>NYBRO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9106-2025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45713</v>
      </c>
      <c r="E768" s="1" t="n">
        <v>46237</v>
      </c>
      <c r="F768" t="inlineStr">
        <is>
          <t>KALMAR LÄN</t>
        </is>
      </c>
      <c r="G768" t="inlineStr">
        <is>
          <t>NYBRO</t>
        </is>
      </c>
      <c r="I768" t="n">
        <v>13.2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15510-2024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45401</v>
      </c>
      <c r="E769" s="1" t="n">
        <v>46237</v>
      </c>
      <c r="F769" t="inlineStr">
        <is>
          <t>KALMAR LÄN</t>
        </is>
      </c>
      <c r="G769" t="inlineStr">
        <is>
          <t>NYBRO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38780-2025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45887</v>
      </c>
      <c r="E770" s="1" t="n">
        <v>46237</v>
      </c>
      <c r="F770" t="inlineStr">
        <is>
          <t>KALMAR LÄN</t>
        </is>
      </c>
      <c r="G770" t="inlineStr">
        <is>
          <t>NYBRO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45744</v>
      </c>
      <c r="E771" s="1" t="n">
        <v>46237</v>
      </c>
      <c r="F771" t="inlineStr">
        <is>
          <t>KALMAR LÄN</t>
        </is>
      </c>
      <c r="G771" t="inlineStr">
        <is>
          <t>NYBRO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46237</v>
      </c>
      <c r="F772" t="inlineStr">
        <is>
          <t>KALMAR LÄN</t>
        </is>
      </c>
      <c r="G772" t="inlineStr">
        <is>
          <t>NYBRO</t>
        </is>
      </c>
      <c r="H772" t="inlineStr">
        <is>
          <t>Kommuner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4405-2024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45327</v>
      </c>
      <c r="E773" s="1" t="n">
        <v>46237</v>
      </c>
      <c r="F773" t="inlineStr">
        <is>
          <t>KALMAR LÄN</t>
        </is>
      </c>
      <c r="G773" t="inlineStr">
        <is>
          <t>NYBRO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45346</v>
      </c>
      <c r="E774" s="1" t="n">
        <v>46237</v>
      </c>
      <c r="F774" t="inlineStr">
        <is>
          <t>KALMAR LÄN</t>
        </is>
      </c>
      <c r="G774" t="inlineStr">
        <is>
          <t>NYBRO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11966-2025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45728</v>
      </c>
      <c r="E775" s="1" t="n">
        <v>46237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36374-2024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45534</v>
      </c>
      <c r="E776" s="1" t="n">
        <v>46237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63945-2023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46237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46237</v>
      </c>
      <c r="F778" t="inlineStr">
        <is>
          <t>KALMAR LÄN</t>
        </is>
      </c>
      <c r="G778" t="inlineStr">
        <is>
          <t>NYBRO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45610</v>
      </c>
      <c r="E779" s="1" t="n">
        <v>46237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29847-2022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44756</v>
      </c>
      <c r="E780" s="1" t="n">
        <v>46237</v>
      </c>
      <c r="F780" t="inlineStr">
        <is>
          <t>KALMAR LÄN</t>
        </is>
      </c>
      <c r="G780" t="inlineStr">
        <is>
          <t>NYBRO</t>
        </is>
      </c>
      <c r="H780" t="inlineStr">
        <is>
          <t>Kyrkan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45091</v>
      </c>
      <c r="E781" s="1" t="n">
        <v>46237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51082-2022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44868</v>
      </c>
      <c r="E782" s="1" t="n">
        <v>46237</v>
      </c>
      <c r="F782" t="inlineStr">
        <is>
          <t>KALMAR LÄN</t>
        </is>
      </c>
      <c r="G782" t="inlineStr">
        <is>
          <t>NYBRO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46237</v>
      </c>
      <c r="F783" t="inlineStr">
        <is>
          <t>KALMAR LÄN</t>
        </is>
      </c>
      <c r="G783" t="inlineStr">
        <is>
          <t>NYBRO</t>
        </is>
      </c>
      <c r="H783" t="inlineStr">
        <is>
          <t>Sveaskog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45792</v>
      </c>
      <c r="E784" s="1" t="n">
        <v>46237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10114-2022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44621</v>
      </c>
      <c r="E785" s="1" t="n">
        <v>46237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29543-2024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45484</v>
      </c>
      <c r="E786" s="1" t="n">
        <v>46237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49929-2022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46237</v>
      </c>
      <c r="F787" t="inlineStr">
        <is>
          <t>KALMAR LÄN</t>
        </is>
      </c>
      <c r="G787" t="inlineStr">
        <is>
          <t>NYBRO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46237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9942-2023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44985</v>
      </c>
      <c r="E789" s="1" t="n">
        <v>46237</v>
      </c>
      <c r="F789" t="inlineStr">
        <is>
          <t>KALMAR LÄN</t>
        </is>
      </c>
      <c r="G789" t="inlineStr">
        <is>
          <t>NYBRO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25547-2024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45463</v>
      </c>
      <c r="E790" s="1" t="n">
        <v>46237</v>
      </c>
      <c r="F790" t="inlineStr">
        <is>
          <t>KALMAR LÄN</t>
        </is>
      </c>
      <c r="G790" t="inlineStr">
        <is>
          <t>NYBRO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45761</v>
      </c>
      <c r="E791" s="1" t="n">
        <v>46237</v>
      </c>
      <c r="F791" t="inlineStr">
        <is>
          <t>KALMAR LÄN</t>
        </is>
      </c>
      <c r="G791" t="inlineStr">
        <is>
          <t>NYBRO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45534</v>
      </c>
      <c r="E792" s="1" t="n">
        <v>46237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14544-2024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45394</v>
      </c>
      <c r="E793" s="1" t="n">
        <v>46237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45090</v>
      </c>
      <c r="E794" s="1" t="n">
        <v>46237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6895-2024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45342</v>
      </c>
      <c r="E795" s="1" t="n">
        <v>46237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45400</v>
      </c>
      <c r="E796" s="1" t="n">
        <v>46237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39624-2024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45552</v>
      </c>
      <c r="E797" s="1" t="n">
        <v>46237</v>
      </c>
      <c r="F797" t="inlineStr">
        <is>
          <t>KALMAR LÄN</t>
        </is>
      </c>
      <c r="G797" t="inlineStr">
        <is>
          <t>NYBRO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19943-2022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44697</v>
      </c>
      <c r="E798" s="1" t="n">
        <v>46237</v>
      </c>
      <c r="F798" t="inlineStr">
        <is>
          <t>KALMAR LÄN</t>
        </is>
      </c>
      <c r="G798" t="inlineStr">
        <is>
          <t>NYBRO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34362-2024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45525</v>
      </c>
      <c r="E799" s="1" t="n">
        <v>46237</v>
      </c>
      <c r="F799" t="inlineStr">
        <is>
          <t>KALMAR LÄN</t>
        </is>
      </c>
      <c r="G799" t="inlineStr">
        <is>
          <t>NYBRO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46237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28362-2025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45818</v>
      </c>
      <c r="E801" s="1" t="n">
        <v>46237</v>
      </c>
      <c r="F801" t="inlineStr">
        <is>
          <t>KALMAR LÄN</t>
        </is>
      </c>
      <c r="G801" t="inlineStr">
        <is>
          <t>NYBRO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46237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29059-2025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46237</v>
      </c>
      <c r="F803" t="inlineStr">
        <is>
          <t>KALMAR LÄN</t>
        </is>
      </c>
      <c r="G803" t="inlineStr">
        <is>
          <t>NYBRO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46237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29586-2025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45825</v>
      </c>
      <c r="E805" s="1" t="n">
        <v>46237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31747-2025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46237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46237</v>
      </c>
      <c r="F807" t="inlineStr">
        <is>
          <t>KALMAR LÄN</t>
        </is>
      </c>
      <c r="G807" t="inlineStr">
        <is>
          <t>NYBRO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31753-2025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46237</v>
      </c>
      <c r="F808" t="inlineStr">
        <is>
          <t>KALMAR LÄN</t>
        </is>
      </c>
      <c r="G808" t="inlineStr">
        <is>
          <t>NYBRO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45833</v>
      </c>
      <c r="E809" s="1" t="n">
        <v>46237</v>
      </c>
      <c r="F809" t="inlineStr">
        <is>
          <t>KALMAR LÄN</t>
        </is>
      </c>
      <c r="G809" t="inlineStr">
        <is>
          <t>NYBRO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31763-2025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46237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45837</v>
      </c>
      <c r="E811" s="1" t="n">
        <v>46237</v>
      </c>
      <c r="F811" t="inlineStr">
        <is>
          <t>KALMAR LÄN</t>
        </is>
      </c>
      <c r="G811" t="inlineStr">
        <is>
          <t>NYBRO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32347-2025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45837</v>
      </c>
      <c r="E812" s="1" t="n">
        <v>46237</v>
      </c>
      <c r="F812" t="inlineStr">
        <is>
          <t>KALMAR LÄN</t>
        </is>
      </c>
      <c r="G812" t="inlineStr">
        <is>
          <t>NYBRO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46237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45846</v>
      </c>
      <c r="E814" s="1" t="n">
        <v>46237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45817</v>
      </c>
      <c r="E815" s="1" t="n">
        <v>46237</v>
      </c>
      <c r="F815" t="inlineStr">
        <is>
          <t>KALMAR LÄN</t>
        </is>
      </c>
      <c r="G815" t="inlineStr">
        <is>
          <t>NYBRO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46237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54245-2024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46237</v>
      </c>
      <c r="F817" t="inlineStr">
        <is>
          <t>KALMAR LÄN</t>
        </is>
      </c>
      <c r="G817" t="inlineStr">
        <is>
          <t>NYBRO</t>
        </is>
      </c>
      <c r="I817" t="n">
        <v>10.1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45852</v>
      </c>
      <c r="E818" s="1" t="n">
        <v>46237</v>
      </c>
      <c r="F818" t="inlineStr">
        <is>
          <t>KALMAR LÄN</t>
        </is>
      </c>
      <c r="G818" t="inlineStr">
        <is>
          <t>NYBRO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35522-2025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46237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35521-2025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45856</v>
      </c>
      <c r="E820" s="1" t="n">
        <v>46237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45818</v>
      </c>
      <c r="E821" s="1" t="n">
        <v>46237</v>
      </c>
      <c r="F821" t="inlineStr">
        <is>
          <t>KALMAR LÄN</t>
        </is>
      </c>
      <c r="G821" t="inlineStr">
        <is>
          <t>NYBRO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54255-2024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46237</v>
      </c>
      <c r="F822" t="inlineStr">
        <is>
          <t>KALMAR LÄN</t>
        </is>
      </c>
      <c r="G822" t="inlineStr">
        <is>
          <t>NYBRO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37559-2025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45880</v>
      </c>
      <c r="E823" s="1" t="n">
        <v>46237</v>
      </c>
      <c r="F823" t="inlineStr">
        <is>
          <t>KALMAR LÄN</t>
        </is>
      </c>
      <c r="G823" t="inlineStr">
        <is>
          <t>NYBRO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37556-2025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46237</v>
      </c>
      <c r="F824" t="inlineStr">
        <is>
          <t>KALMAR LÄN</t>
        </is>
      </c>
      <c r="G824" t="inlineStr">
        <is>
          <t>NYBRO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46237</v>
      </c>
      <c r="F825" t="inlineStr">
        <is>
          <t>KALMAR LÄN</t>
        </is>
      </c>
      <c r="G825" t="inlineStr">
        <is>
          <t>NYBRO</t>
        </is>
      </c>
      <c r="H825" t="inlineStr">
        <is>
          <t>Kommuner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45882</v>
      </c>
      <c r="E826" s="1" t="n">
        <v>46237</v>
      </c>
      <c r="F826" t="inlineStr">
        <is>
          <t>KALMAR LÄN</t>
        </is>
      </c>
      <c r="G826" t="inlineStr">
        <is>
          <t>NYBRO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46237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46237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477-2022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46237</v>
      </c>
      <c r="F829" t="inlineStr">
        <is>
          <t>KALMAR LÄN</t>
        </is>
      </c>
      <c r="G829" t="inlineStr">
        <is>
          <t>NYBRO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44594</v>
      </c>
      <c r="E830" s="1" t="n">
        <v>46237</v>
      </c>
      <c r="F830" t="inlineStr">
        <is>
          <t>KALMAR LÄN</t>
        </is>
      </c>
      <c r="G830" t="inlineStr">
        <is>
          <t>NYBRO</t>
        </is>
      </c>
      <c r="I830" t="n">
        <v>50.7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2489-2022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44693</v>
      </c>
      <c r="E831" s="1" t="n">
        <v>46237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453-2022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46237</v>
      </c>
      <c r="F832" t="inlineStr">
        <is>
          <t>KALMAR LÄN</t>
        </is>
      </c>
      <c r="G832" t="inlineStr">
        <is>
          <t>NYBRO</t>
        </is>
      </c>
      <c r="I832" t="n">
        <v>20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645-2023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44973</v>
      </c>
      <c r="E833" s="1" t="n">
        <v>46237</v>
      </c>
      <c r="F833" t="inlineStr">
        <is>
          <t>KALMAR LÄN</t>
        </is>
      </c>
      <c r="G833" t="inlineStr">
        <is>
          <t>NYBRO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45422</v>
      </c>
      <c r="E834" s="1" t="n">
        <v>46237</v>
      </c>
      <c r="F834" t="inlineStr">
        <is>
          <t>KALMAR LÄN</t>
        </is>
      </c>
      <c r="G834" t="inlineStr">
        <is>
          <t>NYBRO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46237</v>
      </c>
      <c r="F835" t="inlineStr">
        <is>
          <t>KALMAR LÄN</t>
        </is>
      </c>
      <c r="G835" t="inlineStr">
        <is>
          <t>NYBRO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2203-2024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45457</v>
      </c>
      <c r="E836" s="1" t="n">
        <v>46237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1948-2023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45088</v>
      </c>
      <c r="E837" s="1" t="n">
        <v>46237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2431-2024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45469</v>
      </c>
      <c r="E838" s="1" t="n">
        <v>46237</v>
      </c>
      <c r="F838" t="inlineStr">
        <is>
          <t>KALMAR LÄN</t>
        </is>
      </c>
      <c r="G838" t="inlineStr">
        <is>
          <t>NYBRO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926-2023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45000</v>
      </c>
      <c r="E839" s="1" t="n">
        <v>46237</v>
      </c>
      <c r="F839" t="inlineStr">
        <is>
          <t>KALMAR LÄN</t>
        </is>
      </c>
      <c r="G839" t="inlineStr">
        <is>
          <t>NYBRO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3791-2023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45224</v>
      </c>
      <c r="E840" s="1" t="n">
        <v>46237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4042-2024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45572</v>
      </c>
      <c r="E841" s="1" t="n">
        <v>46237</v>
      </c>
      <c r="F841" t="inlineStr">
        <is>
          <t>KALMAR LÄN</t>
        </is>
      </c>
      <c r="G841" t="inlineStr">
        <is>
          <t>NYBRO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46237</v>
      </c>
      <c r="F842" t="inlineStr">
        <is>
          <t>KALMAR LÄN</t>
        </is>
      </c>
      <c r="G842" t="inlineStr">
        <is>
          <t>NYBRO</t>
        </is>
      </c>
      <c r="I842" t="n">
        <v>46.2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3795-2024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45558</v>
      </c>
      <c r="E843" s="1" t="n">
        <v>46237</v>
      </c>
      <c r="F843" t="inlineStr">
        <is>
          <t>KALMAR LÄN</t>
        </is>
      </c>
      <c r="G843" t="inlineStr">
        <is>
          <t>NYBRO</t>
        </is>
      </c>
      <c r="I843" t="n">
        <v>23.6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4877-2022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44806</v>
      </c>
      <c r="E844" s="1" t="n">
        <v>46237</v>
      </c>
      <c r="F844" t="inlineStr">
        <is>
          <t>KALMAR LÄN</t>
        </is>
      </c>
      <c r="G844" t="inlineStr">
        <is>
          <t>NYBRO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5164-2024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46237</v>
      </c>
      <c r="F845" t="inlineStr">
        <is>
          <t>KALMAR LÄN</t>
        </is>
      </c>
      <c r="G845" t="inlineStr">
        <is>
          <t>NYBRO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1608-2023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45056</v>
      </c>
      <c r="E846" s="1" t="n">
        <v>46237</v>
      </c>
      <c r="F846" t="inlineStr">
        <is>
          <t>KALMAR LÄN</t>
        </is>
      </c>
      <c r="G846" t="inlineStr">
        <is>
          <t>NYBRO</t>
        </is>
      </c>
      <c r="I846" t="n">
        <v>16.4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5162-2024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45649</v>
      </c>
      <c r="E847" s="1" t="n">
        <v>46237</v>
      </c>
      <c r="F847" t="inlineStr">
        <is>
          <t>KALMAR LÄN</t>
        </is>
      </c>
      <c r="G847" t="inlineStr">
        <is>
          <t>NYBRO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46237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46237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46237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46237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46237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46237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46237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46237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46237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46237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46237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46237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46237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46237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2026-08-03T01:52:57Z</dcterms:created>
  <dcterms:modified xmlns:dcterms="http://purl.org/dc/terms/" xmlns:xsi="http://www.w3.org/2001/XMLSchema-instance" xsi:type="dcterms:W3CDTF">2026-08-03T01:52:58Z</dcterms:modified>
</cp:coreProperties>
</file>