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46321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46321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46321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46321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46321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46321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46321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46321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46321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46321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46321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46321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46321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46321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46321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46321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46321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23739-2026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46164</v>
      </c>
      <c r="E22" s="1" t="n">
        <v>46321</v>
      </c>
      <c r="F22" t="inlineStr">
        <is>
          <t>KALMAR LÄN</t>
        </is>
      </c>
      <c r="G22" t="inlineStr">
        <is>
          <t>NYBRO</t>
        </is>
      </c>
      <c r="I22" t="n">
        <v>2.2</v>
      </c>
      <c r="J22" t="n">
        <v>3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Sandödla
Ekoxe
Myskbock
Vanlig groda</t>
        </is>
      </c>
      <c r="W22">
        <f>HYPERLINK("https://klasma.github.io/Logging_0881/artfynd/A 23739-2026 artfynd.xlsx", "A 23739-2026")</f>
        <v/>
      </c>
      <c r="X22">
        <f>HYPERLINK("https://klasma.github.io/Logging_0881/kartor/A 23739-2026 karta.png", "A 23739-2026")</f>
        <v/>
      </c>
      <c r="Y22">
        <f>HYPERLINK("https://klasma.github.io/Logging_0881/kartor_geotiff/A 23739-2026 georefererad karta.tif", "A 23739-2026")</f>
        <v/>
      </c>
      <c r="AA22">
        <f>HYPERLINK("https://klasma.github.io/Logging_0881/klagomål/A 23739-2026 FSC-klagomål.docx", "A 23739-2026")</f>
        <v/>
      </c>
      <c r="AB22">
        <f>HYPERLINK("https://klasma.github.io/Logging_0881/klagomålsmail/A 23739-2026 FSC-klagomål mail.docx", "A 23739-2026")</f>
        <v/>
      </c>
      <c r="AC22">
        <f>HYPERLINK("https://klasma.github.io/Logging_0881/tillsyn/A 23739-2026 tillsynsbegäran.docx", "A 23739-2026")</f>
        <v/>
      </c>
      <c r="AD22">
        <f>HYPERLINK("https://klasma.github.io/Logging_0881/tillsynsmail/A 23739-2026 tillsynsbegäran mail.docx", "A 23739-2026")</f>
        <v/>
      </c>
    </row>
    <row r="23" ht="15" customHeight="1">
      <c r="A23" t="inlineStr">
        <is>
          <t>A 25079-2026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46321</v>
      </c>
      <c r="F23" t="inlineStr">
        <is>
          <t>KALMAR LÄN</t>
        </is>
      </c>
      <c r="G23" t="inlineStr">
        <is>
          <t>NYBRO</t>
        </is>
      </c>
      <c r="I23" t="n">
        <v>3.3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Talltita
Vågbandad barkbock
Kungsfågel
Skogsödla</t>
        </is>
      </c>
      <c r="W23">
        <f>HYPERLINK("https://klasma.github.io/Logging_0881/artfynd/A 25079-2026 artfynd.xlsx", "A 25079-2026")</f>
        <v/>
      </c>
      <c r="X23">
        <f>HYPERLINK("https://klasma.github.io/Logging_0881/kartor/A 25079-2026 karta.png", "A 25079-2026")</f>
        <v/>
      </c>
      <c r="Y23">
        <f>HYPERLINK("https://klasma.github.io/Logging_0881/kartor_geotiff/A 25079-2026 georefererad karta.tif", "A 25079-2026")</f>
        <v/>
      </c>
      <c r="AA23">
        <f>HYPERLINK("https://klasma.github.io/Logging_0881/klagomål/A 25079-2026 FSC-klagomål.docx", "A 25079-2026")</f>
        <v/>
      </c>
      <c r="AB23">
        <f>HYPERLINK("https://klasma.github.io/Logging_0881/klagomålsmail/A 25079-2026 FSC-klagomål mail.docx", "A 25079-2026")</f>
        <v/>
      </c>
      <c r="AC23">
        <f>HYPERLINK("https://klasma.github.io/Logging_0881/tillsyn/A 25079-2026 tillsynsbegäran.docx", "A 25079-2026")</f>
        <v/>
      </c>
      <c r="AD23">
        <f>HYPERLINK("https://klasma.github.io/Logging_0881/tillsynsmail/A 25079-2026 tillsynsbegäran mail.docx", "A 25079-2026")</f>
        <v/>
      </c>
      <c r="AE23">
        <f>HYPERLINK("https://klasma.github.io/Logging_0881/fåglar/A 25079-2026 prioriterade fågelarter.docx", "A 25079-2026")</f>
        <v/>
      </c>
    </row>
    <row r="24" ht="15" customHeight="1">
      <c r="A24" t="inlineStr">
        <is>
          <t>A 30500-2026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46321</v>
      </c>
      <c r="F24" t="inlineStr">
        <is>
          <t>KALMAR LÄN</t>
        </is>
      </c>
      <c r="G24" t="inlineStr">
        <is>
          <t>NYBRO</t>
        </is>
      </c>
      <c r="I24" t="n">
        <v>3.2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Ekskinn
Fällmossa
Lönnlav
Blåsippa</t>
        </is>
      </c>
      <c r="W24">
        <f>HYPERLINK("https://klasma.github.io/Logging_0881/artfynd/A 30500-2026 artfynd.xlsx", "A 30500-2026")</f>
        <v/>
      </c>
      <c r="X24">
        <f>HYPERLINK("https://klasma.github.io/Logging_0881/kartor/A 30500-2026 karta.png", "A 30500-2026")</f>
        <v/>
      </c>
      <c r="Y24">
        <f>HYPERLINK("https://klasma.github.io/Logging_0881/kartor_geotiff/A 30500-2026 georefererad karta.tif", "A 30500-2026")</f>
        <v/>
      </c>
      <c r="AA24">
        <f>HYPERLINK("https://klasma.github.io/Logging_0881/klagomål/A 30500-2026 FSC-klagomål.docx", "A 30500-2026")</f>
        <v/>
      </c>
      <c r="AB24">
        <f>HYPERLINK("https://klasma.github.io/Logging_0881/klagomålsmail/A 30500-2026 FSC-klagomål mail.docx", "A 30500-2026")</f>
        <v/>
      </c>
      <c r="AC24">
        <f>HYPERLINK("https://klasma.github.io/Logging_0881/tillsyn/A 30500-2026 tillsynsbegäran.docx", "A 30500-2026")</f>
        <v/>
      </c>
      <c r="AD24">
        <f>HYPERLINK("https://klasma.github.io/Logging_0881/tillsynsmail/A 30500-2026 tillsynsbegäran mail.docx", "A 30500-2026")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46321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46321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46321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46321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46321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46321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46321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46321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61894-2024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45652</v>
      </c>
      <c r="E33" s="1" t="n">
        <v>46321</v>
      </c>
      <c r="F33" t="inlineStr">
        <is>
          <t>KALMAR LÄN</t>
        </is>
      </c>
      <c r="G33" t="inlineStr">
        <is>
          <t>NYBRO</t>
        </is>
      </c>
      <c r="I33" t="n">
        <v>2.3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Blåmossa
Skogsknipprot
Spillkråka</t>
        </is>
      </c>
      <c r="W33">
        <f>HYPERLINK("https://klasma.github.io/Logging_0881/artfynd/A 61894-2024 artfynd.xlsx", "A 61894-2024")</f>
        <v/>
      </c>
      <c r="X33">
        <f>HYPERLINK("https://klasma.github.io/Logging_0881/kartor/A 61894-2024 karta.png", "A 61894-2024")</f>
        <v/>
      </c>
      <c r="Y33">
        <f>HYPERLINK("https://klasma.github.io/Logging_0881/kartor_geotiff/A 61894-2024 georefererad karta.tif", "A 61894-2024")</f>
        <v/>
      </c>
      <c r="AA33">
        <f>HYPERLINK("https://klasma.github.io/Logging_0881/klagomål/A 61894-2024 FSC-klagomål.docx", "A 61894-2024")</f>
        <v/>
      </c>
      <c r="AB33">
        <f>HYPERLINK("https://klasma.github.io/Logging_0881/klagomålsmail/A 61894-2024 FSC-klagomål mail.docx", "A 61894-2024")</f>
        <v/>
      </c>
      <c r="AC33">
        <f>HYPERLINK("https://klasma.github.io/Logging_0881/tillsyn/A 61894-2024 tillsynsbegäran.docx", "A 61894-2024")</f>
        <v/>
      </c>
      <c r="AD33">
        <f>HYPERLINK("https://klasma.github.io/Logging_0881/tillsynsmail/A 61894-2024 tillsynsbegäran mail.docx", "A 61894-2024")</f>
        <v/>
      </c>
      <c r="AE33">
        <f>HYPERLINK("https://klasma.github.io/Logging_0881/fåglar/A 61894-2024 prioriterade fågelarter.docx", "A 61894-2024")</f>
        <v/>
      </c>
    </row>
    <row r="34" ht="15" customHeight="1">
      <c r="A34" t="inlineStr">
        <is>
          <t>A 18399-2026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46321</v>
      </c>
      <c r="F34" t="inlineStr">
        <is>
          <t>KALMAR LÄN</t>
        </is>
      </c>
      <c r="G34" t="inlineStr">
        <is>
          <t>NYBRO</t>
        </is>
      </c>
      <c r="H34" t="inlineStr">
        <is>
          <t>Sveaskog</t>
        </is>
      </c>
      <c r="I34" t="n">
        <v>12.2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Aspstumpbagge
Stekelbock
Spillkråka</t>
        </is>
      </c>
      <c r="W34">
        <f>HYPERLINK("https://klasma.github.io/Logging_0881/artfynd/A 18399-2026 artfynd.xlsx", "A 18399-2026")</f>
        <v/>
      </c>
      <c r="X34">
        <f>HYPERLINK("https://klasma.github.io/Logging_0881/kartor/A 18399-2026 karta.png", "A 18399-2026")</f>
        <v/>
      </c>
      <c r="Y34">
        <f>HYPERLINK("https://klasma.github.io/Logging_0881/kartor_geotiff/A 18399-2026 georefererad karta.tif", "A 18399-2026")</f>
        <v/>
      </c>
      <c r="AA34">
        <f>HYPERLINK("https://klasma.github.io/Logging_0881/klagomål/A 18399-2026 FSC-klagomål.docx", "A 18399-2026")</f>
        <v/>
      </c>
      <c r="AB34">
        <f>HYPERLINK("https://klasma.github.io/Logging_0881/klagomålsmail/A 18399-2026 FSC-klagomål mail.docx", "A 18399-2026")</f>
        <v/>
      </c>
      <c r="AC34">
        <f>HYPERLINK("https://klasma.github.io/Logging_0881/tillsyn/A 18399-2026 tillsynsbegäran.docx", "A 18399-2026")</f>
        <v/>
      </c>
      <c r="AD34">
        <f>HYPERLINK("https://klasma.github.io/Logging_0881/tillsynsmail/A 18399-2026 tillsynsbegäran mail.docx", "A 18399-2026")</f>
        <v/>
      </c>
      <c r="AE34">
        <f>HYPERLINK("https://klasma.github.io/Logging_0881/fåglar/A 18399-2026 prioriterade fågelarter.docx", "A 18399-2026")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46321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46321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46321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46321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46321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46321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46321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46321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46321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46321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39038-2025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45888</v>
      </c>
      <c r="E45" s="1" t="n">
        <v>46321</v>
      </c>
      <c r="F45" t="inlineStr">
        <is>
          <t>KALMAR LÄN</t>
        </is>
      </c>
      <c r="G45" t="inlineStr">
        <is>
          <t>NYBRO</t>
        </is>
      </c>
      <c r="I45" t="n">
        <v>1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Revlummer</t>
        </is>
      </c>
      <c r="W45">
        <f>HYPERLINK("https://klasma.github.io/Logging_0881/artfynd/A 39038-2025 artfynd.xlsx", "A 39038-2025")</f>
        <v/>
      </c>
      <c r="X45">
        <f>HYPERLINK("https://klasma.github.io/Logging_0881/kartor/A 39038-2025 karta.png", "A 39038-2025")</f>
        <v/>
      </c>
      <c r="Y45">
        <f>HYPERLINK("https://klasma.github.io/Logging_0881/kartor_geotiff/A 39038-2025 georefererad karta.tif", "A 39038-2025")</f>
        <v/>
      </c>
      <c r="AA45">
        <f>HYPERLINK("https://klasma.github.io/Logging_0881/klagomål/A 39038-2025 FSC-klagomål.docx", "A 39038-2025")</f>
        <v/>
      </c>
      <c r="AB45">
        <f>HYPERLINK("https://klasma.github.io/Logging_0881/klagomålsmail/A 39038-2025 FSC-klagomål mail.docx", "A 39038-2025")</f>
        <v/>
      </c>
      <c r="AC45">
        <f>HYPERLINK("https://klasma.github.io/Logging_0881/tillsyn/A 39038-2025 tillsynsbegäran.docx", "A 39038-2025")</f>
        <v/>
      </c>
      <c r="AD45">
        <f>HYPERLINK("https://klasma.github.io/Logging_0881/tillsynsmail/A 39038-2025 tillsynsbegäran mail.docx", "A 39038-2025")</f>
        <v/>
      </c>
      <c r="AE45">
        <f>HYPERLINK("https://klasma.github.io/Logging_0881/fåglar/A 39038-2025 prioriterade fågelarter.docx", "A 39038-2025")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46321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46321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61771-2022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44917</v>
      </c>
      <c r="E48" s="1" t="n">
        <v>46321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10.4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HYPERLINK("https://klasma.github.io/Logging_0881/artfynd/A 61771-2022 artfynd.xlsx", "A 61771-2022")</f>
        <v/>
      </c>
      <c r="X48">
        <f>HYPERLINK("https://klasma.github.io/Logging_0881/kartor/A 61771-2022 karta.png", "A 61771-2022")</f>
        <v/>
      </c>
      <c r="Y48">
        <f>HYPERLINK("https://klasma.github.io/Logging_0881/kartor_geotiff/A 61771-2022 georefererad karta.tif", "A 61771-2022")</f>
        <v/>
      </c>
      <c r="AA48">
        <f>HYPERLINK("https://klasma.github.io/Logging_0881/klagomål/A 61771-2022 FSC-klagomål.docx", "A 61771-2022")</f>
        <v/>
      </c>
      <c r="AB48">
        <f>HYPERLINK("https://klasma.github.io/Logging_0881/klagomålsmail/A 61771-2022 FSC-klagomål mail.docx", "A 61771-2022")</f>
        <v/>
      </c>
      <c r="AC48">
        <f>HYPERLINK("https://klasma.github.io/Logging_0881/tillsyn/A 61771-2022 tillsynsbegäran.docx", "A 61771-2022")</f>
        <v/>
      </c>
      <c r="AD48">
        <f>HYPERLINK("https://klasma.github.io/Logging_0881/tillsynsmail/A 61771-2022 tillsynsbegäran mail.docx", "A 61771-2022")</f>
        <v/>
      </c>
      <c r="AE48">
        <f>HYPERLINK("https://klasma.github.io/Logging_0881/fåglar/A 61771-2022 prioriterade fågelarter.docx", "A 61771-2022")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46321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36098-2023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45149</v>
      </c>
      <c r="E50" s="1" t="n">
        <v>46321</v>
      </c>
      <c r="F50" t="inlineStr">
        <is>
          <t>KALMAR LÄN</t>
        </is>
      </c>
      <c r="G50" t="inlineStr">
        <is>
          <t>NYBRO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Svart skogssnigel
Kärrviol</t>
        </is>
      </c>
      <c r="W50">
        <f>HYPERLINK("https://klasma.github.io/Logging_0881/artfynd/A 36098-2023 artfynd.xlsx", "A 36098-2023")</f>
        <v/>
      </c>
      <c r="X50">
        <f>HYPERLINK("https://klasma.github.io/Logging_0881/kartor/A 36098-2023 karta.png", "A 36098-2023")</f>
        <v/>
      </c>
      <c r="Y50">
        <f>HYPERLINK("https://klasma.github.io/Logging_0881/kartor_geotiff/A 36098-2023 georefererad karta.tif", "A 36098-2023")</f>
        <v/>
      </c>
      <c r="AA50">
        <f>HYPERLINK("https://klasma.github.io/Logging_0881/klagomål/A 36098-2023 FSC-klagomål.docx", "A 36098-2023")</f>
        <v/>
      </c>
      <c r="AB50">
        <f>HYPERLINK("https://klasma.github.io/Logging_0881/klagomålsmail/A 36098-2023 FSC-klagomål mail.docx", "A 36098-2023")</f>
        <v/>
      </c>
      <c r="AC50">
        <f>HYPERLINK("https://klasma.github.io/Logging_0881/tillsyn/A 36098-2023 tillsynsbegäran.docx", "A 36098-2023")</f>
        <v/>
      </c>
      <c r="AD50">
        <f>HYPERLINK("https://klasma.github.io/Logging_0881/tillsynsmail/A 36098-2023 tillsynsbegäran mail.docx", "A 36098-2023")</f>
        <v/>
      </c>
    </row>
    <row r="51" ht="15" customHeight="1">
      <c r="A51" t="inlineStr">
        <is>
          <t>A 9153-2023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46321</v>
      </c>
      <c r="F51" t="inlineStr">
        <is>
          <t>KALMAR LÄN</t>
        </is>
      </c>
      <c r="G51" t="inlineStr">
        <is>
          <t>NYBRO</t>
        </is>
      </c>
      <c r="I51" t="n">
        <v>2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3</v>
      </c>
      <c r="V51" s="2" t="inlineStr">
        <is>
          <t>Sandödla
Mindre hackspett</t>
        </is>
      </c>
      <c r="W51">
        <f>HYPERLINK("https://klasma.github.io/Logging_0881/artfynd/A 9153-2023 artfynd.xlsx", "A 9153-2023")</f>
        <v/>
      </c>
      <c r="X51">
        <f>HYPERLINK("https://klasma.github.io/Logging_0881/kartor/A 9153-2023 karta.png", "A 9153-2023")</f>
        <v/>
      </c>
      <c r="Y51">
        <f>HYPERLINK("https://klasma.github.io/Logging_0881/kartor_geotiff/A 9153-2023 georefererad karta.tif", "A 9153-2023")</f>
        <v/>
      </c>
      <c r="AA51">
        <f>HYPERLINK("https://klasma.github.io/Logging_0881/klagomål/A 9153-2023 FSC-klagomål.docx", "A 9153-2023")</f>
        <v/>
      </c>
      <c r="AB51">
        <f>HYPERLINK("https://klasma.github.io/Logging_0881/klagomålsmail/A 9153-2023 FSC-klagomål mail.docx", "A 9153-2023")</f>
        <v/>
      </c>
      <c r="AC51">
        <f>HYPERLINK("https://klasma.github.io/Logging_0881/tillsyn/A 9153-2023 tillsynsbegäran.docx", "A 9153-2023")</f>
        <v/>
      </c>
      <c r="AD51">
        <f>HYPERLINK("https://klasma.github.io/Logging_0881/tillsynsmail/A 9153-2023 tillsynsbegäran mail.docx", "A 9153-2023")</f>
        <v/>
      </c>
      <c r="AE51">
        <f>HYPERLINK("https://klasma.github.io/Logging_0881/fåglar/A 9153-2023 prioriterade fågelarter.docx", "A 9153-2023")</f>
        <v/>
      </c>
    </row>
    <row r="52" ht="15" customHeight="1">
      <c r="A52" t="inlineStr">
        <is>
          <t>A 61796-2024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46321</v>
      </c>
      <c r="F52" t="inlineStr">
        <is>
          <t>KALMAR LÄN</t>
        </is>
      </c>
      <c r="G52" t="inlineStr">
        <is>
          <t>NYBRO</t>
        </is>
      </c>
      <c r="I52" t="n">
        <v>4.8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Dvärgbägarlav
Tjäder</t>
        </is>
      </c>
      <c r="W52">
        <f>HYPERLINK("https://klasma.github.io/Logging_0881/artfynd/A 61796-2024 artfynd.xlsx", "A 61796-2024")</f>
        <v/>
      </c>
      <c r="X52">
        <f>HYPERLINK("https://klasma.github.io/Logging_0881/kartor/A 61796-2024 karta.png", "A 61796-2024")</f>
        <v/>
      </c>
      <c r="Y52">
        <f>HYPERLINK("https://klasma.github.io/Logging_0881/kartor_geotiff/A 61796-2024 georefererad karta.tif", "A 61796-2024")</f>
        <v/>
      </c>
      <c r="AA52">
        <f>HYPERLINK("https://klasma.github.io/Logging_0881/klagomål/A 61796-2024 FSC-klagomål.docx", "A 61796-2024")</f>
        <v/>
      </c>
      <c r="AB52">
        <f>HYPERLINK("https://klasma.github.io/Logging_0881/klagomålsmail/A 61796-2024 FSC-klagomål mail.docx", "A 61796-2024")</f>
        <v/>
      </c>
      <c r="AC52">
        <f>HYPERLINK("https://klasma.github.io/Logging_0881/tillsyn/A 61796-2024 tillsynsbegäran.docx", "A 61796-2024")</f>
        <v/>
      </c>
      <c r="AD52">
        <f>HYPERLINK("https://klasma.github.io/Logging_0881/tillsynsmail/A 61796-2024 tillsynsbegäran mail.docx", "A 61796-2024")</f>
        <v/>
      </c>
      <c r="AE52">
        <f>HYPERLINK("https://klasma.github.io/Logging_0881/fåglar/A 61796-2024 prioriterade fågelarter.docx", "A 61796-2024")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46321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28131-2025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45818</v>
      </c>
      <c r="E54" s="1" t="n">
        <v>46321</v>
      </c>
      <c r="F54" t="inlineStr">
        <is>
          <t>KALMAR LÄN</t>
        </is>
      </c>
      <c r="G54" t="inlineStr">
        <is>
          <t>NYBRO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Blåmossa
Spillkråka</t>
        </is>
      </c>
      <c r="W54">
        <f>HYPERLINK("https://klasma.github.io/Logging_0881/artfynd/A 28131-2025 artfynd.xlsx", "A 28131-2025")</f>
        <v/>
      </c>
      <c r="X54">
        <f>HYPERLINK("https://klasma.github.io/Logging_0881/kartor/A 28131-2025 karta.png", "A 28131-2025")</f>
        <v/>
      </c>
      <c r="Y54">
        <f>HYPERLINK("https://klasma.github.io/Logging_0881/kartor_geotiff/A 28131-2025 georefererad karta.tif", "A 28131-2025")</f>
        <v/>
      </c>
      <c r="AA54">
        <f>HYPERLINK("https://klasma.github.io/Logging_0881/klagomål/A 28131-2025 FSC-klagomål.docx", "A 28131-2025")</f>
        <v/>
      </c>
      <c r="AB54">
        <f>HYPERLINK("https://klasma.github.io/Logging_0881/klagomålsmail/A 28131-2025 FSC-klagomål mail.docx", "A 28131-2025")</f>
        <v/>
      </c>
      <c r="AC54">
        <f>HYPERLINK("https://klasma.github.io/Logging_0881/tillsyn/A 28131-2025 tillsynsbegäran.docx", "A 28131-2025")</f>
        <v/>
      </c>
      <c r="AD54">
        <f>HYPERLINK("https://klasma.github.io/Logging_0881/tillsynsmail/A 28131-2025 tillsynsbegäran mail.docx", "A 28131-2025")</f>
        <v/>
      </c>
      <c r="AE54">
        <f>HYPERLINK("https://klasma.github.io/Logging_0881/fåglar/A 28131-2025 prioriterade fågelarter.docx", "A 28131-2025")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46321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46321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30121-2023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46321</v>
      </c>
      <c r="F57" t="inlineStr">
        <is>
          <t>KALMAR LÄN</t>
        </is>
      </c>
      <c r="G57" t="inlineStr">
        <is>
          <t>NYBRO</t>
        </is>
      </c>
      <c r="H57" t="inlineStr">
        <is>
          <t>Kommuner</t>
        </is>
      </c>
      <c r="I57" t="n">
        <v>4.9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flatbagge
Grönsiska</t>
        </is>
      </c>
      <c r="W57">
        <f>HYPERLINK("https://klasma.github.io/Logging_0881/artfynd/A 30121-2023 artfynd.xlsx", "A 30121-2023")</f>
        <v/>
      </c>
      <c r="X57">
        <f>HYPERLINK("https://klasma.github.io/Logging_0881/kartor/A 30121-2023 karta.png", "A 30121-2023")</f>
        <v/>
      </c>
      <c r="Y57">
        <f>HYPERLINK("https://klasma.github.io/Logging_0881/kartor_geotiff/A 30121-2023 georefererad karta.tif", "A 30121-2023")</f>
        <v/>
      </c>
      <c r="AA57">
        <f>HYPERLINK("https://klasma.github.io/Logging_0881/klagomål/A 30121-2023 FSC-klagomål.docx", "A 30121-2023")</f>
        <v/>
      </c>
      <c r="AB57">
        <f>HYPERLINK("https://klasma.github.io/Logging_0881/klagomålsmail/A 30121-2023 FSC-klagomål mail.docx", "A 30121-2023")</f>
        <v/>
      </c>
      <c r="AC57">
        <f>HYPERLINK("https://klasma.github.io/Logging_0881/tillsyn/A 30121-2023 tillsynsbegäran.docx", "A 30121-2023")</f>
        <v/>
      </c>
      <c r="AD57">
        <f>HYPERLINK("https://klasma.github.io/Logging_0881/tillsynsmail/A 30121-2023 tillsynsbegäran mail.docx", "A 30121-2023")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46321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33067-2022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46321</v>
      </c>
      <c r="F59" t="inlineStr">
        <is>
          <t>KALMAR LÄN</t>
        </is>
      </c>
      <c r="G59" t="inlineStr">
        <is>
          <t>NYBRO</t>
        </is>
      </c>
      <c r="I59" t="n">
        <v>14.1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Sommarfibbla
Tjäder</t>
        </is>
      </c>
      <c r="W59">
        <f>HYPERLINK("https://klasma.github.io/Logging_0881/artfynd/A 33067-2022 artfynd.xlsx", "A 33067-2022")</f>
        <v/>
      </c>
      <c r="X59">
        <f>HYPERLINK("https://klasma.github.io/Logging_0881/kartor/A 33067-2022 karta.png", "A 33067-2022")</f>
        <v/>
      </c>
      <c r="Y59">
        <f>HYPERLINK("https://klasma.github.io/Logging_0881/kartor_geotiff/A 33067-2022 georefererad karta.tif", "A 33067-2022")</f>
        <v/>
      </c>
      <c r="AA59">
        <f>HYPERLINK("https://klasma.github.io/Logging_0881/klagomål/A 33067-2022 FSC-klagomål.docx", "A 33067-2022")</f>
        <v/>
      </c>
      <c r="AB59">
        <f>HYPERLINK("https://klasma.github.io/Logging_0881/klagomålsmail/A 33067-2022 FSC-klagomål mail.docx", "A 33067-2022")</f>
        <v/>
      </c>
      <c r="AC59">
        <f>HYPERLINK("https://klasma.github.io/Logging_0881/tillsyn/A 33067-2022 tillsynsbegäran.docx", "A 33067-2022")</f>
        <v/>
      </c>
      <c r="AD59">
        <f>HYPERLINK("https://klasma.github.io/Logging_0881/tillsynsmail/A 33067-2022 tillsynsbegäran mail.docx", "A 33067-2022")</f>
        <v/>
      </c>
      <c r="AE59">
        <f>HYPERLINK("https://klasma.github.io/Logging_0881/fåglar/A 33067-2022 prioriterade fågelarter.docx", "A 33067-2022")</f>
        <v/>
      </c>
    </row>
    <row r="60" ht="15" customHeight="1">
      <c r="A60" t="inlineStr">
        <is>
          <t>A 26699-2023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46321</v>
      </c>
      <c r="F60" t="inlineStr">
        <is>
          <t>KALMAR LÄN</t>
        </is>
      </c>
      <c r="G60" t="inlineStr">
        <is>
          <t>NYBRO</t>
        </is>
      </c>
      <c r="I60" t="n">
        <v>2.1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Grönhjon
Vågbandad barkbock</t>
        </is>
      </c>
      <c r="W60">
        <f>HYPERLINK("https://klasma.github.io/Logging_0881/artfynd/A 26699-2023 artfynd.xlsx", "A 26699-2023")</f>
        <v/>
      </c>
      <c r="X60">
        <f>HYPERLINK("https://klasma.github.io/Logging_0881/kartor/A 26699-2023 karta.png", "A 26699-2023")</f>
        <v/>
      </c>
      <c r="Y60">
        <f>HYPERLINK("https://klasma.github.io/Logging_0881/kartor_geotiff/A 26699-2023 georefererad karta.tif", "A 26699-2023")</f>
        <v/>
      </c>
      <c r="AA60">
        <f>HYPERLINK("https://klasma.github.io/Logging_0881/klagomål/A 26699-2023 FSC-klagomål.docx", "A 26699-2023")</f>
        <v/>
      </c>
      <c r="AB60">
        <f>HYPERLINK("https://klasma.github.io/Logging_0881/klagomålsmail/A 26699-2023 FSC-klagomål mail.docx", "A 26699-2023")</f>
        <v/>
      </c>
      <c r="AC60">
        <f>HYPERLINK("https://klasma.github.io/Logging_0881/tillsyn/A 26699-2023 tillsynsbegäran.docx", "A 26699-2023")</f>
        <v/>
      </c>
      <c r="AD60">
        <f>HYPERLINK("https://klasma.github.io/Logging_0881/tillsynsmail/A 26699-2023 tillsynsbegäran mail.docx", "A 26699-2023")</f>
        <v/>
      </c>
    </row>
    <row r="61" ht="15" customHeight="1">
      <c r="A61" t="inlineStr">
        <is>
          <t>A 36825-2023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45154</v>
      </c>
      <c r="E61" s="1" t="n">
        <v>46321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20.3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Kungsfågel</t>
        </is>
      </c>
      <c r="W61">
        <f>HYPERLINK("https://klasma.github.io/Logging_0881/artfynd/A 36825-2023 artfynd.xlsx", "A 36825-2023")</f>
        <v/>
      </c>
      <c r="X61">
        <f>HYPERLINK("https://klasma.github.io/Logging_0881/kartor/A 36825-2023 karta.png", "A 36825-2023")</f>
        <v/>
      </c>
      <c r="Y61">
        <f>HYPERLINK("https://klasma.github.io/Logging_0881/kartor_geotiff/A 36825-2023 georefererad karta.tif", "A 36825-2023")</f>
        <v/>
      </c>
      <c r="AA61">
        <f>HYPERLINK("https://klasma.github.io/Logging_0881/klagomål/A 36825-2023 FSC-klagomål.docx", "A 36825-2023")</f>
        <v/>
      </c>
      <c r="AB61">
        <f>HYPERLINK("https://klasma.github.io/Logging_0881/klagomålsmail/A 36825-2023 FSC-klagomål mail.docx", "A 36825-2023")</f>
        <v/>
      </c>
      <c r="AC61">
        <f>HYPERLINK("https://klasma.github.io/Logging_0881/tillsyn/A 36825-2023 tillsynsbegäran.docx", "A 36825-2023")</f>
        <v/>
      </c>
      <c r="AD61">
        <f>HYPERLINK("https://klasma.github.io/Logging_0881/tillsynsmail/A 36825-2023 tillsynsbegäran mail.docx", "A 36825-2023")</f>
        <v/>
      </c>
      <c r="AE61">
        <f>HYPERLINK("https://klasma.github.io/Logging_0881/fåglar/A 36825-2023 prioriterade fågelarter.docx", "A 36825-2023")</f>
        <v/>
      </c>
    </row>
    <row r="62" ht="15" customHeight="1">
      <c r="A62" t="inlineStr">
        <is>
          <t>A 51406-2022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46321</v>
      </c>
      <c r="F62" t="inlineStr">
        <is>
          <t>KALMAR LÄN</t>
        </is>
      </c>
      <c r="G62" t="inlineStr">
        <is>
          <t>NYBRO</t>
        </is>
      </c>
      <c r="I62" t="n">
        <v>2.6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Nordfladdermus
Större brunfladdermus</t>
        </is>
      </c>
      <c r="W62">
        <f>HYPERLINK("https://klasma.github.io/Logging_0881/artfynd/A 51406-2022 artfynd.xlsx", "A 51406-2022")</f>
        <v/>
      </c>
      <c r="X62">
        <f>HYPERLINK("https://klasma.github.io/Logging_0881/kartor/A 51406-2022 karta.png", "A 51406-2022")</f>
        <v/>
      </c>
      <c r="Y62">
        <f>HYPERLINK("https://klasma.github.io/Logging_0881/kartor_geotiff/A 51406-2022 georefererad karta.tif", "A 51406-2022")</f>
        <v/>
      </c>
      <c r="AA62">
        <f>HYPERLINK("https://klasma.github.io/Logging_0881/klagomål/A 51406-2022 FSC-klagomål.docx", "A 51406-2022")</f>
        <v/>
      </c>
      <c r="AB62">
        <f>HYPERLINK("https://klasma.github.io/Logging_0881/klagomålsmail/A 51406-2022 FSC-klagomål mail.docx", "A 51406-2022")</f>
        <v/>
      </c>
      <c r="AC62">
        <f>HYPERLINK("https://klasma.github.io/Logging_0881/tillsyn/A 51406-2022 tillsynsbegäran.docx", "A 51406-2022")</f>
        <v/>
      </c>
      <c r="AD62">
        <f>HYPERLINK("https://klasma.github.io/Logging_0881/tillsynsmail/A 51406-2022 tillsynsbegäran mail.docx", "A 51406-2022")</f>
        <v/>
      </c>
    </row>
    <row r="63" ht="15" customHeight="1">
      <c r="A63" t="inlineStr">
        <is>
          <t>A 44064-2023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46321</v>
      </c>
      <c r="F63" t="inlineStr">
        <is>
          <t>KALMAR LÄN</t>
        </is>
      </c>
      <c r="G63" t="inlineStr">
        <is>
          <t>NYBRO</t>
        </is>
      </c>
      <c r="I63" t="n">
        <v>1.8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Rostfläck
Sotlav</t>
        </is>
      </c>
      <c r="W63">
        <f>HYPERLINK("https://klasma.github.io/Logging_0881/artfynd/A 44064-2023 artfynd.xlsx", "A 44064-2023")</f>
        <v/>
      </c>
      <c r="X63">
        <f>HYPERLINK("https://klasma.github.io/Logging_0881/kartor/A 44064-2023 karta.png", "A 44064-2023")</f>
        <v/>
      </c>
      <c r="Y63">
        <f>HYPERLINK("https://klasma.github.io/Logging_0881/kartor_geotiff/A 44064-2023 georefererad karta.tif", "A 44064-2023")</f>
        <v/>
      </c>
      <c r="AA63">
        <f>HYPERLINK("https://klasma.github.io/Logging_0881/klagomål/A 44064-2023 FSC-klagomål.docx", "A 44064-2023")</f>
        <v/>
      </c>
      <c r="AB63">
        <f>HYPERLINK("https://klasma.github.io/Logging_0881/klagomålsmail/A 44064-2023 FSC-klagomål mail.docx", "A 44064-2023")</f>
        <v/>
      </c>
      <c r="AC63">
        <f>HYPERLINK("https://klasma.github.io/Logging_0881/tillsyn/A 44064-2023 tillsynsbegäran.docx", "A 44064-2023")</f>
        <v/>
      </c>
      <c r="AD63">
        <f>HYPERLINK("https://klasma.github.io/Logging_0881/tillsynsmail/A 44064-2023 tillsynsbegäran mail.docx", "A 44064-2023")</f>
        <v/>
      </c>
    </row>
    <row r="64" ht="15" customHeight="1">
      <c r="A64" t="inlineStr">
        <is>
          <t>A 1529-2023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46321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4.1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Gröngöling
Trana</t>
        </is>
      </c>
      <c r="W64">
        <f>HYPERLINK("https://klasma.github.io/Logging_0881/artfynd/A 1529-2023 artfynd.xlsx", "A 1529-2023")</f>
        <v/>
      </c>
      <c r="X64">
        <f>HYPERLINK("https://klasma.github.io/Logging_0881/kartor/A 1529-2023 karta.png", "A 1529-2023")</f>
        <v/>
      </c>
      <c r="Y64">
        <f>HYPERLINK("https://klasma.github.io/Logging_0881/kartor_geotiff/A 1529-2023 georefererad karta.tif", "A 1529-2023")</f>
        <v/>
      </c>
      <c r="AA64">
        <f>HYPERLINK("https://klasma.github.io/Logging_0881/klagomål/A 1529-2023 FSC-klagomål.docx", "A 1529-2023")</f>
        <v/>
      </c>
      <c r="AB64">
        <f>HYPERLINK("https://klasma.github.io/Logging_0881/klagomålsmail/A 1529-2023 FSC-klagomål mail.docx", "A 1529-2023")</f>
        <v/>
      </c>
      <c r="AC64">
        <f>HYPERLINK("https://klasma.github.io/Logging_0881/tillsyn/A 1529-2023 tillsynsbegäran.docx", "A 1529-2023")</f>
        <v/>
      </c>
      <c r="AD64">
        <f>HYPERLINK("https://klasma.github.io/Logging_0881/tillsynsmail/A 1529-2023 tillsynsbegäran mail.docx", "A 1529-2023")</f>
        <v/>
      </c>
      <c r="AE64">
        <f>HYPERLINK("https://klasma.github.io/Logging_0881/fåglar/A 1529-2023 prioriterade fågelarter.docx", "A 1529-2023")</f>
        <v/>
      </c>
    </row>
    <row r="65" ht="15" customHeight="1">
      <c r="A65" t="inlineStr">
        <is>
          <t>A 22316-2024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46321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Nordfladdermus
Dvärgpipistrell</t>
        </is>
      </c>
      <c r="W65">
        <f>HYPERLINK("https://klasma.github.io/Logging_0881/artfynd/A 22316-2024 artfynd.xlsx", "A 22316-2024")</f>
        <v/>
      </c>
      <c r="X65">
        <f>HYPERLINK("https://klasma.github.io/Logging_0881/kartor/A 22316-2024 karta.png", "A 22316-2024")</f>
        <v/>
      </c>
      <c r="Y65">
        <f>HYPERLINK("https://klasma.github.io/Logging_0881/kartor_geotiff/A 22316-2024 georefererad karta.tif", "A 22316-2024")</f>
        <v/>
      </c>
      <c r="AA65">
        <f>HYPERLINK("https://klasma.github.io/Logging_0881/klagomål/A 22316-2024 FSC-klagomål.docx", "A 22316-2024")</f>
        <v/>
      </c>
      <c r="AB65">
        <f>HYPERLINK("https://klasma.github.io/Logging_0881/klagomålsmail/A 22316-2024 FSC-klagomål mail.docx", "A 22316-2024")</f>
        <v/>
      </c>
      <c r="AC65">
        <f>HYPERLINK("https://klasma.github.io/Logging_0881/tillsyn/A 22316-2024 tillsynsbegäran.docx", "A 22316-2024")</f>
        <v/>
      </c>
      <c r="AD65">
        <f>HYPERLINK("https://klasma.github.io/Logging_0881/tillsynsmail/A 22316-2024 tillsynsbegäran mail.docx", "A 22316-2024")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46321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A 28880-2023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45104</v>
      </c>
      <c r="E67" s="1" t="n">
        <v>46321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1.9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Mattlummer
Nattskärra</t>
        </is>
      </c>
      <c r="W67">
        <f>HYPERLINK("https://klasma.github.io/Logging_0881/artfynd/A 28880-2023 artfynd.xlsx", "A 28880-2023")</f>
        <v/>
      </c>
      <c r="X67">
        <f>HYPERLINK("https://klasma.github.io/Logging_0881/kartor/A 28880-2023 karta.png", "A 28880-2023")</f>
        <v/>
      </c>
      <c r="Y67">
        <f>HYPERLINK("https://klasma.github.io/Logging_0881/kartor_geotiff/A 28880-2023 georefererad karta.tif", "A 28880-2023")</f>
        <v/>
      </c>
      <c r="AA67">
        <f>HYPERLINK("https://klasma.github.io/Logging_0881/klagomål/A 28880-2023 FSC-klagomål.docx", "A 28880-2023")</f>
        <v/>
      </c>
      <c r="AB67">
        <f>HYPERLINK("https://klasma.github.io/Logging_0881/klagomålsmail/A 28880-2023 FSC-klagomål mail.docx", "A 28880-2023")</f>
        <v/>
      </c>
      <c r="AC67">
        <f>HYPERLINK("https://klasma.github.io/Logging_0881/tillsyn/A 28880-2023 tillsynsbegäran.docx", "A 28880-2023")</f>
        <v/>
      </c>
      <c r="AD67">
        <f>HYPERLINK("https://klasma.github.io/Logging_0881/tillsynsmail/A 28880-2023 tillsynsbegäran mail.docx", "A 28880-2023")</f>
        <v/>
      </c>
      <c r="AE67">
        <f>HYPERLINK("https://klasma.github.io/Logging_0881/fåglar/A 28880-2023 prioriterade fågelarter.docx", "A 28880-2023")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46321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46321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46321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46321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46321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46321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46321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46321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46321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27346-2023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46321</v>
      </c>
      <c r="F77" t="inlineStr">
        <is>
          <t>KALMAR LÄN</t>
        </is>
      </c>
      <c r="G77" t="inlineStr">
        <is>
          <t>NYBRO</t>
        </is>
      </c>
      <c r="I77" t="n">
        <v>1.2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Blanksvart trämyra</t>
        </is>
      </c>
      <c r="W77">
        <f>HYPERLINK("https://klasma.github.io/Logging_0881/artfynd/A 27346-2023 artfynd.xlsx", "A 27346-2023")</f>
        <v/>
      </c>
      <c r="X77">
        <f>HYPERLINK("https://klasma.github.io/Logging_0881/kartor/A 27346-2023 karta.png", "A 27346-2023")</f>
        <v/>
      </c>
      <c r="Y77">
        <f>HYPERLINK("https://klasma.github.io/Logging_0881/kartor_geotiff/A 27346-2023 georefererad karta.tif", "A 27346-2023")</f>
        <v/>
      </c>
      <c r="AA77">
        <f>HYPERLINK("https://klasma.github.io/Logging_0881/klagomål/A 27346-2023 FSC-klagomål.docx", "A 27346-2023")</f>
        <v/>
      </c>
      <c r="AB77">
        <f>HYPERLINK("https://klasma.github.io/Logging_0881/klagomålsmail/A 27346-2023 FSC-klagomål mail.docx", "A 27346-2023")</f>
        <v/>
      </c>
      <c r="AC77">
        <f>HYPERLINK("https://klasma.github.io/Logging_0881/tillsyn/A 27346-2023 tillsynsbegäran.docx", "A 27346-2023")</f>
        <v/>
      </c>
      <c r="AD77">
        <f>HYPERLINK("https://klasma.github.io/Logging_0881/tillsynsmail/A 27346-2023 tillsynsbegäran mail.docx", "A 27346-2023")</f>
        <v/>
      </c>
    </row>
    <row r="78" ht="15" customHeight="1">
      <c r="A78" t="inlineStr">
        <is>
          <t>A 41228-2025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46321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Talltita</t>
        </is>
      </c>
      <c r="W78">
        <f>HYPERLINK("https://klasma.github.io/Logging_0881/artfynd/A 41228-2025 artfynd.xlsx", "A 41228-2025")</f>
        <v/>
      </c>
      <c r="X78">
        <f>HYPERLINK("https://klasma.github.io/Logging_0881/kartor/A 41228-2025 karta.png", "A 41228-2025")</f>
        <v/>
      </c>
      <c r="Y78">
        <f>HYPERLINK("https://klasma.github.io/Logging_0881/kartor_geotiff/A 41228-2025 georefererad karta.tif", "A 41228-2025")</f>
        <v/>
      </c>
      <c r="AA78">
        <f>HYPERLINK("https://klasma.github.io/Logging_0881/klagomål/A 41228-2025 FSC-klagomål.docx", "A 41228-2025")</f>
        <v/>
      </c>
      <c r="AB78">
        <f>HYPERLINK("https://klasma.github.io/Logging_0881/klagomålsmail/A 41228-2025 FSC-klagomål mail.docx", "A 41228-2025")</f>
        <v/>
      </c>
      <c r="AC78">
        <f>HYPERLINK("https://klasma.github.io/Logging_0881/tillsyn/A 41228-2025 tillsynsbegäran.docx", "A 41228-2025")</f>
        <v/>
      </c>
      <c r="AD78">
        <f>HYPERLINK("https://klasma.github.io/Logging_0881/tillsynsmail/A 41228-2025 tillsynsbegäran mail.docx", "A 41228-2025")</f>
        <v/>
      </c>
      <c r="AE78">
        <f>HYPERLINK("https://klasma.github.io/Logging_0881/fåglar/A 41228-2025 prioriterade fågelarter.docx", "A 41228-2025")</f>
        <v/>
      </c>
    </row>
    <row r="79" ht="15" customHeight="1">
      <c r="A79" t="inlineStr">
        <is>
          <t>A 50008-2023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46321</v>
      </c>
      <c r="F79" t="inlineStr">
        <is>
          <t>KALMAR LÄN</t>
        </is>
      </c>
      <c r="G79" t="inlineStr">
        <is>
          <t>NYBRO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HYPERLINK("https://klasma.github.io/Logging_0881/artfynd/A 50008-2023 artfynd.xlsx", "A 50008-2023")</f>
        <v/>
      </c>
      <c r="X79">
        <f>HYPERLINK("https://klasma.github.io/Logging_0881/kartor/A 50008-2023 karta.png", "A 50008-2023")</f>
        <v/>
      </c>
      <c r="Y79">
        <f>HYPERLINK("https://klasma.github.io/Logging_0881/kartor_geotiff/A 50008-2023 georefererad karta.tif", "A 50008-2023")</f>
        <v/>
      </c>
      <c r="AA79">
        <f>HYPERLINK("https://klasma.github.io/Logging_0881/klagomål/A 50008-2023 FSC-klagomål.docx", "A 50008-2023")</f>
        <v/>
      </c>
      <c r="AB79">
        <f>HYPERLINK("https://klasma.github.io/Logging_0881/klagomålsmail/A 50008-2023 FSC-klagomål mail.docx", "A 50008-2023")</f>
        <v/>
      </c>
      <c r="AC79">
        <f>HYPERLINK("https://klasma.github.io/Logging_0881/tillsyn/A 50008-2023 tillsynsbegäran.docx", "A 50008-2023")</f>
        <v/>
      </c>
      <c r="AD79">
        <f>HYPERLINK("https://klasma.github.io/Logging_0881/tillsynsmail/A 50008-2023 tillsynsbegäran mail.docx", "A 50008-2023")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46321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22171-2023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46321</v>
      </c>
      <c r="F81" t="inlineStr">
        <is>
          <t>KALMAR LÄN</t>
        </is>
      </c>
      <c r="G81" t="inlineStr">
        <is>
          <t>NYBRO</t>
        </is>
      </c>
      <c r="I81" t="n">
        <v>3.6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Blåmossa</t>
        </is>
      </c>
      <c r="W81">
        <f>HYPERLINK("https://klasma.github.io/Logging_0881/artfynd/A 22171-2023 artfynd.xlsx", "A 22171-2023")</f>
        <v/>
      </c>
      <c r="X81">
        <f>HYPERLINK("https://klasma.github.io/Logging_0881/kartor/A 22171-2023 karta.png", "A 22171-2023")</f>
        <v/>
      </c>
      <c r="Y81">
        <f>HYPERLINK("https://klasma.github.io/Logging_0881/kartor_geotiff/A 22171-2023 georefererad karta.tif", "A 22171-2023")</f>
        <v/>
      </c>
      <c r="AA81">
        <f>HYPERLINK("https://klasma.github.io/Logging_0881/klagomål/A 22171-2023 FSC-klagomål.docx", "A 22171-2023")</f>
        <v/>
      </c>
      <c r="AB81">
        <f>HYPERLINK("https://klasma.github.io/Logging_0881/klagomålsmail/A 22171-2023 FSC-klagomål mail.docx", "A 22171-2023")</f>
        <v/>
      </c>
      <c r="AC81">
        <f>HYPERLINK("https://klasma.github.io/Logging_0881/tillsyn/A 22171-2023 tillsynsbegäran.docx", "A 22171-2023")</f>
        <v/>
      </c>
      <c r="AD81">
        <f>HYPERLINK("https://klasma.github.io/Logging_0881/tillsynsmail/A 22171-2023 tillsynsbegäran mail.docx", "A 22171-2023")</f>
        <v/>
      </c>
    </row>
    <row r="82" ht="15" customHeight="1">
      <c r="A82" t="inlineStr">
        <is>
          <t>A 30510-2023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46321</v>
      </c>
      <c r="F82" t="inlineStr">
        <is>
          <t>KALMAR LÄN</t>
        </is>
      </c>
      <c r="G82" t="inlineStr">
        <is>
          <t>NYBRO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HYPERLINK("https://klasma.github.io/Logging_0881/artfynd/A 30510-2023 artfynd.xlsx", "A 30510-2023")</f>
        <v/>
      </c>
      <c r="X82">
        <f>HYPERLINK("https://klasma.github.io/Logging_0881/kartor/A 30510-2023 karta.png", "A 30510-2023")</f>
        <v/>
      </c>
      <c r="Y82">
        <f>HYPERLINK("https://klasma.github.io/Logging_0881/kartor_geotiff/A 30510-2023 georefererad karta.tif", "A 30510-2023")</f>
        <v/>
      </c>
      <c r="AA82">
        <f>HYPERLINK("https://klasma.github.io/Logging_0881/klagomål/A 30510-2023 FSC-klagomål.docx", "A 30510-2023")</f>
        <v/>
      </c>
      <c r="AB82">
        <f>HYPERLINK("https://klasma.github.io/Logging_0881/klagomålsmail/A 30510-2023 FSC-klagomål mail.docx", "A 30510-2023")</f>
        <v/>
      </c>
      <c r="AC82">
        <f>HYPERLINK("https://klasma.github.io/Logging_0881/tillsyn/A 30510-2023 tillsynsbegäran.docx", "A 30510-2023")</f>
        <v/>
      </c>
      <c r="AD82">
        <f>HYPERLINK("https://klasma.github.io/Logging_0881/tillsynsmail/A 30510-2023 tillsynsbegäran mail.docx", "A 30510-2023")</f>
        <v/>
      </c>
      <c r="AE82">
        <f>HYPERLINK("https://klasma.github.io/Logging_0881/fåglar/A 30510-2023 prioriterade fågelarter.docx", "A 30510-2023")</f>
        <v/>
      </c>
    </row>
    <row r="83" ht="15" customHeight="1">
      <c r="A83" t="inlineStr">
        <is>
          <t>A 24315-2026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46321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8.5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HYPERLINK("https://klasma.github.io/Logging_0881/artfynd/A 24315-2026 artfynd.xlsx", "A 24315-2026")</f>
        <v/>
      </c>
      <c r="X83">
        <f>HYPERLINK("https://klasma.github.io/Logging_0881/kartor/A 24315-2026 karta.png", "A 24315-2026")</f>
        <v/>
      </c>
      <c r="Y83">
        <f>HYPERLINK("https://klasma.github.io/Logging_0881/kartor_geotiff/A 24315-2026 georefererad karta.tif", "A 24315-2026")</f>
        <v/>
      </c>
      <c r="AA83">
        <f>HYPERLINK("https://klasma.github.io/Logging_0881/klagomål/A 24315-2026 FSC-klagomål.docx", "A 24315-2026")</f>
        <v/>
      </c>
      <c r="AB83">
        <f>HYPERLINK("https://klasma.github.io/Logging_0881/klagomålsmail/A 24315-2026 FSC-klagomål mail.docx", "A 24315-2026")</f>
        <v/>
      </c>
      <c r="AC83">
        <f>HYPERLINK("https://klasma.github.io/Logging_0881/tillsyn/A 24315-2026 tillsynsbegäran.docx", "A 24315-2026")</f>
        <v/>
      </c>
      <c r="AD83">
        <f>HYPERLINK("https://klasma.github.io/Logging_0881/tillsynsmail/A 24315-2026 tillsynsbegäran mail.docx", "A 24315-2026")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46321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46321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26463-2026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46183</v>
      </c>
      <c r="E86" s="1" t="n">
        <v>46321</v>
      </c>
      <c r="F86" t="inlineStr">
        <is>
          <t>KALMAR LÄN</t>
        </is>
      </c>
      <c r="G86" t="inlineStr">
        <is>
          <t>NYBRO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Blåmossa</t>
        </is>
      </c>
      <c r="W86">
        <f>HYPERLINK("https://klasma.github.io/Logging_0881/artfynd/A 26463-2026 artfynd.xlsx", "A 26463-2026")</f>
        <v/>
      </c>
      <c r="X86">
        <f>HYPERLINK("https://klasma.github.io/Logging_0881/kartor/A 26463-2026 karta.png", "A 26463-2026")</f>
        <v/>
      </c>
      <c r="Y86">
        <f>HYPERLINK("https://klasma.github.io/Logging_0881/kartor_geotiff/A 26463-2026 georefererad karta.tif", "A 26463-2026")</f>
        <v/>
      </c>
      <c r="AA86">
        <f>HYPERLINK("https://klasma.github.io/Logging_0881/klagomål/A 26463-2026 FSC-klagomål.docx", "A 26463-2026")</f>
        <v/>
      </c>
      <c r="AB86">
        <f>HYPERLINK("https://klasma.github.io/Logging_0881/klagomålsmail/A 26463-2026 FSC-klagomål mail.docx", "A 26463-2026")</f>
        <v/>
      </c>
      <c r="AC86">
        <f>HYPERLINK("https://klasma.github.io/Logging_0881/tillsyn/A 26463-2026 tillsynsbegäran.docx", "A 26463-2026")</f>
        <v/>
      </c>
      <c r="AD86">
        <f>HYPERLINK("https://klasma.github.io/Logging_0881/tillsynsmail/A 26463-2026 tillsynsbegäran mail.docx", "A 26463-2026")</f>
        <v/>
      </c>
    </row>
    <row r="87" ht="15" customHeight="1">
      <c r="A87" t="inlineStr">
        <is>
          <t>A 27669-2026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46190</v>
      </c>
      <c r="E87" s="1" t="n">
        <v>46321</v>
      </c>
      <c r="F87" t="inlineStr">
        <is>
          <t>KALMAR LÄN</t>
        </is>
      </c>
      <c r="G87" t="inlineStr">
        <is>
          <t>NYBRO</t>
        </is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Blomkålssvamp</t>
        </is>
      </c>
      <c r="W87">
        <f>HYPERLINK("https://klasma.github.io/Logging_0881/artfynd/A 27669-2026 artfynd.xlsx", "A 27669-2026")</f>
        <v/>
      </c>
      <c r="X87">
        <f>HYPERLINK("https://klasma.github.io/Logging_0881/kartor/A 27669-2026 karta.png", "A 27669-2026")</f>
        <v/>
      </c>
      <c r="Y87">
        <f>HYPERLINK("https://klasma.github.io/Logging_0881/kartor_geotiff/A 27669-2026 georefererad karta.tif", "A 27669-2026")</f>
        <v/>
      </c>
      <c r="AA87">
        <f>HYPERLINK("https://klasma.github.io/Logging_0881/klagomål/A 27669-2026 FSC-klagomål.docx", "A 27669-2026")</f>
        <v/>
      </c>
      <c r="AB87">
        <f>HYPERLINK("https://klasma.github.io/Logging_0881/klagomålsmail/A 27669-2026 FSC-klagomål mail.docx", "A 27669-2026")</f>
        <v/>
      </c>
      <c r="AC87">
        <f>HYPERLINK("https://klasma.github.io/Logging_0881/tillsyn/A 27669-2026 tillsynsbegäran.docx", "A 27669-2026")</f>
        <v/>
      </c>
      <c r="AD87">
        <f>HYPERLINK("https://klasma.github.io/Logging_0881/tillsynsmail/A 27669-2026 tillsynsbegäran mail.docx", "A 27669-2026")</f>
        <v/>
      </c>
    </row>
    <row r="88" ht="15" customHeight="1">
      <c r="A88" t="inlineStr">
        <is>
          <t>A 54314-2022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46321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6</v>
      </c>
      <c r="U88" t="n">
        <v>0</v>
      </c>
      <c r="V88" s="2" t="inlineStr">
        <is>
          <t>Ask</t>
        </is>
      </c>
      <c r="W88">
        <f>HYPERLINK("https://klasma.github.io/Logging_0881/artfynd/A 54314-2022 artfynd.xlsx", "A 54314-2022")</f>
        <v/>
      </c>
      <c r="X88">
        <f>HYPERLINK("https://klasma.github.io/Logging_0881/kartor/A 54314-2022 karta.png", "A 54314-2022")</f>
        <v/>
      </c>
      <c r="Y88">
        <f>HYPERLINK("https://klasma.github.io/Logging_0881/kartor_geotiff/A 54314-2022 georefererad karta.tif", "A 54314-2022")</f>
        <v/>
      </c>
      <c r="AA88">
        <f>HYPERLINK("https://klasma.github.io/Logging_0881/klagomål/A 54314-2022 FSC-klagomål.docx", "A 54314-2022")</f>
        <v/>
      </c>
      <c r="AB88">
        <f>HYPERLINK("https://klasma.github.io/Logging_0881/klagomålsmail/A 54314-2022 FSC-klagomål mail.docx", "A 54314-2022")</f>
        <v/>
      </c>
      <c r="AC88">
        <f>HYPERLINK("https://klasma.github.io/Logging_0881/tillsyn/A 54314-2022 tillsynsbegäran.docx", "A 54314-2022")</f>
        <v/>
      </c>
      <c r="AD88">
        <f>HYPERLINK("https://klasma.github.io/Logging_0881/tillsynsmail/A 54314-2022 tillsynsbegäran mail.docx", "A 54314-2022")</f>
        <v/>
      </c>
    </row>
    <row r="89" ht="15" customHeight="1">
      <c r="A89" t="inlineStr">
        <is>
          <t>A 64315-2023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45279</v>
      </c>
      <c r="E89" s="1" t="n">
        <v>46321</v>
      </c>
      <c r="F89" t="inlineStr">
        <is>
          <t>KALMAR LÄN</t>
        </is>
      </c>
      <c r="G89" t="inlineStr">
        <is>
          <t>NYBRO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64315-2023 artfynd.xlsx", "A 64315-2023")</f>
        <v/>
      </c>
      <c r="X89">
        <f>HYPERLINK("https://klasma.github.io/Logging_0881/kartor/A 64315-2023 karta.png", "A 64315-2023")</f>
        <v/>
      </c>
      <c r="Y89">
        <f>HYPERLINK("https://klasma.github.io/Logging_0881/kartor_geotiff/A 64315-2023 georefererad karta.tif", "A 64315-2023")</f>
        <v/>
      </c>
      <c r="AA89">
        <f>HYPERLINK("https://klasma.github.io/Logging_0881/klagomål/A 64315-2023 FSC-klagomål.docx", "A 64315-2023")</f>
        <v/>
      </c>
      <c r="AB89">
        <f>HYPERLINK("https://klasma.github.io/Logging_0881/klagomålsmail/A 64315-2023 FSC-klagomål mail.docx", "A 64315-2023")</f>
        <v/>
      </c>
      <c r="AC89">
        <f>HYPERLINK("https://klasma.github.io/Logging_0881/tillsyn/A 64315-2023 tillsynsbegäran.docx", "A 64315-2023")</f>
        <v/>
      </c>
      <c r="AD89">
        <f>HYPERLINK("https://klasma.github.io/Logging_0881/tillsynsmail/A 64315-2023 tillsynsbegäran mail.docx", "A 64315-2023")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46321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46321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37621-2024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46321</v>
      </c>
      <c r="F92" t="inlineStr">
        <is>
          <t>KALMAR LÄN</t>
        </is>
      </c>
      <c r="G92" t="inlineStr">
        <is>
          <t>NYBRO</t>
        </is>
      </c>
      <c r="I92" t="n">
        <v>4.1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HYPERLINK("https://klasma.github.io/Logging_0881/artfynd/A 37621-2024 artfynd.xlsx", "A 37621-2024")</f>
        <v/>
      </c>
      <c r="X92">
        <f>HYPERLINK("https://klasma.github.io/Logging_0881/kartor/A 37621-2024 karta.png", "A 37621-2024")</f>
        <v/>
      </c>
      <c r="Y92">
        <f>HYPERLINK("https://klasma.github.io/Logging_0881/kartor_geotiff/A 37621-2024 georefererad karta.tif", "A 37621-2024")</f>
        <v/>
      </c>
      <c r="AA92">
        <f>HYPERLINK("https://klasma.github.io/Logging_0881/klagomål/A 37621-2024 FSC-klagomål.docx", "A 37621-2024")</f>
        <v/>
      </c>
      <c r="AB92">
        <f>HYPERLINK("https://klasma.github.io/Logging_0881/klagomålsmail/A 37621-2024 FSC-klagomål mail.docx", "A 37621-2024")</f>
        <v/>
      </c>
      <c r="AC92">
        <f>HYPERLINK("https://klasma.github.io/Logging_0881/tillsyn/A 37621-2024 tillsynsbegäran.docx", "A 37621-2024")</f>
        <v/>
      </c>
      <c r="AD92">
        <f>HYPERLINK("https://klasma.github.io/Logging_0881/tillsynsmail/A 37621-2024 tillsynsbegäran mail.docx", "A 37621-2024")</f>
        <v/>
      </c>
    </row>
    <row r="93" ht="15" customHeight="1">
      <c r="A93" t="inlineStr">
        <is>
          <t>A 60036-2022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46321</v>
      </c>
      <c r="F93" t="inlineStr">
        <is>
          <t>KALMAR LÄN</t>
        </is>
      </c>
      <c r="G93" t="inlineStr">
        <is>
          <t>NYBRO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13</v>
      </c>
      <c r="U93" t="n">
        <v>0</v>
      </c>
      <c r="V93" s="2" t="inlineStr">
        <is>
          <t>Knärot</t>
        </is>
      </c>
      <c r="W93">
        <f>HYPERLINK("https://klasma.github.io/Logging_0881/artfynd/A 60036-2022 artfynd.xlsx", "A 60036-2022")</f>
        <v/>
      </c>
      <c r="X93">
        <f>HYPERLINK("https://klasma.github.io/Logging_0881/kartor/A 60036-2022 karta.png", "A 60036-2022")</f>
        <v/>
      </c>
      <c r="Y93">
        <f>HYPERLINK("https://klasma.github.io/Logging_0881/kartor_geotiff/A 60036-2022 georefererad karta.tif", "A 60036-2022")</f>
        <v/>
      </c>
      <c r="Z93">
        <f>HYPERLINK("https://klasma.github.io/Logging_0881/knärot/A 60036-2022 karta knärot.png", "A 60036-2022")</f>
        <v/>
      </c>
      <c r="AA93">
        <f>HYPERLINK("https://klasma.github.io/Logging_0881/klagomål/A 60036-2022 FSC-klagomål.docx", "A 60036-2022")</f>
        <v/>
      </c>
      <c r="AB93">
        <f>HYPERLINK("https://klasma.github.io/Logging_0881/klagomålsmail/A 60036-2022 FSC-klagomål mail.docx", "A 60036-2022")</f>
        <v/>
      </c>
      <c r="AC93">
        <f>HYPERLINK("https://klasma.github.io/Logging_0881/tillsyn/A 60036-2022 tillsynsbegäran.docx", "A 60036-2022")</f>
        <v/>
      </c>
      <c r="AD93">
        <f>HYPERLINK("https://klasma.github.io/Logging_0881/tillsynsmail/A 60036-2022 tillsynsbegäran mail.docx", "A 60036-2022")</f>
        <v/>
      </c>
    </row>
    <row r="94" ht="15" customHeight="1">
      <c r="A94" t="inlineStr">
        <is>
          <t>A 38798-2024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46321</v>
      </c>
      <c r="F94" t="inlineStr">
        <is>
          <t>KALMAR LÄN</t>
        </is>
      </c>
      <c r="G94" t="inlineStr">
        <is>
          <t>NYBRO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38798-2024 artfynd.xlsx", "A 38798-2024")</f>
        <v/>
      </c>
      <c r="X94">
        <f>HYPERLINK("https://klasma.github.io/Logging_0881/kartor/A 38798-2024 karta.png", "A 38798-2024")</f>
        <v/>
      </c>
      <c r="Y94">
        <f>HYPERLINK("https://klasma.github.io/Logging_0881/kartor_geotiff/A 38798-2024 georefererad karta.tif", "A 38798-2024")</f>
        <v/>
      </c>
      <c r="AA94">
        <f>HYPERLINK("https://klasma.github.io/Logging_0881/klagomål/A 38798-2024 FSC-klagomål.docx", "A 38798-2024")</f>
        <v/>
      </c>
      <c r="AB94">
        <f>HYPERLINK("https://klasma.github.io/Logging_0881/klagomålsmail/A 38798-2024 FSC-klagomål mail.docx", "A 38798-2024")</f>
        <v/>
      </c>
      <c r="AC94">
        <f>HYPERLINK("https://klasma.github.io/Logging_0881/tillsyn/A 38798-2024 tillsynsbegäran.docx", "A 38798-2024")</f>
        <v/>
      </c>
      <c r="AD94">
        <f>HYPERLINK("https://klasma.github.io/Logging_0881/tillsynsmail/A 38798-2024 tillsynsbegäran mail.docx", "A 38798-2024")</f>
        <v/>
      </c>
      <c r="AE94">
        <f>HYPERLINK("https://klasma.github.io/Logging_0881/fåglar/A 38798-2024 prioriterade fågelarter.docx", "A 38798-2024")</f>
        <v/>
      </c>
    </row>
    <row r="95" ht="15" customHeight="1">
      <c r="A95" t="inlineStr">
        <is>
          <t>A 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46321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Grönpyrola</t>
        </is>
      </c>
      <c r="W95">
        <f>HYPERLINK("https://klasma.github.io/Logging_0881/artfynd/A 6931-2025 artfynd.xlsx", "A 6931-2025")</f>
        <v/>
      </c>
      <c r="X95">
        <f>HYPERLINK("https://klasma.github.io/Logging_0881/kartor/A 6931-2025 karta.png", "A 6931-2025")</f>
        <v/>
      </c>
      <c r="Y95">
        <f>HYPERLINK("https://klasma.github.io/Logging_0881/kartor_geotiff/A 6931-2025 georefererad karta.tif", "A 6931-2025")</f>
        <v/>
      </c>
      <c r="AA95">
        <f>HYPERLINK("https://klasma.github.io/Logging_0881/klagomål/A 6931-2025 FSC-klagomål.docx", "A 6931-2025")</f>
        <v/>
      </c>
      <c r="AB95">
        <f>HYPERLINK("https://klasma.github.io/Logging_0881/klagomålsmail/A 6931-2025 FSC-klagomål mail.docx", "A 6931-2025")</f>
        <v/>
      </c>
      <c r="AC95">
        <f>HYPERLINK("https://klasma.github.io/Logging_0881/tillsyn/A 6931-2025 tillsynsbegäran.docx", "A 6931-2025")</f>
        <v/>
      </c>
      <c r="AD95">
        <f>HYPERLINK("https://klasma.github.io/Logging_0881/tillsynsmail/A 6931-2025 tillsynsbegäran mail.docx", "A 6931-2025")</f>
        <v/>
      </c>
    </row>
    <row r="96" ht="15" customHeight="1">
      <c r="A96" t="inlineStr">
        <is>
          <t>A 22127-2026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46321</v>
      </c>
      <c r="F96" t="inlineStr">
        <is>
          <t>KALMAR LÄN</t>
        </is>
      </c>
      <c r="G96" t="inlineStr">
        <is>
          <t>NYBRO</t>
        </is>
      </c>
      <c r="I96" t="n">
        <v>4.3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HYPERLINK("https://klasma.github.io/Logging_0881/artfynd/A 22127-2026 artfynd.xlsx", "A 22127-2026")</f>
        <v/>
      </c>
      <c r="X96">
        <f>HYPERLINK("https://klasma.github.io/Logging_0881/kartor/A 22127-2026 karta.png", "A 22127-2026")</f>
        <v/>
      </c>
      <c r="Y96">
        <f>HYPERLINK("https://klasma.github.io/Logging_0881/kartor_geotiff/A 22127-2026 georefererad karta.tif", "A 22127-2026")</f>
        <v/>
      </c>
      <c r="AA96">
        <f>HYPERLINK("https://klasma.github.io/Logging_0881/klagomål/A 22127-2026 FSC-klagomål.docx", "A 22127-2026")</f>
        <v/>
      </c>
      <c r="AB96">
        <f>HYPERLINK("https://klasma.github.io/Logging_0881/klagomålsmail/A 22127-2026 FSC-klagomål mail.docx", "A 22127-2026")</f>
        <v/>
      </c>
      <c r="AC96">
        <f>HYPERLINK("https://klasma.github.io/Logging_0881/tillsyn/A 22127-2026 tillsynsbegäran.docx", "A 22127-2026")</f>
        <v/>
      </c>
      <c r="AD96">
        <f>HYPERLINK("https://klasma.github.io/Logging_0881/tillsynsmail/A 22127-2026 tillsynsbegäran mail.docx", "A 22127-2026")</f>
        <v/>
      </c>
      <c r="AE96">
        <f>HYPERLINK("https://klasma.github.io/Logging_0881/fåglar/A 22127-2026 prioriterade fågelarter.docx", "A 22127-2026")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46321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34361-2026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46321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9.5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HYPERLINK("https://klasma.github.io/Logging_0881/artfynd/A 34361-2026 artfynd.xlsx", "A 34361-2026")</f>
        <v/>
      </c>
      <c r="X98">
        <f>HYPERLINK("https://klasma.github.io/Logging_0881/kartor/A 34361-2026 karta.png", "A 34361-2026")</f>
        <v/>
      </c>
      <c r="Y98">
        <f>HYPERLINK("https://klasma.github.io/Logging_0881/kartor_geotiff/A 34361-2026 georefererad karta.tif", "A 34361-2026")</f>
        <v/>
      </c>
      <c r="AA98">
        <f>HYPERLINK("https://klasma.github.io/Logging_0881/klagomål/A 34361-2026 FSC-klagomål.docx", "A 34361-2026")</f>
        <v/>
      </c>
      <c r="AB98">
        <f>HYPERLINK("https://klasma.github.io/Logging_0881/klagomålsmail/A 34361-2026 FSC-klagomål mail.docx", "A 34361-2026")</f>
        <v/>
      </c>
      <c r="AC98">
        <f>HYPERLINK("https://klasma.github.io/Logging_0881/tillsyn/A 34361-2026 tillsynsbegäran.docx", "A 34361-2026")</f>
        <v/>
      </c>
      <c r="AD98">
        <f>HYPERLINK("https://klasma.github.io/Logging_0881/tillsynsmail/A 34361-2026 tillsynsbegäran mail.docx", "A 34361-2026")</f>
        <v/>
      </c>
      <c r="AE98">
        <f>HYPERLINK("https://klasma.github.io/Logging_0881/fåglar/A 34361-2026 prioriterade fågelarter.docx", "A 34361-2026")</f>
        <v/>
      </c>
    </row>
    <row r="99" ht="15" customHeight="1">
      <c r="A99" t="inlineStr">
        <is>
          <t>A 41307-2026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46300</v>
      </c>
      <c r="E99" s="1" t="n">
        <v>46321</v>
      </c>
      <c r="F99" t="inlineStr">
        <is>
          <t>KALMAR LÄN</t>
        </is>
      </c>
      <c r="G99" t="inlineStr">
        <is>
          <t>NYBRO</t>
        </is>
      </c>
      <c r="I99" t="n">
        <v>5.2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HYPERLINK("https://klasma.github.io/Logging_0881/artfynd/A 41307-2026 artfynd.xlsx", "A 41307-2026")</f>
        <v/>
      </c>
      <c r="X99">
        <f>HYPERLINK("https://klasma.github.io/Logging_0881/kartor/A 41307-2026 karta.png", "A 41307-2026")</f>
        <v/>
      </c>
      <c r="Y99">
        <f>HYPERLINK("https://klasma.github.io/Logging_0881/kartor_geotiff/A 41307-2026 georefererad karta.tif", "A 41307-2026")</f>
        <v/>
      </c>
      <c r="AA99">
        <f>HYPERLINK("https://klasma.github.io/Logging_0881/klagomål/A 41307-2026 FSC-klagomål.docx", "A 41307-2026")</f>
        <v/>
      </c>
      <c r="AB99">
        <f>HYPERLINK("https://klasma.github.io/Logging_0881/klagomålsmail/A 41307-2026 FSC-klagomål mail.docx", "A 41307-2026")</f>
        <v/>
      </c>
      <c r="AC99">
        <f>HYPERLINK("https://klasma.github.io/Logging_0881/tillsyn/A 41307-2026 tillsynsbegäran.docx", "A 41307-2026")</f>
        <v/>
      </c>
      <c r="AD99">
        <f>HYPERLINK("https://klasma.github.io/Logging_0881/tillsynsmail/A 41307-2026 tillsynsbegäran mail.docx", "A 41307-2026")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46321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54216-2024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46321</v>
      </c>
      <c r="F101" t="inlineStr">
        <is>
          <t>KALMAR LÄN</t>
        </is>
      </c>
      <c r="G101" t="inlineStr">
        <is>
          <t>NYBRO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HYPERLINK("https://klasma.github.io/Logging_0881/artfynd/A 54216-2024 artfynd.xlsx", "A 54216-2024")</f>
        <v/>
      </c>
      <c r="X101">
        <f>HYPERLINK("https://klasma.github.io/Logging_0881/kartor/A 54216-2024 karta.png", "A 54216-2024")</f>
        <v/>
      </c>
      <c r="Y101">
        <f>HYPERLINK("https://klasma.github.io/Logging_0881/kartor_geotiff/A 54216-2024 georefererad karta.tif", "A 54216-2024")</f>
        <v/>
      </c>
      <c r="AA101">
        <f>HYPERLINK("https://klasma.github.io/Logging_0881/klagomål/A 54216-2024 FSC-klagomål.docx", "A 54216-2024")</f>
        <v/>
      </c>
      <c r="AB101">
        <f>HYPERLINK("https://klasma.github.io/Logging_0881/klagomålsmail/A 54216-2024 FSC-klagomål mail.docx", "A 54216-2024")</f>
        <v/>
      </c>
      <c r="AC101">
        <f>HYPERLINK("https://klasma.github.io/Logging_0881/tillsyn/A 54216-2024 tillsynsbegäran.docx", "A 54216-2024")</f>
        <v/>
      </c>
      <c r="AD101">
        <f>HYPERLINK("https://klasma.github.io/Logging_0881/tillsynsmail/A 54216-2024 tillsynsbegäran mail.docx", "A 54216-2024")</f>
        <v/>
      </c>
      <c r="AE101">
        <f>HYPERLINK("https://klasma.github.io/Logging_0881/fåglar/A 54216-2024 prioriterade fågelarter.docx", "A 54216-2024")</f>
        <v/>
      </c>
    </row>
    <row r="102" ht="15" customHeight="1">
      <c r="A102" t="inlineStr">
        <is>
          <t>A 41719-2026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46321</v>
      </c>
      <c r="F102" t="inlineStr">
        <is>
          <t>KALMAR LÄN</t>
        </is>
      </c>
      <c r="G102" t="inlineStr">
        <is>
          <t>NYBRO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HYPERLINK("https://klasma.github.io/Logging_0881/artfynd/A 41719-2026 artfynd.xlsx", "A 41719-2026")</f>
        <v/>
      </c>
      <c r="X102">
        <f>HYPERLINK("https://klasma.github.io/Logging_0881/kartor/A 41719-2026 karta.png", "A 41719-2026")</f>
        <v/>
      </c>
      <c r="Y102">
        <f>HYPERLINK("https://klasma.github.io/Logging_0881/kartor_geotiff/A 41719-2026 georefererad karta.tif", "A 41719-2026")</f>
        <v/>
      </c>
      <c r="AA102">
        <f>HYPERLINK("https://klasma.github.io/Logging_0881/klagomål/A 41719-2026 FSC-klagomål.docx", "A 41719-2026")</f>
        <v/>
      </c>
      <c r="AB102">
        <f>HYPERLINK("https://klasma.github.io/Logging_0881/klagomålsmail/A 41719-2026 FSC-klagomål mail.docx", "A 41719-2026")</f>
        <v/>
      </c>
      <c r="AC102">
        <f>HYPERLINK("https://klasma.github.io/Logging_0881/tillsyn/A 41719-2026 tillsynsbegäran.docx", "A 41719-2026")</f>
        <v/>
      </c>
      <c r="AD102">
        <f>HYPERLINK("https://klasma.github.io/Logging_0881/tillsynsmail/A 41719-2026 tillsynsbegäran mail.docx", "A 41719-2026")</f>
        <v/>
      </c>
      <c r="AE102">
        <f>HYPERLINK("https://klasma.github.io/Logging_0881/fåglar/A 41719-2026 prioriterade fågelarter.docx", "A 41719-2026")</f>
        <v/>
      </c>
    </row>
    <row r="103" ht="15" customHeight="1">
      <c r="A103" t="inlineStr">
        <is>
          <t>A 16161-2026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46109</v>
      </c>
      <c r="E103" s="1" t="n">
        <v>46321</v>
      </c>
      <c r="F103" t="inlineStr">
        <is>
          <t>KALMAR LÄN</t>
        </is>
      </c>
      <c r="G103" t="inlineStr">
        <is>
          <t>NYBRO</t>
        </is>
      </c>
      <c r="I103" t="n">
        <v>6.1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Mosippa</t>
        </is>
      </c>
      <c r="W103">
        <f>HYPERLINK("https://klasma.github.io/Logging_0881/artfynd/A 16161-2026 artfynd.xlsx", "A 16161-2026")</f>
        <v/>
      </c>
      <c r="X103">
        <f>HYPERLINK("https://klasma.github.io/Logging_0881/kartor/A 16161-2026 karta.png", "A 16161-2026")</f>
        <v/>
      </c>
      <c r="Y103">
        <f>HYPERLINK("https://klasma.github.io/Logging_0881/kartor_geotiff/A 16161-2026 georefererad karta.tif", "A 16161-2026")</f>
        <v/>
      </c>
      <c r="AA103">
        <f>HYPERLINK("https://klasma.github.io/Logging_0881/klagomål/A 16161-2026 FSC-klagomål.docx", "A 16161-2026")</f>
        <v/>
      </c>
      <c r="AB103">
        <f>HYPERLINK("https://klasma.github.io/Logging_0881/klagomålsmail/A 16161-2026 FSC-klagomål mail.docx", "A 16161-2026")</f>
        <v/>
      </c>
      <c r="AC103">
        <f>HYPERLINK("https://klasma.github.io/Logging_0881/tillsyn/A 16161-2026 tillsynsbegäran.docx", "A 16161-2026")</f>
        <v/>
      </c>
      <c r="AD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49782-2025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46321</v>
      </c>
      <c r="F104" t="inlineStr">
        <is>
          <t>KALMAR LÄN</t>
        </is>
      </c>
      <c r="G104" t="inlineStr">
        <is>
          <t>NYBRO</t>
        </is>
      </c>
      <c r="I104" t="n">
        <v>5.9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Röd glada</t>
        </is>
      </c>
      <c r="W104">
        <f>HYPERLINK("https://klasma.github.io/Logging_0881/artfynd/A 49782-2025 artfynd.xlsx", "A 49782-2025")</f>
        <v/>
      </c>
      <c r="X104">
        <f>HYPERLINK("https://klasma.github.io/Logging_0881/kartor/A 49782-2025 karta.png", "A 49782-2025")</f>
        <v/>
      </c>
      <c r="Y104">
        <f>HYPERLINK("https://klasma.github.io/Logging_0881/kartor_geotiff/A 49782-2025 georefererad karta.tif", "A 49782-2025")</f>
        <v/>
      </c>
      <c r="AA104">
        <f>HYPERLINK("https://klasma.github.io/Logging_0881/klagomål/A 49782-2025 FSC-klagomål.docx", "A 49782-2025")</f>
        <v/>
      </c>
      <c r="AB104">
        <f>HYPERLINK("https://klasma.github.io/Logging_0881/klagomålsmail/A 49782-2025 FSC-klagomål mail.docx", "A 49782-2025")</f>
        <v/>
      </c>
      <c r="AC104">
        <f>HYPERLINK("https://klasma.github.io/Logging_0881/tillsyn/A 49782-2025 tillsynsbegäran.docx", "A 49782-2025")</f>
        <v/>
      </c>
      <c r="AD104">
        <f>HYPERLINK("https://klasma.github.io/Logging_0881/tillsynsmail/A 49782-2025 tillsynsbegäran mail.docx", "A 49782-2025")</f>
        <v/>
      </c>
      <c r="AE104">
        <f>HYPERLINK("https://klasma.github.io/Logging_0881/fåglar/A 49782-2025 prioriterade fågelarter.docx", "A 49782-2025")</f>
        <v/>
      </c>
    </row>
    <row r="105" ht="15" customHeight="1">
      <c r="A105" t="inlineStr">
        <is>
          <t>A 38265-2024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46321</v>
      </c>
      <c r="F105" t="inlineStr">
        <is>
          <t>KALMAR LÄN</t>
        </is>
      </c>
      <c r="G105" t="inlineStr">
        <is>
          <t>NYBRO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Mindre bastardsvärmare</t>
        </is>
      </c>
      <c r="W105">
        <f>HYPERLINK("https://klasma.github.io/Logging_0881/artfynd/A 38265-2024 artfynd.xlsx", "A 38265-2024")</f>
        <v/>
      </c>
      <c r="X105">
        <f>HYPERLINK("https://klasma.github.io/Logging_0881/kartor/A 38265-2024 karta.png", "A 38265-2024")</f>
        <v/>
      </c>
      <c r="Y105">
        <f>HYPERLINK("https://klasma.github.io/Logging_0881/kartor_geotiff/A 38265-2024 georefererad karta.tif", "A 38265-2024")</f>
        <v/>
      </c>
      <c r="AA105">
        <f>HYPERLINK("https://klasma.github.io/Logging_0881/klagomål/A 38265-2024 FSC-klagomål.docx", "A 38265-2024")</f>
        <v/>
      </c>
      <c r="AB105">
        <f>HYPERLINK("https://klasma.github.io/Logging_0881/klagomålsmail/A 38265-2024 FSC-klagomål mail.docx", "A 38265-2024")</f>
        <v/>
      </c>
      <c r="AC105">
        <f>HYPERLINK("https://klasma.github.io/Logging_0881/tillsyn/A 38265-2024 tillsynsbegäran.docx", "A 38265-2024")</f>
        <v/>
      </c>
      <c r="AD105">
        <f>HYPERLINK("https://klasma.github.io/Logging_0881/tillsynsmail/A 38265-2024 tillsynsbegäran mail.docx", "A 38265-2024")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46321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31773-2026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46321</v>
      </c>
      <c r="F107" t="inlineStr">
        <is>
          <t>KALMAR LÄN</t>
        </is>
      </c>
      <c r="G107" t="inlineStr">
        <is>
          <t>NYBRO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Blompraktbagge</t>
        </is>
      </c>
      <c r="W107">
        <f>HYPERLINK("https://klasma.github.io/Logging_0881/artfynd/A 31773-2026 artfynd.xlsx", "A 31773-2026")</f>
        <v/>
      </c>
      <c r="X107">
        <f>HYPERLINK("https://klasma.github.io/Logging_0881/kartor/A 31773-2026 karta.png", "A 31773-2026")</f>
        <v/>
      </c>
      <c r="Y107">
        <f>HYPERLINK("https://klasma.github.io/Logging_0881/kartor_geotiff/A 31773-2026 georefererad karta.tif", "A 31773-2026")</f>
        <v/>
      </c>
      <c r="AA107">
        <f>HYPERLINK("https://klasma.github.io/Logging_0881/klagomål/A 31773-2026 FSC-klagomål.docx", "A 31773-2026")</f>
        <v/>
      </c>
      <c r="AB107">
        <f>HYPERLINK("https://klasma.github.io/Logging_0881/klagomålsmail/A 31773-2026 FSC-klagomål mail.docx", "A 31773-2026")</f>
        <v/>
      </c>
      <c r="AC107">
        <f>HYPERLINK("https://klasma.github.io/Logging_0881/tillsyn/A 31773-2026 tillsynsbegäran.docx", "A 31773-2026")</f>
        <v/>
      </c>
      <c r="AD107">
        <f>HYPERLINK("https://klasma.github.io/Logging_0881/tillsynsmail/A 31773-2026 tillsynsbegäran mail.docx", "A 31773-2026")</f>
        <v/>
      </c>
    </row>
    <row r="108" ht="15" customHeight="1">
      <c r="A108" t="inlineStr">
        <is>
          <t>A 17741-2025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45758</v>
      </c>
      <c r="E108" s="1" t="n">
        <v>46321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Tårkragskivling</t>
        </is>
      </c>
      <c r="W108">
        <f>HYPERLINK("https://klasma.github.io/Logging_0881/artfynd/A 17741-2025 artfynd.xlsx", "A 17741-2025")</f>
        <v/>
      </c>
      <c r="X108">
        <f>HYPERLINK("https://klasma.github.io/Logging_0881/kartor/A 17741-2025 karta.png", "A 17741-2025")</f>
        <v/>
      </c>
      <c r="Y108">
        <f>HYPERLINK("https://klasma.github.io/Logging_0881/kartor_geotiff/A 17741-2025 georefererad karta.tif", "A 17741-2025")</f>
        <v/>
      </c>
      <c r="AA108">
        <f>HYPERLINK("https://klasma.github.io/Logging_0881/klagomål/A 17741-2025 FSC-klagomål.docx", "A 17741-2025")</f>
        <v/>
      </c>
      <c r="AB108">
        <f>HYPERLINK("https://klasma.github.io/Logging_0881/klagomålsmail/A 17741-2025 FSC-klagomål mail.docx", "A 17741-2025")</f>
        <v/>
      </c>
      <c r="AC108">
        <f>HYPERLINK("https://klasma.github.io/Logging_0881/tillsyn/A 17741-2025 tillsynsbegäran.docx", "A 17741-2025")</f>
        <v/>
      </c>
      <c r="AD108">
        <f>HYPERLINK("https://klasma.github.io/Logging_0881/tillsynsmail/A 17741-2025 tillsynsbegäran mail.docx", "A 17741-2025")</f>
        <v/>
      </c>
    </row>
    <row r="109" ht="15" customHeight="1">
      <c r="A109" t="inlineStr">
        <is>
          <t>A 10745-2026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46321</v>
      </c>
      <c r="F109" t="inlineStr">
        <is>
          <t>KALMAR LÄN</t>
        </is>
      </c>
      <c r="G109" t="inlineStr">
        <is>
          <t>NYBRO</t>
        </is>
      </c>
      <c r="I109" t="n">
        <v>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10745-2026 artfynd.xlsx", "A 10745-2026")</f>
        <v/>
      </c>
      <c r="X109">
        <f>HYPERLINK("https://klasma.github.io/Logging_0881/kartor/A 10745-2026 karta.png", "A 10745-2026")</f>
        <v/>
      </c>
      <c r="Y109">
        <f>HYPERLINK("https://klasma.github.io/Logging_0881/kartor_geotiff/A 10745-2026 georefererad karta.tif", "A 10745-2026")</f>
        <v/>
      </c>
      <c r="AA109">
        <f>HYPERLINK("https://klasma.github.io/Logging_0881/klagomål/A 10745-2026 FSC-klagomål.docx", "A 10745-2026")</f>
        <v/>
      </c>
      <c r="AB109">
        <f>HYPERLINK("https://klasma.github.io/Logging_0881/klagomålsmail/A 10745-2026 FSC-klagomål mail.docx", "A 10745-2026")</f>
        <v/>
      </c>
      <c r="AC109">
        <f>HYPERLINK("https://klasma.github.io/Logging_0881/tillsyn/A 10745-2026 tillsynsbegäran.docx", "A 10745-2026")</f>
        <v/>
      </c>
      <c r="AD109">
        <f>HYPERLINK("https://klasma.github.io/Logging_0881/tillsynsmail/A 10745-2026 tillsynsbegäran mail.docx", "A 10745-2026")</f>
        <v/>
      </c>
    </row>
    <row r="110" ht="15" customHeight="1">
      <c r="A110" t="inlineStr">
        <is>
          <t>A 22952-2024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45449</v>
      </c>
      <c r="E110" s="1" t="n">
        <v>46321</v>
      </c>
      <c r="F110" t="inlineStr">
        <is>
          <t>KALMAR LÄN</t>
        </is>
      </c>
      <c r="G110" t="inlineStr">
        <is>
          <t>NYBRO</t>
        </is>
      </c>
      <c r="I110" t="n">
        <v>14.1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HYPERLINK("https://klasma.github.io/Logging_0881/artfynd/A 22952-2024 artfynd.xlsx", "A 22952-2024")</f>
        <v/>
      </c>
      <c r="X110">
        <f>HYPERLINK("https://klasma.github.io/Logging_0881/kartor/A 22952-2024 karta.png", "A 22952-2024")</f>
        <v/>
      </c>
      <c r="Y110">
        <f>HYPERLINK("https://klasma.github.io/Logging_0881/kartor_geotiff/A 22952-2024 georefererad karta.tif", "A 22952-2024")</f>
        <v/>
      </c>
      <c r="AA110">
        <f>HYPERLINK("https://klasma.github.io/Logging_0881/klagomål/A 22952-2024 FSC-klagomål.docx", "A 22952-2024")</f>
        <v/>
      </c>
      <c r="AB110">
        <f>HYPERLINK("https://klasma.github.io/Logging_0881/klagomålsmail/A 22952-2024 FSC-klagomål mail.docx", "A 22952-2024")</f>
        <v/>
      </c>
      <c r="AC110">
        <f>HYPERLINK("https://klasma.github.io/Logging_0881/tillsyn/A 22952-2024 tillsynsbegäran.docx", "A 22952-2024")</f>
        <v/>
      </c>
      <c r="AD110">
        <f>HYPERLINK("https://klasma.github.io/Logging_0881/tillsynsmail/A 22952-2024 tillsynsbegäran mail.docx", "A 22952-2024")</f>
        <v/>
      </c>
    </row>
    <row r="111" ht="15" customHeight="1">
      <c r="A111" t="inlineStr">
        <is>
          <t>A 20647-2026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46321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Ljungögontröst</t>
        </is>
      </c>
      <c r="W111">
        <f>HYPERLINK("https://klasma.github.io/Logging_0881/artfynd/A 20647-2026 artfynd.xlsx", "A 20647-2026")</f>
        <v/>
      </c>
      <c r="X111">
        <f>HYPERLINK("https://klasma.github.io/Logging_0881/kartor/A 20647-2026 karta.png", "A 20647-2026")</f>
        <v/>
      </c>
      <c r="Y111">
        <f>HYPERLINK("https://klasma.github.io/Logging_0881/kartor_geotiff/A 20647-2026 georefererad karta.tif", "A 20647-2026")</f>
        <v/>
      </c>
      <c r="AA111">
        <f>HYPERLINK("https://klasma.github.io/Logging_0881/klagomål/A 20647-2026 FSC-klagomål.docx", "A 20647-2026")</f>
        <v/>
      </c>
      <c r="AB111">
        <f>HYPERLINK("https://klasma.github.io/Logging_0881/klagomålsmail/A 20647-2026 FSC-klagomål mail.docx", "A 20647-2026")</f>
        <v/>
      </c>
      <c r="AC111">
        <f>HYPERLINK("https://klasma.github.io/Logging_0881/tillsyn/A 20647-2026 tillsynsbegäran.docx", "A 20647-2026")</f>
        <v/>
      </c>
      <c r="AD111">
        <f>HYPERLINK("https://klasma.github.io/Logging_0881/tillsynsmail/A 20647-2026 tillsynsbegäran mail.docx", "A 20647-2026")</f>
        <v/>
      </c>
    </row>
    <row r="112" ht="15" customHeight="1">
      <c r="A112" t="inlineStr">
        <is>
          <t>A 46223-2024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46321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Sumpviol</t>
        </is>
      </c>
      <c r="W112">
        <f>HYPERLINK("https://klasma.github.io/Logging_0881/artfynd/A 46223-2024 artfynd.xlsx", "A 46223-2024")</f>
        <v/>
      </c>
      <c r="X112">
        <f>HYPERLINK("https://klasma.github.io/Logging_0881/kartor/A 46223-2024 karta.png", "A 46223-2024")</f>
        <v/>
      </c>
      <c r="Y112">
        <f>HYPERLINK("https://klasma.github.io/Logging_0881/kartor_geotiff/A 46223-2024 georefererad karta.tif", "A 46223-2024")</f>
        <v/>
      </c>
      <c r="AA112">
        <f>HYPERLINK("https://klasma.github.io/Logging_0881/klagomål/A 46223-2024 FSC-klagomål.docx", "A 46223-2024")</f>
        <v/>
      </c>
      <c r="AB112">
        <f>HYPERLINK("https://klasma.github.io/Logging_0881/klagomålsmail/A 46223-2024 FSC-klagomål mail.docx", "A 46223-2024")</f>
        <v/>
      </c>
      <c r="AC112">
        <f>HYPERLINK("https://klasma.github.io/Logging_0881/tillsyn/A 46223-2024 tillsynsbegäran.docx", "A 46223-2024")</f>
        <v/>
      </c>
      <c r="AD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22086-2026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46321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2.6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5</v>
      </c>
      <c r="U113" t="n">
        <v>0</v>
      </c>
      <c r="V113" s="2" t="inlineStr">
        <is>
          <t>Talltita</t>
        </is>
      </c>
      <c r="W113">
        <f>HYPERLINK("https://klasma.github.io/Logging_0881/artfynd/A 22086-2026 artfynd.xlsx", "A 22086-2026")</f>
        <v/>
      </c>
      <c r="X113">
        <f>HYPERLINK("https://klasma.github.io/Logging_0881/kartor/A 22086-2026 karta.png", "A 22086-2026")</f>
        <v/>
      </c>
      <c r="Y113">
        <f>HYPERLINK("https://klasma.github.io/Logging_0881/kartor_geotiff/A 22086-2026 georefererad karta.tif", "A 22086-2026")</f>
        <v/>
      </c>
      <c r="AA113">
        <f>HYPERLINK("https://klasma.github.io/Logging_0881/klagomål/A 22086-2026 FSC-klagomål.docx", "A 22086-2026")</f>
        <v/>
      </c>
      <c r="AB113">
        <f>HYPERLINK("https://klasma.github.io/Logging_0881/klagomålsmail/A 22086-2026 FSC-klagomål mail.docx", "A 22086-2026")</f>
        <v/>
      </c>
      <c r="AC113">
        <f>HYPERLINK("https://klasma.github.io/Logging_0881/tillsyn/A 22086-2026 tillsynsbegäran.docx", "A 22086-2026")</f>
        <v/>
      </c>
      <c r="AD113">
        <f>HYPERLINK("https://klasma.github.io/Logging_0881/tillsynsmail/A 22086-2026 tillsynsbegäran mail.docx", "A 22086-2026")</f>
        <v/>
      </c>
      <c r="AE113">
        <f>HYPERLINK("https://klasma.github.io/Logging_0881/fåglar/A 22086-2026 prioriterade fågelarter.docx", "A 22086-2026")</f>
        <v/>
      </c>
    </row>
    <row r="114" ht="15" customHeight="1">
      <c r="A114" t="inlineStr">
        <is>
          <t>A 22097-2026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46321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0</v>
      </c>
      <c r="V114" s="2" t="inlineStr">
        <is>
          <t>Talltita</t>
        </is>
      </c>
      <c r="W114">
        <f>HYPERLINK("https://klasma.github.io/Logging_0881/artfynd/A 22097-2026 artfynd.xlsx", "A 22097-2026")</f>
        <v/>
      </c>
      <c r="X114">
        <f>HYPERLINK("https://klasma.github.io/Logging_0881/kartor/A 22097-2026 karta.png", "A 22097-2026")</f>
        <v/>
      </c>
      <c r="Y114">
        <f>HYPERLINK("https://klasma.github.io/Logging_0881/kartor_geotiff/A 22097-2026 georefererad karta.tif", "A 22097-2026")</f>
        <v/>
      </c>
      <c r="AA114">
        <f>HYPERLINK("https://klasma.github.io/Logging_0881/klagomål/A 22097-2026 FSC-klagomål.docx", "A 22097-2026")</f>
        <v/>
      </c>
      <c r="AB114">
        <f>HYPERLINK("https://klasma.github.io/Logging_0881/klagomålsmail/A 22097-2026 FSC-klagomål mail.docx", "A 22097-2026")</f>
        <v/>
      </c>
      <c r="AC114">
        <f>HYPERLINK("https://klasma.github.io/Logging_0881/tillsyn/A 22097-2026 tillsynsbegäran.docx", "A 22097-2026")</f>
        <v/>
      </c>
      <c r="AD114">
        <f>HYPERLINK("https://klasma.github.io/Logging_0881/tillsynsmail/A 22097-2026 tillsynsbegäran mail.docx", "A 22097-2026")</f>
        <v/>
      </c>
      <c r="AE114">
        <f>HYPERLINK("https://klasma.github.io/Logging_0881/fåglar/A 22097-2026 prioriterade fågelarter.docx", "A 22097-2026")</f>
        <v/>
      </c>
    </row>
    <row r="115" ht="15" customHeight="1">
      <c r="A115" t="inlineStr">
        <is>
          <t>A 22089-2026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46321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Talltita</t>
        </is>
      </c>
      <c r="W115">
        <f>HYPERLINK("https://klasma.github.io/Logging_0881/artfynd/A 22089-2026 artfynd.xlsx", "A 22089-2026")</f>
        <v/>
      </c>
      <c r="X115">
        <f>HYPERLINK("https://klasma.github.io/Logging_0881/kartor/A 22089-2026 karta.png", "A 22089-2026")</f>
        <v/>
      </c>
      <c r="Y115">
        <f>HYPERLINK("https://klasma.github.io/Logging_0881/kartor_geotiff/A 22089-2026 georefererad karta.tif", "A 22089-2026")</f>
        <v/>
      </c>
      <c r="AA115">
        <f>HYPERLINK("https://klasma.github.io/Logging_0881/klagomål/A 22089-2026 FSC-klagomål.docx", "A 22089-2026")</f>
        <v/>
      </c>
      <c r="AB115">
        <f>HYPERLINK("https://klasma.github.io/Logging_0881/klagomålsmail/A 22089-2026 FSC-klagomål mail.docx", "A 22089-2026")</f>
        <v/>
      </c>
      <c r="AC115">
        <f>HYPERLINK("https://klasma.github.io/Logging_0881/tillsyn/A 22089-2026 tillsynsbegäran.docx", "A 22089-2026")</f>
        <v/>
      </c>
      <c r="AD115">
        <f>HYPERLINK("https://klasma.github.io/Logging_0881/tillsynsmail/A 22089-2026 tillsynsbegäran mail.docx", "A 22089-2026")</f>
        <v/>
      </c>
      <c r="AE115">
        <f>HYPERLINK("https://klasma.github.io/Logging_0881/fåglar/A 22089-2026 prioriterade fågelarter.docx", "A 22089-2026")</f>
        <v/>
      </c>
    </row>
    <row r="116" ht="15" customHeight="1">
      <c r="A116" t="inlineStr">
        <is>
          <t>A 37016-2023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46321</v>
      </c>
      <c r="F116" t="inlineStr">
        <is>
          <t>KALMAR LÄN</t>
        </is>
      </c>
      <c r="G116" t="inlineStr">
        <is>
          <t>NYBRO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Slåttergubbe</t>
        </is>
      </c>
      <c r="W116">
        <f>HYPERLINK("https://klasma.github.io/Logging_0881/artfynd/A 37016-2023 artfynd.xlsx", "A 37016-2023")</f>
        <v/>
      </c>
      <c r="X116">
        <f>HYPERLINK("https://klasma.github.io/Logging_0881/kartor/A 37016-2023 karta.png", "A 37016-2023")</f>
        <v/>
      </c>
      <c r="Y116">
        <f>HYPERLINK("https://klasma.github.io/Logging_0881/kartor_geotiff/A 37016-2023 georefererad karta.tif", "A 37016-2023")</f>
        <v/>
      </c>
      <c r="AA116">
        <f>HYPERLINK("https://klasma.github.io/Logging_0881/klagomål/A 37016-2023 FSC-klagomål.docx", "A 37016-2023")</f>
        <v/>
      </c>
      <c r="AB116">
        <f>HYPERLINK("https://klasma.github.io/Logging_0881/klagomålsmail/A 37016-2023 FSC-klagomål mail.docx", "A 37016-2023")</f>
        <v/>
      </c>
      <c r="AC116">
        <f>HYPERLINK("https://klasma.github.io/Logging_0881/tillsyn/A 37016-2023 tillsynsbegäran.docx", "A 37016-2023")</f>
        <v/>
      </c>
      <c r="AD116">
        <f>HYPERLINK("https://klasma.github.io/Logging_0881/tillsynsmail/A 37016-2023 tillsynsbegäran mail.docx", "A 37016-2023")</f>
        <v/>
      </c>
    </row>
    <row r="117" ht="15" customHeight="1">
      <c r="A117" t="inlineStr">
        <is>
          <t>A 48980-2024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46321</v>
      </c>
      <c r="F117" t="inlineStr">
        <is>
          <t>KALMAR LÄN</t>
        </is>
      </c>
      <c r="G117" t="inlineStr">
        <is>
          <t>NYBRO</t>
        </is>
      </c>
      <c r="I117" t="n">
        <v>41.9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Hjärtstilla</t>
        </is>
      </c>
      <c r="W117">
        <f>HYPERLINK("https://klasma.github.io/Logging_0881/artfynd/A 48980-2024 artfynd.xlsx", "A 48980-2024")</f>
        <v/>
      </c>
      <c r="X117">
        <f>HYPERLINK("https://klasma.github.io/Logging_0881/kartor/A 48980-2024 karta.png", "A 48980-2024")</f>
        <v/>
      </c>
      <c r="Y117">
        <f>HYPERLINK("https://klasma.github.io/Logging_0881/kartor_geotiff/A 48980-2024 georefererad karta.tif", "A 48980-2024")</f>
        <v/>
      </c>
      <c r="AA117">
        <f>HYPERLINK("https://klasma.github.io/Logging_0881/klagomål/A 48980-2024 FSC-klagomål.docx", "A 48980-2024")</f>
        <v/>
      </c>
      <c r="AB117">
        <f>HYPERLINK("https://klasma.github.io/Logging_0881/klagomålsmail/A 48980-2024 FSC-klagomål mail.docx", "A 48980-2024")</f>
        <v/>
      </c>
      <c r="AC117">
        <f>HYPERLINK("https://klasma.github.io/Logging_0881/tillsyn/A 48980-2024 tillsynsbegäran.docx", "A 48980-2024")</f>
        <v/>
      </c>
      <c r="AD117">
        <f>HYPERLINK("https://klasma.github.io/Logging_0881/tillsynsmail/A 48980-2024 tillsynsbegäran mail.docx", "A 48980-2024")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46321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46321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46321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46321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46321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46321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46321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46321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46321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46321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46321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46321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46321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46321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46321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46321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46321</v>
      </c>
      <c r="F134" t="inlineStr">
        <is>
          <t>KALMAR LÄN</t>
        </is>
      </c>
      <c r="G134" t="inlineStr">
        <is>
          <t>NYBRO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46321</v>
      </c>
      <c r="F135" t="inlineStr">
        <is>
          <t>KALMAR LÄN</t>
        </is>
      </c>
      <c r="G135" t="inlineStr">
        <is>
          <t>NYBRO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46321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46321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46321</v>
      </c>
      <c r="F138" t="inlineStr">
        <is>
          <t>KALMAR LÄN</t>
        </is>
      </c>
      <c r="G138" t="inlineStr">
        <is>
          <t>NYBRO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46321</v>
      </c>
      <c r="F139" t="inlineStr">
        <is>
          <t>KALMAR LÄN</t>
        </is>
      </c>
      <c r="G139" t="inlineStr">
        <is>
          <t>NYBRO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46321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46321</v>
      </c>
      <c r="F141" t="inlineStr">
        <is>
          <t>KALMAR LÄN</t>
        </is>
      </c>
      <c r="G141" t="inlineStr">
        <is>
          <t>NYBRO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46321</v>
      </c>
      <c r="F142" t="inlineStr">
        <is>
          <t>KALMAR LÄN</t>
        </is>
      </c>
      <c r="G142" t="inlineStr">
        <is>
          <t>NYBRO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46321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46321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44493</v>
      </c>
      <c r="E145" s="1" t="n">
        <v>46321</v>
      </c>
      <c r="F145" t="inlineStr">
        <is>
          <t>KALMAR LÄN</t>
        </is>
      </c>
      <c r="G145" t="inlineStr">
        <is>
          <t>NYBRO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46321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46321</v>
      </c>
      <c r="F147" t="inlineStr">
        <is>
          <t>KALMAR LÄN</t>
        </is>
      </c>
      <c r="G147" t="inlineStr">
        <is>
          <t>NYBRO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46321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46321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46321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46321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46321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46321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46321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46321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46321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46321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46321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46321</v>
      </c>
      <c r="F159" t="inlineStr">
        <is>
          <t>KALMAR LÄN</t>
        </is>
      </c>
      <c r="G159" t="inlineStr">
        <is>
          <t>NYBRO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46321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46321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46321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46321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46321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46321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46321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46321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46321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46321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46321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46321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46321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46321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46321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46321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46321</v>
      </c>
      <c r="F176" t="inlineStr">
        <is>
          <t>KALMAR LÄN</t>
        </is>
      </c>
      <c r="G176" t="inlineStr">
        <is>
          <t>NYBRO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44933</v>
      </c>
      <c r="E177" s="1" t="n">
        <v>46321</v>
      </c>
      <c r="F177" t="inlineStr">
        <is>
          <t>KALMAR LÄN</t>
        </is>
      </c>
      <c r="G177" t="inlineStr">
        <is>
          <t>NYBRO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46321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46321</v>
      </c>
      <c r="F179" t="inlineStr">
        <is>
          <t>KALMAR LÄN</t>
        </is>
      </c>
      <c r="G179" t="inlineStr">
        <is>
          <t>NYBRO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44870</v>
      </c>
      <c r="E180" s="1" t="n">
        <v>46321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46321</v>
      </c>
      <c r="F181" t="inlineStr">
        <is>
          <t>KALMAR LÄN</t>
        </is>
      </c>
      <c r="G181" t="inlineStr">
        <is>
          <t>NYBRO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46321</v>
      </c>
      <c r="F182" t="inlineStr">
        <is>
          <t>KALMAR LÄN</t>
        </is>
      </c>
      <c r="G182" t="inlineStr">
        <is>
          <t>NYBRO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46321</v>
      </c>
      <c r="F183" t="inlineStr">
        <is>
          <t>KALMAR LÄN</t>
        </is>
      </c>
      <c r="G183" t="inlineStr">
        <is>
          <t>NYBRO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46321</v>
      </c>
      <c r="F184" t="inlineStr">
        <is>
          <t>KALMAR LÄN</t>
        </is>
      </c>
      <c r="G184" t="inlineStr">
        <is>
          <t>NYBRO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46321</v>
      </c>
      <c r="F185" t="inlineStr">
        <is>
          <t>KALMAR LÄN</t>
        </is>
      </c>
      <c r="G185" t="inlineStr">
        <is>
          <t>NYBRO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46321</v>
      </c>
      <c r="F186" t="inlineStr">
        <is>
          <t>KALMAR LÄN</t>
        </is>
      </c>
      <c r="G186" t="inlineStr">
        <is>
          <t>NYBRO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46321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45628</v>
      </c>
      <c r="E188" s="1" t="n">
        <v>46321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46321</v>
      </c>
      <c r="F189" t="inlineStr">
        <is>
          <t>KALMAR LÄN</t>
        </is>
      </c>
      <c r="G189" t="inlineStr">
        <is>
          <t>NYBRO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46321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46321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46321</v>
      </c>
      <c r="F192" t="inlineStr">
        <is>
          <t>KALMAR LÄN</t>
        </is>
      </c>
      <c r="G192" t="inlineStr">
        <is>
          <t>NYBRO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46321</v>
      </c>
      <c r="F193" t="inlineStr">
        <is>
          <t>KALMAR LÄN</t>
        </is>
      </c>
      <c r="G193" t="inlineStr">
        <is>
          <t>NYBRO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45190</v>
      </c>
      <c r="E194" s="1" t="n">
        <v>46321</v>
      </c>
      <c r="F194" t="inlineStr">
        <is>
          <t>KALMAR LÄN</t>
        </is>
      </c>
      <c r="G194" t="inlineStr">
        <is>
          <t>NYBRO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46321</v>
      </c>
      <c r="F195" t="inlineStr">
        <is>
          <t>KALMAR LÄN</t>
        </is>
      </c>
      <c r="G195" t="inlineStr">
        <is>
          <t>NYBRO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46321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46321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46321</v>
      </c>
      <c r="F198" t="inlineStr">
        <is>
          <t>KALMAR LÄN</t>
        </is>
      </c>
      <c r="G198" t="inlineStr">
        <is>
          <t>NYBRO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46321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46321</v>
      </c>
      <c r="F200" t="inlineStr">
        <is>
          <t>KALMAR LÄN</t>
        </is>
      </c>
      <c r="G200" t="inlineStr">
        <is>
          <t>NYBRO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46321</v>
      </c>
      <c r="F201" t="inlineStr">
        <is>
          <t>KALMAR LÄN</t>
        </is>
      </c>
      <c r="G201" t="inlineStr">
        <is>
          <t>NYBRO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46321</v>
      </c>
      <c r="F202" t="inlineStr">
        <is>
          <t>KALMAR LÄN</t>
        </is>
      </c>
      <c r="G202" t="inlineStr">
        <is>
          <t>NYBRO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46321</v>
      </c>
      <c r="F203" t="inlineStr">
        <is>
          <t>KALMAR LÄN</t>
        </is>
      </c>
      <c r="G203" t="inlineStr">
        <is>
          <t>NYBRO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46321</v>
      </c>
      <c r="F204" t="inlineStr">
        <is>
          <t>KALMAR LÄN</t>
        </is>
      </c>
      <c r="G204" t="inlineStr">
        <is>
          <t>NYBRO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46321</v>
      </c>
      <c r="F205" t="inlineStr">
        <is>
          <t>KALMAR LÄN</t>
        </is>
      </c>
      <c r="G205" t="inlineStr">
        <is>
          <t>NYBRO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46321</v>
      </c>
      <c r="F206" t="inlineStr">
        <is>
          <t>KALMAR LÄN</t>
        </is>
      </c>
      <c r="G206" t="inlineStr">
        <is>
          <t>NYBRO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46321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46321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46321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46321</v>
      </c>
      <c r="F210" t="inlineStr">
        <is>
          <t>KALMAR LÄN</t>
        </is>
      </c>
      <c r="G210" t="inlineStr">
        <is>
          <t>NYBRO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45510</v>
      </c>
      <c r="E211" s="1" t="n">
        <v>46321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46321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46321</v>
      </c>
      <c r="F213" t="inlineStr">
        <is>
          <t>KALMAR LÄN</t>
        </is>
      </c>
      <c r="G213" t="inlineStr">
        <is>
          <t>NYBRO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46321</v>
      </c>
      <c r="F214" t="inlineStr">
        <is>
          <t>KALMAR LÄN</t>
        </is>
      </c>
      <c r="G214" t="inlineStr">
        <is>
          <t>NYBRO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46321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46321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46321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46321</v>
      </c>
      <c r="F218" t="inlineStr">
        <is>
          <t>KALMAR LÄN</t>
        </is>
      </c>
      <c r="G218" t="inlineStr">
        <is>
          <t>NYBRO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46321</v>
      </c>
      <c r="F219" t="inlineStr">
        <is>
          <t>KALMAR LÄN</t>
        </is>
      </c>
      <c r="G219" t="inlineStr">
        <is>
          <t>NYBRO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45056</v>
      </c>
      <c r="E220" s="1" t="n">
        <v>46321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44866</v>
      </c>
      <c r="E221" s="1" t="n">
        <v>46321</v>
      </c>
      <c r="F221" t="inlineStr">
        <is>
          <t>KALMAR LÄN</t>
        </is>
      </c>
      <c r="G221" t="inlineStr">
        <is>
          <t>NYBRO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46321</v>
      </c>
      <c r="F222" t="inlineStr">
        <is>
          <t>KALMAR LÄN</t>
        </is>
      </c>
      <c r="G222" t="inlineStr">
        <is>
          <t>NYBRO</t>
        </is>
      </c>
      <c r="I222" t="n">
        <v>16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44866</v>
      </c>
      <c r="E223" s="1" t="n">
        <v>46321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46321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46321</v>
      </c>
      <c r="F225" t="inlineStr">
        <is>
          <t>KALMAR LÄN</t>
        </is>
      </c>
      <c r="G225" t="inlineStr">
        <is>
          <t>NYBRO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46321</v>
      </c>
      <c r="F226" t="inlineStr">
        <is>
          <t>KALMAR LÄN</t>
        </is>
      </c>
      <c r="G226" t="inlineStr">
        <is>
          <t>NYBRO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45606</v>
      </c>
      <c r="E227" s="1" t="n">
        <v>46321</v>
      </c>
      <c r="F227" t="inlineStr">
        <is>
          <t>KALMAR LÄN</t>
        </is>
      </c>
      <c r="G227" t="inlineStr">
        <is>
          <t>NYBRO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46321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46321</v>
      </c>
      <c r="F229" t="inlineStr">
        <is>
          <t>KALMAR LÄN</t>
        </is>
      </c>
      <c r="G229" t="inlineStr">
        <is>
          <t>NYBRO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46321</v>
      </c>
      <c r="F230" t="inlineStr">
        <is>
          <t>KALMAR LÄN</t>
        </is>
      </c>
      <c r="G230" t="inlineStr">
        <is>
          <t>NYBRO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46321</v>
      </c>
      <c r="F231" t="inlineStr">
        <is>
          <t>KALMAR LÄN</t>
        </is>
      </c>
      <c r="G231" t="inlineStr">
        <is>
          <t>NYBRO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46321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44982</v>
      </c>
      <c r="E233" s="1" t="n">
        <v>46321</v>
      </c>
      <c r="F233" t="inlineStr">
        <is>
          <t>KALMAR LÄN</t>
        </is>
      </c>
      <c r="G233" t="inlineStr">
        <is>
          <t>NYBRO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46321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46321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46321</v>
      </c>
      <c r="F236" t="inlineStr">
        <is>
          <t>KALMAR LÄN</t>
        </is>
      </c>
      <c r="G236" t="inlineStr">
        <is>
          <t>NYBRO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46321</v>
      </c>
      <c r="F237" t="inlineStr">
        <is>
          <t>KALMAR LÄN</t>
        </is>
      </c>
      <c r="G237" t="inlineStr">
        <is>
          <t>NYBRO</t>
        </is>
      </c>
      <c r="I237" t="n">
        <v>12.1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46321</v>
      </c>
      <c r="F238" t="inlineStr">
        <is>
          <t>KALMAR LÄN</t>
        </is>
      </c>
      <c r="G238" t="inlineStr">
        <is>
          <t>NYBRO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46321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45213</v>
      </c>
      <c r="E240" s="1" t="n">
        <v>46321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46321</v>
      </c>
      <c r="F241" t="inlineStr">
        <is>
          <t>KALMAR LÄN</t>
        </is>
      </c>
      <c r="G241" t="inlineStr">
        <is>
          <t>NYBRO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46321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46321</v>
      </c>
      <c r="F243" t="inlineStr">
        <is>
          <t>KALMAR LÄN</t>
        </is>
      </c>
      <c r="G243" t="inlineStr">
        <is>
          <t>NYBRO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59687-2021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44494</v>
      </c>
      <c r="E244" s="1" t="n">
        <v>46321</v>
      </c>
      <c r="F244" t="inlineStr">
        <is>
          <t>KALMAR LÄN</t>
        </is>
      </c>
      <c r="G244" t="inlineStr">
        <is>
          <t>NYBRO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46321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46321</v>
      </c>
      <c r="F246" t="inlineStr">
        <is>
          <t>KALMAR LÄN</t>
        </is>
      </c>
      <c r="G246" t="inlineStr">
        <is>
          <t>NYBRO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44798</v>
      </c>
      <c r="E247" s="1" t="n">
        <v>46321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44853</v>
      </c>
      <c r="E248" s="1" t="n">
        <v>46321</v>
      </c>
      <c r="F248" t="inlineStr">
        <is>
          <t>KALMAR LÄN</t>
        </is>
      </c>
      <c r="G248" t="inlineStr">
        <is>
          <t>NYBRO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46321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46321</v>
      </c>
      <c r="F250" t="inlineStr">
        <is>
          <t>KALMAR LÄN</t>
        </is>
      </c>
      <c r="G250" t="inlineStr">
        <is>
          <t>NYBRO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46321</v>
      </c>
      <c r="F251" t="inlineStr">
        <is>
          <t>KALMAR LÄN</t>
        </is>
      </c>
      <c r="G251" t="inlineStr">
        <is>
          <t>NYBRO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46321</v>
      </c>
      <c r="F252" t="inlineStr">
        <is>
          <t>KALMAR LÄN</t>
        </is>
      </c>
      <c r="G252" t="inlineStr">
        <is>
          <t>NYBRO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46321</v>
      </c>
      <c r="F253" t="inlineStr">
        <is>
          <t>KALMAR LÄN</t>
        </is>
      </c>
      <c r="G253" t="inlineStr">
        <is>
          <t>NYBRO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45668</v>
      </c>
      <c r="E254" s="1" t="n">
        <v>46321</v>
      </c>
      <c r="F254" t="inlineStr">
        <is>
          <t>KALMAR LÄN</t>
        </is>
      </c>
      <c r="G254" t="inlineStr">
        <is>
          <t>NYBRO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46321</v>
      </c>
      <c r="F255" t="inlineStr">
        <is>
          <t>KALMAR LÄN</t>
        </is>
      </c>
      <c r="G255" t="inlineStr">
        <is>
          <t>NYBRO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45336</v>
      </c>
      <c r="E256" s="1" t="n">
        <v>46321</v>
      </c>
      <c r="F256" t="inlineStr">
        <is>
          <t>KALMAR LÄN</t>
        </is>
      </c>
      <c r="G256" t="inlineStr">
        <is>
          <t>NYBRO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45670</v>
      </c>
      <c r="E257" s="1" t="n">
        <v>46321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46321</v>
      </c>
      <c r="F258" t="inlineStr">
        <is>
          <t>KALMAR LÄN</t>
        </is>
      </c>
      <c r="G258" t="inlineStr">
        <is>
          <t>NYBRO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44908</v>
      </c>
      <c r="E259" s="1" t="n">
        <v>46321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46321</v>
      </c>
      <c r="F260" t="inlineStr">
        <is>
          <t>KALMAR LÄN</t>
        </is>
      </c>
      <c r="G260" t="inlineStr">
        <is>
          <t>NYBRO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46321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46321</v>
      </c>
      <c r="F262" t="inlineStr">
        <is>
          <t>KALMAR LÄN</t>
        </is>
      </c>
      <c r="G262" t="inlineStr">
        <is>
          <t>NYBRO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46321</v>
      </c>
      <c r="F263" t="inlineStr">
        <is>
          <t>KALMAR LÄN</t>
        </is>
      </c>
      <c r="G263" t="inlineStr">
        <is>
          <t>NYBRO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46321</v>
      </c>
      <c r="F264" t="inlineStr">
        <is>
          <t>KALMAR LÄN</t>
        </is>
      </c>
      <c r="G264" t="inlineStr">
        <is>
          <t>NYBRO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46321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46321</v>
      </c>
      <c r="F266" t="inlineStr">
        <is>
          <t>KALMAR LÄN</t>
        </is>
      </c>
      <c r="G266" t="inlineStr">
        <is>
          <t>NYBRO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46321</v>
      </c>
      <c r="F267" t="inlineStr">
        <is>
          <t>KALMAR LÄN</t>
        </is>
      </c>
      <c r="G267" t="inlineStr">
        <is>
          <t>NYBRO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49338-2025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45938</v>
      </c>
      <c r="E268" s="1" t="n">
        <v>46321</v>
      </c>
      <c r="F268" t="inlineStr">
        <is>
          <t>KALMAR LÄN</t>
        </is>
      </c>
      <c r="G268" t="inlineStr">
        <is>
          <t>NYBRO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46321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46321</v>
      </c>
      <c r="F270" t="inlineStr">
        <is>
          <t>KALMAR LÄN</t>
        </is>
      </c>
      <c r="G270" t="inlineStr">
        <is>
          <t>NYBRO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46321</v>
      </c>
      <c r="F271" t="inlineStr">
        <is>
          <t>KALMAR LÄN</t>
        </is>
      </c>
      <c r="G271" t="inlineStr">
        <is>
          <t>NYBRO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24614-2026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46169</v>
      </c>
      <c r="E272" s="1" t="n">
        <v>46321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46321</v>
      </c>
      <c r="F273" t="inlineStr">
        <is>
          <t>KALMAR LÄN</t>
        </is>
      </c>
      <c r="G273" t="inlineStr">
        <is>
          <t>NYBRO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45050</v>
      </c>
      <c r="E274" s="1" t="n">
        <v>46321</v>
      </c>
      <c r="F274" t="inlineStr">
        <is>
          <t>KALMAR LÄN</t>
        </is>
      </c>
      <c r="G274" t="inlineStr">
        <is>
          <t>NYBRO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46321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45149</v>
      </c>
      <c r="E276" s="1" t="n">
        <v>46321</v>
      </c>
      <c r="F276" t="inlineStr">
        <is>
          <t>KALMAR LÄN</t>
        </is>
      </c>
      <c r="G276" t="inlineStr">
        <is>
          <t>NYBRO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46321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46321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46321</v>
      </c>
      <c r="F279" t="inlineStr">
        <is>
          <t>KALMAR LÄN</t>
        </is>
      </c>
      <c r="G279" t="inlineStr">
        <is>
          <t>NYBRO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46321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46321</v>
      </c>
      <c r="F281" t="inlineStr">
        <is>
          <t>KALMAR LÄN</t>
        </is>
      </c>
      <c r="G281" t="inlineStr">
        <is>
          <t>NYBRO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46321</v>
      </c>
      <c r="F282" t="inlineStr">
        <is>
          <t>KALMAR LÄN</t>
        </is>
      </c>
      <c r="G282" t="inlineStr">
        <is>
          <t>NYBRO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46321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21388-2024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45440</v>
      </c>
      <c r="E284" s="1" t="n">
        <v>46321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44868</v>
      </c>
      <c r="E285" s="1" t="n">
        <v>46321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44880</v>
      </c>
      <c r="E286" s="1" t="n">
        <v>46321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45149</v>
      </c>
      <c r="E287" s="1" t="n">
        <v>46321</v>
      </c>
      <c r="F287" t="inlineStr">
        <is>
          <t>KALMAR LÄN</t>
        </is>
      </c>
      <c r="G287" t="inlineStr">
        <is>
          <t>NYBRO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46321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45478</v>
      </c>
      <c r="E289" s="1" t="n">
        <v>46321</v>
      </c>
      <c r="F289" t="inlineStr">
        <is>
          <t>KALMAR LÄN</t>
        </is>
      </c>
      <c r="G289" t="inlineStr">
        <is>
          <t>NYBRO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46321</v>
      </c>
      <c r="F290" t="inlineStr">
        <is>
          <t>KALMAR LÄN</t>
        </is>
      </c>
      <c r="G290" t="inlineStr">
        <is>
          <t>NYBRO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46321</v>
      </c>
      <c r="F291" t="inlineStr">
        <is>
          <t>KALMAR LÄN</t>
        </is>
      </c>
      <c r="G291" t="inlineStr">
        <is>
          <t>NYBRO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46321</v>
      </c>
      <c r="F292" t="inlineStr">
        <is>
          <t>KALMAR LÄN</t>
        </is>
      </c>
      <c r="G292" t="inlineStr">
        <is>
          <t>NYBRO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45606</v>
      </c>
      <c r="E293" s="1" t="n">
        <v>46321</v>
      </c>
      <c r="F293" t="inlineStr">
        <is>
          <t>KALMAR LÄN</t>
        </is>
      </c>
      <c r="G293" t="inlineStr">
        <is>
          <t>NYBRO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46321</v>
      </c>
      <c r="F294" t="inlineStr">
        <is>
          <t>KALMAR LÄN</t>
        </is>
      </c>
      <c r="G294" t="inlineStr">
        <is>
          <t>NYBRO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44586</v>
      </c>
      <c r="E295" s="1" t="n">
        <v>46321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46321</v>
      </c>
      <c r="F296" t="inlineStr">
        <is>
          <t>KALMAR LÄN</t>
        </is>
      </c>
      <c r="G296" t="inlineStr">
        <is>
          <t>NYBRO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46178</v>
      </c>
      <c r="E297" s="1" t="n">
        <v>46321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25714-2026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46178</v>
      </c>
      <c r="E298" s="1" t="n">
        <v>46321</v>
      </c>
      <c r="F298" t="inlineStr">
        <is>
          <t>KALMAR LÄN</t>
        </is>
      </c>
      <c r="G298" t="inlineStr">
        <is>
          <t>NYBRO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46321</v>
      </c>
      <c r="F299" t="inlineStr">
        <is>
          <t>KALMAR LÄN</t>
        </is>
      </c>
      <c r="G299" t="inlineStr">
        <is>
          <t>NYBRO</t>
        </is>
      </c>
      <c r="I299" t="n">
        <v>15.9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46321</v>
      </c>
      <c r="F300" t="inlineStr">
        <is>
          <t>KALMAR LÄN</t>
        </is>
      </c>
      <c r="G300" t="inlineStr">
        <is>
          <t>NYBRO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46321</v>
      </c>
      <c r="F301" t="inlineStr">
        <is>
          <t>KALMAR LÄN</t>
        </is>
      </c>
      <c r="G301" t="inlineStr">
        <is>
          <t>NYBRO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46321</v>
      </c>
      <c r="F302" t="inlineStr">
        <is>
          <t>KALMAR LÄN</t>
        </is>
      </c>
      <c r="G302" t="inlineStr">
        <is>
          <t>NYBRO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46321</v>
      </c>
      <c r="F303" t="inlineStr">
        <is>
          <t>KALMAR LÄN</t>
        </is>
      </c>
      <c r="G303" t="inlineStr">
        <is>
          <t>NYBRO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46321</v>
      </c>
      <c r="F304" t="inlineStr">
        <is>
          <t>KALMAR LÄN</t>
        </is>
      </c>
      <c r="G304" t="inlineStr">
        <is>
          <t>NYBRO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46321</v>
      </c>
      <c r="F305" t="inlineStr">
        <is>
          <t>KALMAR LÄN</t>
        </is>
      </c>
      <c r="G305" t="inlineStr">
        <is>
          <t>NYBRO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45958</v>
      </c>
      <c r="E306" s="1" t="n">
        <v>46321</v>
      </c>
      <c r="F306" t="inlineStr">
        <is>
          <t>KALMAR LÄN</t>
        </is>
      </c>
      <c r="G306" t="inlineStr">
        <is>
          <t>NYBRO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46321</v>
      </c>
      <c r="F307" t="inlineStr">
        <is>
          <t>KALMAR LÄN</t>
        </is>
      </c>
      <c r="G307" t="inlineStr">
        <is>
          <t>NYBRO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46321</v>
      </c>
      <c r="F308" t="inlineStr">
        <is>
          <t>KALMAR LÄN</t>
        </is>
      </c>
      <c r="G308" t="inlineStr">
        <is>
          <t>NYBRO</t>
        </is>
      </c>
      <c r="H308" t="inlineStr">
        <is>
          <t>Kommuner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45308</v>
      </c>
      <c r="E309" s="1" t="n">
        <v>46321</v>
      </c>
      <c r="F309" t="inlineStr">
        <is>
          <t>KALMAR LÄN</t>
        </is>
      </c>
      <c r="G309" t="inlineStr">
        <is>
          <t>NYBRO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46321</v>
      </c>
      <c r="F310" t="inlineStr">
        <is>
          <t>KALMAR LÄN</t>
        </is>
      </c>
      <c r="G310" t="inlineStr">
        <is>
          <t>NYBRO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46321</v>
      </c>
      <c r="F311" t="inlineStr">
        <is>
          <t>KALMAR LÄN</t>
        </is>
      </c>
      <c r="G311" t="inlineStr">
        <is>
          <t>NYBRO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46321</v>
      </c>
      <c r="F312" t="inlineStr">
        <is>
          <t>KALMAR LÄN</t>
        </is>
      </c>
      <c r="G312" t="inlineStr">
        <is>
          <t>NYBRO</t>
        </is>
      </c>
      <c r="I312" t="n">
        <v>14.2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45649</v>
      </c>
      <c r="E313" s="1" t="n">
        <v>46321</v>
      </c>
      <c r="F313" t="inlineStr">
        <is>
          <t>KALMAR LÄN</t>
        </is>
      </c>
      <c r="G313" t="inlineStr">
        <is>
          <t>NYBRO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56069-2023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46321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46321</v>
      </c>
      <c r="F315" t="inlineStr">
        <is>
          <t>KALMAR LÄN</t>
        </is>
      </c>
      <c r="G315" t="inlineStr">
        <is>
          <t>NYBRO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45011</v>
      </c>
      <c r="E316" s="1" t="n">
        <v>46321</v>
      </c>
      <c r="F316" t="inlineStr">
        <is>
          <t>KALMAR LÄN</t>
        </is>
      </c>
      <c r="G316" t="inlineStr">
        <is>
          <t>NYBRO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46321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46321</v>
      </c>
      <c r="F318" t="inlineStr">
        <is>
          <t>KALMAR LÄN</t>
        </is>
      </c>
      <c r="G318" t="inlineStr">
        <is>
          <t>NYBRO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45591</v>
      </c>
      <c r="E319" s="1" t="n">
        <v>46321</v>
      </c>
      <c r="F319" t="inlineStr">
        <is>
          <t>KALMAR LÄN</t>
        </is>
      </c>
      <c r="G319" t="inlineStr">
        <is>
          <t>NYBRO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58551-2024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45635</v>
      </c>
      <c r="E320" s="1" t="n">
        <v>46321</v>
      </c>
      <c r="F320" t="inlineStr">
        <is>
          <t>KALMAR LÄN</t>
        </is>
      </c>
      <c r="G320" t="inlineStr">
        <is>
          <t>NYBRO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45028</v>
      </c>
      <c r="E321" s="1" t="n">
        <v>46321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44811</v>
      </c>
      <c r="E322" s="1" t="n">
        <v>46321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46321</v>
      </c>
      <c r="F323" t="inlineStr">
        <is>
          <t>KALMAR LÄN</t>
        </is>
      </c>
      <c r="G323" t="inlineStr">
        <is>
          <t>NYBRO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46321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46321</v>
      </c>
      <c r="F325" t="inlineStr">
        <is>
          <t>KALMAR LÄN</t>
        </is>
      </c>
      <c r="G325" t="inlineStr">
        <is>
          <t>NYBRO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44594</v>
      </c>
      <c r="E326" s="1" t="n">
        <v>46321</v>
      </c>
      <c r="F326" t="inlineStr">
        <is>
          <t>KALMAR LÄN</t>
        </is>
      </c>
      <c r="G326" t="inlineStr">
        <is>
          <t>NYBRO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45331</v>
      </c>
      <c r="E327" s="1" t="n">
        <v>46321</v>
      </c>
      <c r="F327" t="inlineStr">
        <is>
          <t>KALMAR LÄN</t>
        </is>
      </c>
      <c r="G327" t="inlineStr">
        <is>
          <t>NYBRO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46321</v>
      </c>
      <c r="F328" t="inlineStr">
        <is>
          <t>KALMAR LÄN</t>
        </is>
      </c>
      <c r="G328" t="inlineStr">
        <is>
          <t>NYBRO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46321</v>
      </c>
      <c r="F329" t="inlineStr">
        <is>
          <t>KALMAR LÄN</t>
        </is>
      </c>
      <c r="G329" t="inlineStr">
        <is>
          <t>NYBRO</t>
        </is>
      </c>
      <c r="I329" t="n">
        <v>13.7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46321</v>
      </c>
      <c r="F330" t="inlineStr">
        <is>
          <t>KALMAR LÄN</t>
        </is>
      </c>
      <c r="G330" t="inlineStr">
        <is>
          <t>NYBRO</t>
        </is>
      </c>
      <c r="H330" t="inlineStr">
        <is>
          <t>Sveaskog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45056</v>
      </c>
      <c r="E331" s="1" t="n">
        <v>46321</v>
      </c>
      <c r="F331" t="inlineStr">
        <is>
          <t>KALMAR LÄN</t>
        </is>
      </c>
      <c r="G331" t="inlineStr">
        <is>
          <t>NYBRO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46321</v>
      </c>
      <c r="F332" t="inlineStr">
        <is>
          <t>KALMAR LÄN</t>
        </is>
      </c>
      <c r="G332" t="inlineStr">
        <is>
          <t>NYBRO</t>
        </is>
      </c>
      <c r="H332" t="inlineStr">
        <is>
          <t>Kyrkan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45205</v>
      </c>
      <c r="E333" s="1" t="n">
        <v>46321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46321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46321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46321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46321</v>
      </c>
      <c r="F337" t="inlineStr">
        <is>
          <t>KALMAR LÄN</t>
        </is>
      </c>
      <c r="G337" t="inlineStr">
        <is>
          <t>NYBRO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45240</v>
      </c>
      <c r="E338" s="1" t="n">
        <v>46321</v>
      </c>
      <c r="F338" t="inlineStr">
        <is>
          <t>KALMAR LÄN</t>
        </is>
      </c>
      <c r="G338" t="inlineStr">
        <is>
          <t>NYBRO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46321</v>
      </c>
      <c r="F339" t="inlineStr">
        <is>
          <t>KALMAR LÄN</t>
        </is>
      </c>
      <c r="G339" t="inlineStr">
        <is>
          <t>NYBRO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46321</v>
      </c>
      <c r="F340" t="inlineStr">
        <is>
          <t>KALMAR LÄN</t>
        </is>
      </c>
      <c r="G340" t="inlineStr">
        <is>
          <t>NYBRO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46321</v>
      </c>
      <c r="F341" t="inlineStr">
        <is>
          <t>KALMAR LÄN</t>
        </is>
      </c>
      <c r="G341" t="inlineStr">
        <is>
          <t>NYBRO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46321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46321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46321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46321</v>
      </c>
      <c r="F345" t="inlineStr">
        <is>
          <t>KALMAR LÄN</t>
        </is>
      </c>
      <c r="G345" t="inlineStr">
        <is>
          <t>NYBRO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46321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46321</v>
      </c>
      <c r="F347" t="inlineStr">
        <is>
          <t>KALMAR LÄN</t>
        </is>
      </c>
      <c r="G347" t="inlineStr">
        <is>
          <t>NYBRO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46321</v>
      </c>
      <c r="F348" t="inlineStr">
        <is>
          <t>KALMAR LÄN</t>
        </is>
      </c>
      <c r="G348" t="inlineStr">
        <is>
          <t>NYBRO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46321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46321</v>
      </c>
      <c r="F350" t="inlineStr">
        <is>
          <t>KALMAR LÄN</t>
        </is>
      </c>
      <c r="G350" t="inlineStr">
        <is>
          <t>NYBRO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46321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46321</v>
      </c>
      <c r="F352" t="inlineStr">
        <is>
          <t>KALMAR LÄN</t>
        </is>
      </c>
      <c r="G352" t="inlineStr">
        <is>
          <t>NYBRO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46321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46321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46321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46321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46321</v>
      </c>
      <c r="F357" t="inlineStr">
        <is>
          <t>KALMAR LÄN</t>
        </is>
      </c>
      <c r="G357" t="inlineStr">
        <is>
          <t>NYBRO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46321</v>
      </c>
      <c r="F358" t="inlineStr">
        <is>
          <t>KALMAR LÄN</t>
        </is>
      </c>
      <c r="G358" t="inlineStr">
        <is>
          <t>NYBRO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45013</v>
      </c>
      <c r="E359" s="1" t="n">
        <v>46321</v>
      </c>
      <c r="F359" t="inlineStr">
        <is>
          <t>KALMAR LÄN</t>
        </is>
      </c>
      <c r="G359" t="inlineStr">
        <is>
          <t>NYBRO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41674-2024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45560</v>
      </c>
      <c r="E360" s="1" t="n">
        <v>46321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46321</v>
      </c>
      <c r="F361" t="inlineStr">
        <is>
          <t>KALMAR LÄN</t>
        </is>
      </c>
      <c r="G361" t="inlineStr">
        <is>
          <t>NYBRO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46321</v>
      </c>
      <c r="F362" t="inlineStr">
        <is>
          <t>KALMAR LÄN</t>
        </is>
      </c>
      <c r="G362" t="inlineStr">
        <is>
          <t>NYBRO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46321</v>
      </c>
      <c r="F363" t="inlineStr">
        <is>
          <t>KALMAR LÄN</t>
        </is>
      </c>
      <c r="G363" t="inlineStr">
        <is>
          <t>NYBRO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46321</v>
      </c>
      <c r="F364" t="inlineStr">
        <is>
          <t>KALMAR LÄN</t>
        </is>
      </c>
      <c r="G364" t="inlineStr">
        <is>
          <t>NYBRO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45649</v>
      </c>
      <c r="E365" s="1" t="n">
        <v>46321</v>
      </c>
      <c r="F365" t="inlineStr">
        <is>
          <t>KALMAR LÄN</t>
        </is>
      </c>
      <c r="G365" t="inlineStr">
        <is>
          <t>NYBRO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46321</v>
      </c>
      <c r="F366" t="inlineStr">
        <is>
          <t>KALMAR LÄN</t>
        </is>
      </c>
      <c r="G366" t="inlineStr">
        <is>
          <t>NYBRO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46321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46321</v>
      </c>
      <c r="F368" t="inlineStr">
        <is>
          <t>KALMAR LÄN</t>
        </is>
      </c>
      <c r="G368" t="inlineStr">
        <is>
          <t>NYBRO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46321</v>
      </c>
      <c r="F369" t="inlineStr">
        <is>
          <t>KALMAR LÄN</t>
        </is>
      </c>
      <c r="G369" t="inlineStr">
        <is>
          <t>NYBRO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44999</v>
      </c>
      <c r="E370" s="1" t="n">
        <v>46321</v>
      </c>
      <c r="F370" t="inlineStr">
        <is>
          <t>KALMAR LÄN</t>
        </is>
      </c>
      <c r="G370" t="inlineStr">
        <is>
          <t>NYBRO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46321</v>
      </c>
      <c r="F371" t="inlineStr">
        <is>
          <t>KALMAR LÄN</t>
        </is>
      </c>
      <c r="G371" t="inlineStr">
        <is>
          <t>NYBRO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46321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42711-2023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46321</v>
      </c>
      <c r="F373" t="inlineStr">
        <is>
          <t>KALMAR LÄN</t>
        </is>
      </c>
      <c r="G373" t="inlineStr">
        <is>
          <t>NYBRO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22435-2023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45070</v>
      </c>
      <c r="E374" s="1" t="n">
        <v>46321</v>
      </c>
      <c r="F374" t="inlineStr">
        <is>
          <t>KALMAR LÄN</t>
        </is>
      </c>
      <c r="G374" t="inlineStr">
        <is>
          <t>NYBRO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46321</v>
      </c>
      <c r="F375" t="inlineStr">
        <is>
          <t>KALMAR LÄN</t>
        </is>
      </c>
      <c r="G375" t="inlineStr">
        <is>
          <t>NYBRO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46321</v>
      </c>
      <c r="F376" t="inlineStr">
        <is>
          <t>KALMAR LÄN</t>
        </is>
      </c>
      <c r="G376" t="inlineStr">
        <is>
          <t>NYBRO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45449</v>
      </c>
      <c r="E377" s="1" t="n">
        <v>46321</v>
      </c>
      <c r="F377" t="inlineStr">
        <is>
          <t>KALMAR LÄN</t>
        </is>
      </c>
      <c r="G377" t="inlineStr">
        <is>
          <t>NYBRO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46321</v>
      </c>
      <c r="F378" t="inlineStr">
        <is>
          <t>KALMAR LÄN</t>
        </is>
      </c>
      <c r="G378" t="inlineStr">
        <is>
          <t>NYBRO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46321</v>
      </c>
      <c r="F379" t="inlineStr">
        <is>
          <t>KALMAR LÄN</t>
        </is>
      </c>
      <c r="G379" t="inlineStr">
        <is>
          <t>NYBRO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45489</v>
      </c>
      <c r="E380" s="1" t="n">
        <v>46321</v>
      </c>
      <c r="F380" t="inlineStr">
        <is>
          <t>KALMAR LÄN</t>
        </is>
      </c>
      <c r="G380" t="inlineStr">
        <is>
          <t>NYBRO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46321</v>
      </c>
      <c r="F381" t="inlineStr">
        <is>
          <t>KALMAR LÄN</t>
        </is>
      </c>
      <c r="G381" t="inlineStr">
        <is>
          <t>NYBRO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46321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46321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46321</v>
      </c>
      <c r="F384" t="inlineStr">
        <is>
          <t>KALMAR LÄN</t>
        </is>
      </c>
      <c r="G384" t="inlineStr">
        <is>
          <t>NYBRO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45572</v>
      </c>
      <c r="E385" s="1" t="n">
        <v>46321</v>
      </c>
      <c r="F385" t="inlineStr">
        <is>
          <t>KALMAR LÄN</t>
        </is>
      </c>
      <c r="G385" t="inlineStr">
        <is>
          <t>NYBRO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45230</v>
      </c>
      <c r="E386" s="1" t="n">
        <v>46321</v>
      </c>
      <c r="F386" t="inlineStr">
        <is>
          <t>KALMAR LÄN</t>
        </is>
      </c>
      <c r="G386" t="inlineStr">
        <is>
          <t>NYBRO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46321</v>
      </c>
      <c r="F387" t="inlineStr">
        <is>
          <t>KALMAR LÄN</t>
        </is>
      </c>
      <c r="G387" t="inlineStr">
        <is>
          <t>NYBRO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46321</v>
      </c>
      <c r="F388" t="inlineStr">
        <is>
          <t>KALMAR LÄN</t>
        </is>
      </c>
      <c r="G388" t="inlineStr">
        <is>
          <t>NYBRO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46321</v>
      </c>
      <c r="F389" t="inlineStr">
        <is>
          <t>KALMAR LÄN</t>
        </is>
      </c>
      <c r="G389" t="inlineStr">
        <is>
          <t>NYBRO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45357</v>
      </c>
      <c r="E390" s="1" t="n">
        <v>46321</v>
      </c>
      <c r="F390" t="inlineStr">
        <is>
          <t>KALMAR LÄN</t>
        </is>
      </c>
      <c r="G390" t="inlineStr">
        <is>
          <t>NYBRO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10631-2024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45367</v>
      </c>
      <c r="E391" s="1" t="n">
        <v>46321</v>
      </c>
      <c r="F391" t="inlineStr">
        <is>
          <t>KALMAR LÄN</t>
        </is>
      </c>
      <c r="G391" t="inlineStr">
        <is>
          <t>NYBRO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54512-2023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45233</v>
      </c>
      <c r="E392" s="1" t="n">
        <v>46321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45673</v>
      </c>
      <c r="E393" s="1" t="n">
        <v>46321</v>
      </c>
      <c r="F393" t="inlineStr">
        <is>
          <t>KALMAR LÄN</t>
        </is>
      </c>
      <c r="G393" t="inlineStr">
        <is>
          <t>NYBRO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44957</v>
      </c>
      <c r="E394" s="1" t="n">
        <v>46321</v>
      </c>
      <c r="F394" t="inlineStr">
        <is>
          <t>KALMAR LÄN</t>
        </is>
      </c>
      <c r="G394" t="inlineStr">
        <is>
          <t>NYBRO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44957</v>
      </c>
      <c r="E395" s="1" t="n">
        <v>46321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46321</v>
      </c>
      <c r="F396" t="inlineStr">
        <is>
          <t>KALMAR LÄN</t>
        </is>
      </c>
      <c r="G396" t="inlineStr">
        <is>
          <t>NYBRO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45625</v>
      </c>
      <c r="E397" s="1" t="n">
        <v>46321</v>
      </c>
      <c r="F397" t="inlineStr">
        <is>
          <t>KALMAR LÄN</t>
        </is>
      </c>
      <c r="G397" t="inlineStr">
        <is>
          <t>NYBRO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46279</v>
      </c>
      <c r="E398" s="1" t="n">
        <v>46321</v>
      </c>
      <c r="F398" t="inlineStr">
        <is>
          <t>KALMAR LÄN</t>
        </is>
      </c>
      <c r="G398" t="inlineStr">
        <is>
          <t>NYBRO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45489</v>
      </c>
      <c r="E399" s="1" t="n">
        <v>46321</v>
      </c>
      <c r="F399" t="inlineStr">
        <is>
          <t>KALMAR LÄN</t>
        </is>
      </c>
      <c r="G399" t="inlineStr">
        <is>
          <t>NYBRO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38288-2026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46282</v>
      </c>
      <c r="E400" s="1" t="n">
        <v>46321</v>
      </c>
      <c r="F400" t="inlineStr">
        <is>
          <t>KALMAR LÄN</t>
        </is>
      </c>
      <c r="G400" t="inlineStr">
        <is>
          <t>NYBRO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46321</v>
      </c>
      <c r="F401" t="inlineStr">
        <is>
          <t>KALMAR LÄN</t>
        </is>
      </c>
      <c r="G401" t="inlineStr">
        <is>
          <t>NYBRO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46321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45786</v>
      </c>
      <c r="E403" s="1" t="n">
        <v>46321</v>
      </c>
      <c r="F403" t="inlineStr">
        <is>
          <t>KALMAR LÄN</t>
        </is>
      </c>
      <c r="G403" t="inlineStr">
        <is>
          <t>NYBRO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46321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46321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45534</v>
      </c>
      <c r="E406" s="1" t="n">
        <v>46321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46321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46321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46283</v>
      </c>
      <c r="E409" s="1" t="n">
        <v>46321</v>
      </c>
      <c r="F409" t="inlineStr">
        <is>
          <t>KALMAR LÄN</t>
        </is>
      </c>
      <c r="G409" t="inlineStr">
        <is>
          <t>NYBRO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46321</v>
      </c>
      <c r="F410" t="inlineStr">
        <is>
          <t>KALMAR LÄN</t>
        </is>
      </c>
      <c r="G410" t="inlineStr">
        <is>
          <t>NYBRO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32788-2026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46241</v>
      </c>
      <c r="E411" s="1" t="n">
        <v>46321</v>
      </c>
      <c r="F411" t="inlineStr">
        <is>
          <t>KALMAR LÄN</t>
        </is>
      </c>
      <c r="G411" t="inlineStr">
        <is>
          <t>NYBRO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46321</v>
      </c>
      <c r="F412" t="inlineStr">
        <is>
          <t>KALMAR LÄN</t>
        </is>
      </c>
      <c r="G412" t="inlineStr">
        <is>
          <t>NYBRO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46321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46321</v>
      </c>
      <c r="F414" t="inlineStr">
        <is>
          <t>KALMAR LÄN</t>
        </is>
      </c>
      <c r="G414" t="inlineStr">
        <is>
          <t>NYBRO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46321</v>
      </c>
      <c r="F415" t="inlineStr">
        <is>
          <t>KALMAR LÄN</t>
        </is>
      </c>
      <c r="G415" t="inlineStr">
        <is>
          <t>NYBRO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44697</v>
      </c>
      <c r="E416" s="1" t="n">
        <v>46321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46321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34362-2024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45525</v>
      </c>
      <c r="E418" s="1" t="n">
        <v>46321</v>
      </c>
      <c r="F418" t="inlineStr">
        <is>
          <t>KALMAR LÄN</t>
        </is>
      </c>
      <c r="G418" t="inlineStr">
        <is>
          <t>NYBRO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46321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46321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46321</v>
      </c>
      <c r="F421" t="inlineStr">
        <is>
          <t>KALMAR LÄN</t>
        </is>
      </c>
      <c r="G421" t="inlineStr">
        <is>
          <t>NYBRO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46321</v>
      </c>
      <c r="F422" t="inlineStr">
        <is>
          <t>KALMAR LÄN</t>
        </is>
      </c>
      <c r="G422" t="inlineStr">
        <is>
          <t>NYBRO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46289</v>
      </c>
      <c r="E423" s="1" t="n">
        <v>46321</v>
      </c>
      <c r="F423" t="inlineStr">
        <is>
          <t>KALMAR LÄN</t>
        </is>
      </c>
      <c r="G423" t="inlineStr">
        <is>
          <t>NYBRO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44594</v>
      </c>
      <c r="E424" s="1" t="n">
        <v>46321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45812</v>
      </c>
      <c r="E425" s="1" t="n">
        <v>46321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46250</v>
      </c>
      <c r="E426" s="1" t="n">
        <v>46321</v>
      </c>
      <c r="F426" t="inlineStr">
        <is>
          <t>KALMAR LÄN</t>
        </is>
      </c>
      <c r="G426" t="inlineStr">
        <is>
          <t>NYBRO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46248</v>
      </c>
      <c r="E427" s="1" t="n">
        <v>46321</v>
      </c>
      <c r="F427" t="inlineStr">
        <is>
          <t>KALMAR LÄN</t>
        </is>
      </c>
      <c r="G427" t="inlineStr">
        <is>
          <t>NYBRO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46321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46321</v>
      </c>
      <c r="F429" t="inlineStr">
        <is>
          <t>KALMAR LÄN</t>
        </is>
      </c>
      <c r="G429" t="inlineStr">
        <is>
          <t>NYBRO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46321</v>
      </c>
      <c r="F430" t="inlineStr">
        <is>
          <t>KALMAR LÄN</t>
        </is>
      </c>
      <c r="G430" t="inlineStr">
        <is>
          <t>NYBRO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8883-2026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46067</v>
      </c>
      <c r="E431" s="1" t="n">
        <v>46321</v>
      </c>
      <c r="F431" t="inlineStr">
        <is>
          <t>KALMAR LÄN</t>
        </is>
      </c>
      <c r="G431" t="inlineStr">
        <is>
          <t>NYBRO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46321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46321</v>
      </c>
      <c r="F433" t="inlineStr">
        <is>
          <t>KALMAR LÄN</t>
        </is>
      </c>
      <c r="G433" t="inlineStr">
        <is>
          <t>NYBRO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46321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46321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46321</v>
      </c>
      <c r="F436" t="inlineStr">
        <is>
          <t>KALMAR LÄN</t>
        </is>
      </c>
      <c r="G436" t="inlineStr">
        <is>
          <t>NYBRO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45824</v>
      </c>
      <c r="E437" s="1" t="n">
        <v>46321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46321</v>
      </c>
      <c r="F438" t="inlineStr">
        <is>
          <t>KALMAR LÄN</t>
        </is>
      </c>
      <c r="G438" t="inlineStr">
        <is>
          <t>NYBRO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46321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46321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46321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46295</v>
      </c>
      <c r="E442" s="1" t="n">
        <v>46321</v>
      </c>
      <c r="F442" t="inlineStr">
        <is>
          <t>KALMAR LÄN</t>
        </is>
      </c>
      <c r="G442" t="inlineStr">
        <is>
          <t>NYBRO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46321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46083</v>
      </c>
      <c r="E444" s="1" t="n">
        <v>46321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46321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46321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34363-2026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46321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12.3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46321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46321</v>
      </c>
      <c r="F449" t="inlineStr">
        <is>
          <t>KALMAR LÄN</t>
        </is>
      </c>
      <c r="G449" t="inlineStr">
        <is>
          <t>NYBRO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46321</v>
      </c>
      <c r="F450" t="inlineStr">
        <is>
          <t>KALMAR LÄN</t>
        </is>
      </c>
      <c r="G450" t="inlineStr">
        <is>
          <t>NYBRO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68345-2021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44528</v>
      </c>
      <c r="E451" s="1" t="n">
        <v>46321</v>
      </c>
      <c r="F451" t="inlineStr">
        <is>
          <t>KALMAR LÄN</t>
        </is>
      </c>
      <c r="G451" t="inlineStr">
        <is>
          <t>NYBRO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46321</v>
      </c>
      <c r="F452" t="inlineStr">
        <is>
          <t>KALMAR LÄN</t>
        </is>
      </c>
      <c r="G452" t="inlineStr">
        <is>
          <t>NYBRO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46321</v>
      </c>
      <c r="F453" t="inlineStr">
        <is>
          <t>KALMAR LÄN</t>
        </is>
      </c>
      <c r="G453" t="inlineStr">
        <is>
          <t>NYBRO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46321</v>
      </c>
      <c r="F454" t="inlineStr">
        <is>
          <t>KALMAR LÄN</t>
        </is>
      </c>
      <c r="G454" t="inlineStr">
        <is>
          <t>NYBRO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46321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46321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46246</v>
      </c>
      <c r="E457" s="1" t="n">
        <v>46321</v>
      </c>
      <c r="F457" t="inlineStr">
        <is>
          <t>KALMAR LÄN</t>
        </is>
      </c>
      <c r="G457" t="inlineStr">
        <is>
          <t>NYBRO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46321</v>
      </c>
      <c r="F458" t="inlineStr">
        <is>
          <t>KALMAR LÄN</t>
        </is>
      </c>
      <c r="G458" t="inlineStr">
        <is>
          <t>NYBRO</t>
        </is>
      </c>
      <c r="H458" t="inlineStr">
        <is>
          <t>Kyrkan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46321</v>
      </c>
      <c r="F459" t="inlineStr">
        <is>
          <t>KALMAR LÄN</t>
        </is>
      </c>
      <c r="G459" t="inlineStr">
        <is>
          <t>NYBRO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46321</v>
      </c>
      <c r="F460" t="inlineStr">
        <is>
          <t>KALMAR LÄN</t>
        </is>
      </c>
      <c r="G460" t="inlineStr">
        <is>
          <t>NYBRO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46321</v>
      </c>
      <c r="F461" t="inlineStr">
        <is>
          <t>KALMAR LÄN</t>
        </is>
      </c>
      <c r="G461" t="inlineStr">
        <is>
          <t>NYBRO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46321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46321</v>
      </c>
      <c r="F463" t="inlineStr">
        <is>
          <t>KALMAR LÄN</t>
        </is>
      </c>
      <c r="G463" t="inlineStr">
        <is>
          <t>NYBRO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46300</v>
      </c>
      <c r="E464" s="1" t="n">
        <v>46321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32347-2025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46321</v>
      </c>
      <c r="F465" t="inlineStr">
        <is>
          <t>KALMAR LÄN</t>
        </is>
      </c>
      <c r="G465" t="inlineStr">
        <is>
          <t>NYBRO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46321</v>
      </c>
      <c r="F466" t="inlineStr">
        <is>
          <t>KALMAR LÄN</t>
        </is>
      </c>
      <c r="G466" t="inlineStr">
        <is>
          <t>NYBRO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46321</v>
      </c>
      <c r="F467" t="inlineStr">
        <is>
          <t>KALMAR LÄN</t>
        </is>
      </c>
      <c r="G467" t="inlineStr">
        <is>
          <t>NYBRO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46321</v>
      </c>
      <c r="F468" t="inlineStr">
        <is>
          <t>KALMAR LÄN</t>
        </is>
      </c>
      <c r="G468" t="inlineStr">
        <is>
          <t>NYBRO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46321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46321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46297</v>
      </c>
      <c r="E471" s="1" t="n">
        <v>46321</v>
      </c>
      <c r="F471" t="inlineStr">
        <is>
          <t>KALMAR LÄN</t>
        </is>
      </c>
      <c r="G471" t="inlineStr">
        <is>
          <t>NYBRO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46300</v>
      </c>
      <c r="E472" s="1" t="n">
        <v>46321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46321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46321</v>
      </c>
      <c r="F474" t="inlineStr">
        <is>
          <t>KALMAR LÄN</t>
        </is>
      </c>
      <c r="G474" t="inlineStr">
        <is>
          <t>NYBRO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45846</v>
      </c>
      <c r="E475" s="1" t="n">
        <v>46321</v>
      </c>
      <c r="F475" t="inlineStr">
        <is>
          <t>KALMAR LÄN</t>
        </is>
      </c>
      <c r="G475" t="inlineStr">
        <is>
          <t>NYBRO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46321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46321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45940</v>
      </c>
      <c r="E478" s="1" t="n">
        <v>46321</v>
      </c>
      <c r="F478" t="inlineStr">
        <is>
          <t>KALMAR LÄN</t>
        </is>
      </c>
      <c r="G478" t="inlineStr">
        <is>
          <t>NYBRO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46321</v>
      </c>
      <c r="F479" t="inlineStr">
        <is>
          <t>KALMAR LÄN</t>
        </is>
      </c>
      <c r="G479" t="inlineStr">
        <is>
          <t>NYBRO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28791-2026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46198</v>
      </c>
      <c r="E480" s="1" t="n">
        <v>46321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54245-2024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46321</v>
      </c>
      <c r="F481" t="inlineStr">
        <is>
          <t>KALMAR LÄN</t>
        </is>
      </c>
      <c r="G481" t="inlineStr">
        <is>
          <t>NYBRO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46302</v>
      </c>
      <c r="E482" s="1" t="n">
        <v>46321</v>
      </c>
      <c r="F482" t="inlineStr">
        <is>
          <t>KALMAR LÄN</t>
        </is>
      </c>
      <c r="G482" t="inlineStr">
        <is>
          <t>NYBRO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46321</v>
      </c>
      <c r="F483" t="inlineStr">
        <is>
          <t>KALMAR LÄN</t>
        </is>
      </c>
      <c r="G483" t="inlineStr">
        <is>
          <t>NYBRO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46321</v>
      </c>
      <c r="F484" t="inlineStr">
        <is>
          <t>KALMAR LÄN</t>
        </is>
      </c>
      <c r="G484" t="inlineStr">
        <is>
          <t>NYBRO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41326-2026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46301</v>
      </c>
      <c r="E485" s="1" t="n">
        <v>46321</v>
      </c>
      <c r="F485" t="inlineStr">
        <is>
          <t>KALMAR LÄN</t>
        </is>
      </c>
      <c r="G485" t="inlineStr">
        <is>
          <t>NYBRO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45852</v>
      </c>
      <c r="E486" s="1" t="n">
        <v>46321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46321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45341</v>
      </c>
      <c r="E488" s="1" t="n">
        <v>46321</v>
      </c>
      <c r="F488" t="inlineStr">
        <is>
          <t>KALMAR LÄN</t>
        </is>
      </c>
      <c r="G488" t="inlineStr">
        <is>
          <t>NYBRO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35522-2025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45856</v>
      </c>
      <c r="E489" s="1" t="n">
        <v>46321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46321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46321</v>
      </c>
      <c r="F491" t="inlineStr">
        <is>
          <t>KALMAR LÄN</t>
        </is>
      </c>
      <c r="G491" t="inlineStr">
        <is>
          <t>NYBRO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16844-2026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46321</v>
      </c>
      <c r="F492" t="inlineStr">
        <is>
          <t>KALMAR LÄN</t>
        </is>
      </c>
      <c r="G492" t="inlineStr">
        <is>
          <t>NYBRO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46321</v>
      </c>
      <c r="F493" t="inlineStr">
        <is>
          <t>KALMAR LÄN</t>
        </is>
      </c>
      <c r="G493" t="inlineStr">
        <is>
          <t>NYBRO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46321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45475</v>
      </c>
      <c r="E495" s="1" t="n">
        <v>46321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41461-2026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46301</v>
      </c>
      <c r="E496" s="1" t="n">
        <v>46321</v>
      </c>
      <c r="F496" t="inlineStr">
        <is>
          <t>KALMAR LÄN</t>
        </is>
      </c>
      <c r="G496" t="inlineStr">
        <is>
          <t>NYBRO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46321</v>
      </c>
      <c r="F497" t="inlineStr">
        <is>
          <t>KALMAR LÄN</t>
        </is>
      </c>
      <c r="G497" t="inlineStr">
        <is>
          <t>NYBRO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46321</v>
      </c>
      <c r="F498" t="inlineStr">
        <is>
          <t>KALMAR LÄN</t>
        </is>
      </c>
      <c r="G498" t="inlineStr">
        <is>
          <t>NYBRO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46321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46321</v>
      </c>
      <c r="F500" t="inlineStr">
        <is>
          <t>KALMAR LÄN</t>
        </is>
      </c>
      <c r="G500" t="inlineStr">
        <is>
          <t>NYBRO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46321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46303</v>
      </c>
      <c r="E502" s="1" t="n">
        <v>46321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46321</v>
      </c>
      <c r="F503" t="inlineStr">
        <is>
          <t>KALMAR LÄN</t>
        </is>
      </c>
      <c r="G503" t="inlineStr">
        <is>
          <t>NYBRO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46321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46321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45729</v>
      </c>
      <c r="E506" s="1" t="n">
        <v>46321</v>
      </c>
      <c r="F506" t="inlineStr">
        <is>
          <t>KALMAR LÄN</t>
        </is>
      </c>
      <c r="G506" t="inlineStr">
        <is>
          <t>NYBRO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46321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46321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46321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46307</v>
      </c>
      <c r="E510" s="1" t="n">
        <v>46321</v>
      </c>
      <c r="F510" t="inlineStr">
        <is>
          <t>KALMAR LÄN</t>
        </is>
      </c>
      <c r="G510" t="inlineStr">
        <is>
          <t>NYBRO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44915</v>
      </c>
      <c r="E511" s="1" t="n">
        <v>46321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46321</v>
      </c>
      <c r="F512" t="inlineStr">
        <is>
          <t>KALMAR LÄN</t>
        </is>
      </c>
      <c r="G512" t="inlineStr">
        <is>
          <t>NYBRO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45881</v>
      </c>
      <c r="E513" s="1" t="n">
        <v>46321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46321</v>
      </c>
      <c r="F514" t="inlineStr">
        <is>
          <t>KALMAR LÄN</t>
        </is>
      </c>
      <c r="G514" t="inlineStr">
        <is>
          <t>NYBRO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46321</v>
      </c>
      <c r="F515" t="inlineStr">
        <is>
          <t>KALMAR LÄN</t>
        </is>
      </c>
      <c r="G515" t="inlineStr">
        <is>
          <t>NYBRO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44972</v>
      </c>
      <c r="E516" s="1" t="n">
        <v>46321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46321</v>
      </c>
      <c r="F517" t="inlineStr">
        <is>
          <t>KALMAR LÄN</t>
        </is>
      </c>
      <c r="G517" t="inlineStr">
        <is>
          <t>NYBRO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46321</v>
      </c>
      <c r="F518" t="inlineStr">
        <is>
          <t>KALMAR LÄN</t>
        </is>
      </c>
      <c r="G518" t="inlineStr">
        <is>
          <t>NYBRO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46321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46321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46321</v>
      </c>
      <c r="F521" t="inlineStr">
        <is>
          <t>KALMAR LÄN</t>
        </is>
      </c>
      <c r="G521" t="inlineStr">
        <is>
          <t>NYBRO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46321</v>
      </c>
      <c r="F522" t="inlineStr">
        <is>
          <t>KALMAR LÄN</t>
        </is>
      </c>
      <c r="G522" t="inlineStr">
        <is>
          <t>NYBRO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46321</v>
      </c>
      <c r="F523" t="inlineStr">
        <is>
          <t>KALMAR LÄN</t>
        </is>
      </c>
      <c r="G523" t="inlineStr">
        <is>
          <t>NYBRO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46321</v>
      </c>
      <c r="F524" t="inlineStr">
        <is>
          <t>KALMAR LÄN</t>
        </is>
      </c>
      <c r="G524" t="inlineStr">
        <is>
          <t>NYBRO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46321</v>
      </c>
      <c r="F525" t="inlineStr">
        <is>
          <t>KALMAR LÄN</t>
        </is>
      </c>
      <c r="G525" t="inlineStr">
        <is>
          <t>NYBRO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39351-2024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46321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46321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46321</v>
      </c>
      <c r="F528" t="inlineStr">
        <is>
          <t>KALMAR LÄN</t>
        </is>
      </c>
      <c r="G528" t="inlineStr">
        <is>
          <t>NYBRO</t>
        </is>
      </c>
      <c r="I528" t="n">
        <v>8.199999999999999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46321</v>
      </c>
      <c r="F529" t="inlineStr">
        <is>
          <t>KALMAR LÄN</t>
        </is>
      </c>
      <c r="G529" t="inlineStr">
        <is>
          <t>NYBRO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45547</v>
      </c>
      <c r="E530" s="1" t="n">
        <v>46321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46321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45966</v>
      </c>
      <c r="E532" s="1" t="n">
        <v>46321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46321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46321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46321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46321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46321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46321</v>
      </c>
      <c r="F538" t="inlineStr">
        <is>
          <t>KALMAR LÄN</t>
        </is>
      </c>
      <c r="G538" t="inlineStr">
        <is>
          <t>NYBRO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46321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46321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45478</v>
      </c>
      <c r="E541" s="1" t="n">
        <v>46321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45577</v>
      </c>
      <c r="E542" s="1" t="n">
        <v>46321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57489-2025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46321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46321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46321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44904</v>
      </c>
      <c r="E546" s="1" t="n">
        <v>46321</v>
      </c>
      <c r="F546" t="inlineStr">
        <is>
          <t>KALMAR LÄN</t>
        </is>
      </c>
      <c r="G546" t="inlineStr">
        <is>
          <t>NYBRO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45859</v>
      </c>
      <c r="E547" s="1" t="n">
        <v>46321</v>
      </c>
      <c r="F547" t="inlineStr">
        <is>
          <t>KALMAR LÄN</t>
        </is>
      </c>
      <c r="G547" t="inlineStr">
        <is>
          <t>NYBRO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45975</v>
      </c>
      <c r="E548" s="1" t="n">
        <v>46321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46321</v>
      </c>
      <c r="F549" t="inlineStr">
        <is>
          <t>KALMAR LÄN</t>
        </is>
      </c>
      <c r="G549" t="inlineStr">
        <is>
          <t>NYBRO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60706-2024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45644</v>
      </c>
      <c r="E550" s="1" t="n">
        <v>46321</v>
      </c>
      <c r="F550" t="inlineStr">
        <is>
          <t>KALMAR LÄN</t>
        </is>
      </c>
      <c r="G550" t="inlineStr">
        <is>
          <t>NYBRO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45551</v>
      </c>
      <c r="E551" s="1" t="n">
        <v>46321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45931</v>
      </c>
      <c r="E552" s="1" t="n">
        <v>46321</v>
      </c>
      <c r="F552" t="inlineStr">
        <is>
          <t>KALMAR LÄN</t>
        </is>
      </c>
      <c r="G552" t="inlineStr">
        <is>
          <t>NYBRO</t>
        </is>
      </c>
      <c r="H552" t="inlineStr">
        <is>
          <t>Kyrkan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45862</v>
      </c>
      <c r="E553" s="1" t="n">
        <v>46321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46321</v>
      </c>
      <c r="F554" t="inlineStr">
        <is>
          <t>KALMAR LÄN</t>
        </is>
      </c>
      <c r="G554" t="inlineStr">
        <is>
          <t>NYBRO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46321</v>
      </c>
      <c r="F555" t="inlineStr">
        <is>
          <t>KALMAR LÄN</t>
        </is>
      </c>
      <c r="G555" t="inlineStr">
        <is>
          <t>NYBRO</t>
        </is>
      </c>
      <c r="I555" t="n">
        <v>13.2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46321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46321</v>
      </c>
      <c r="F557" t="inlineStr">
        <is>
          <t>KALMAR LÄN</t>
        </is>
      </c>
      <c r="G557" t="inlineStr">
        <is>
          <t>NYBRO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45664</v>
      </c>
      <c r="E558" s="1" t="n">
        <v>46321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46321</v>
      </c>
      <c r="F559" t="inlineStr">
        <is>
          <t>KALMAR LÄN</t>
        </is>
      </c>
      <c r="G559" t="inlineStr">
        <is>
          <t>NYBRO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46321</v>
      </c>
      <c r="F560" t="inlineStr">
        <is>
          <t>KALMAR LÄN</t>
        </is>
      </c>
      <c r="G560" t="inlineStr">
        <is>
          <t>NYBRO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46321</v>
      </c>
      <c r="F561" t="inlineStr">
        <is>
          <t>KALMAR LÄN</t>
        </is>
      </c>
      <c r="G561" t="inlineStr">
        <is>
          <t>NYBRO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46321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72166-2021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44544</v>
      </c>
      <c r="E563" s="1" t="n">
        <v>46321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44959</v>
      </c>
      <c r="E564" s="1" t="n">
        <v>46321</v>
      </c>
      <c r="F564" t="inlineStr">
        <is>
          <t>KALMAR LÄN</t>
        </is>
      </c>
      <c r="G564" t="inlineStr">
        <is>
          <t>NYBRO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23577-2023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45077</v>
      </c>
      <c r="E565" s="1" t="n">
        <v>46321</v>
      </c>
      <c r="F565" t="inlineStr">
        <is>
          <t>KALMAR LÄN</t>
        </is>
      </c>
      <c r="G565" t="inlineStr">
        <is>
          <t>NYBRO</t>
        </is>
      </c>
      <c r="I565" t="n">
        <v>10.3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19244-2022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44692</v>
      </c>
      <c r="E566" s="1" t="n">
        <v>46321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50753-2025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45946</v>
      </c>
      <c r="E567" s="1" t="n">
        <v>46321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45561</v>
      </c>
      <c r="E568" s="1" t="n">
        <v>46321</v>
      </c>
      <c r="F568" t="inlineStr">
        <is>
          <t>KALMAR LÄN</t>
        </is>
      </c>
      <c r="G568" t="inlineStr">
        <is>
          <t>NYBRO</t>
        </is>
      </c>
      <c r="H568" t="inlineStr">
        <is>
          <t>Kyrkan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46321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46321</v>
      </c>
      <c r="F570" t="inlineStr">
        <is>
          <t>KALMAR LÄN</t>
        </is>
      </c>
      <c r="G570" t="inlineStr">
        <is>
          <t>NYBRO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16530-2024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46321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46321</v>
      </c>
      <c r="F572" t="inlineStr">
        <is>
          <t>KALMAR LÄN</t>
        </is>
      </c>
      <c r="G572" t="inlineStr">
        <is>
          <t>NYBRO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46321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46321</v>
      </c>
      <c r="F574" t="inlineStr">
        <is>
          <t>KALMAR LÄN</t>
        </is>
      </c>
      <c r="G574" t="inlineStr">
        <is>
          <t>NYBRO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46321</v>
      </c>
      <c r="F575" t="inlineStr">
        <is>
          <t>KALMAR LÄN</t>
        </is>
      </c>
      <c r="G575" t="inlineStr">
        <is>
          <t>NYBRO</t>
        </is>
      </c>
      <c r="I575" t="n">
        <v>13.2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43982-2024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45572</v>
      </c>
      <c r="E576" s="1" t="n">
        <v>46321</v>
      </c>
      <c r="F576" t="inlineStr">
        <is>
          <t>KALMAR LÄN</t>
        </is>
      </c>
      <c r="G576" t="inlineStr">
        <is>
          <t>NYBRO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27997-2023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45098</v>
      </c>
      <c r="E577" s="1" t="n">
        <v>46321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46321</v>
      </c>
      <c r="F578" t="inlineStr">
        <is>
          <t>KALMAR LÄN</t>
        </is>
      </c>
      <c r="G578" t="inlineStr">
        <is>
          <t>NYBRO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52311-2022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44873</v>
      </c>
      <c r="E579" s="1" t="n">
        <v>46321</v>
      </c>
      <c r="F579" t="inlineStr">
        <is>
          <t>KALMAR LÄN</t>
        </is>
      </c>
      <c r="G579" t="inlineStr">
        <is>
          <t>NYBRO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46321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45145</v>
      </c>
      <c r="E581" s="1" t="n">
        <v>46321</v>
      </c>
      <c r="F581" t="inlineStr">
        <is>
          <t>KALMAR LÄN</t>
        </is>
      </c>
      <c r="G581" t="inlineStr">
        <is>
          <t>NYBRO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35165-2023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46321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44593</v>
      </c>
      <c r="E583" s="1" t="n">
        <v>46321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46273</v>
      </c>
      <c r="E584" s="1" t="n">
        <v>46321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46321</v>
      </c>
      <c r="F585" t="inlineStr">
        <is>
          <t>KALMAR LÄN</t>
        </is>
      </c>
      <c r="G585" t="inlineStr">
        <is>
          <t>NYBRO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45335</v>
      </c>
      <c r="E586" s="1" t="n">
        <v>46321</v>
      </c>
      <c r="F586" t="inlineStr">
        <is>
          <t>KALMAR LÄN</t>
        </is>
      </c>
      <c r="G586" t="inlineStr">
        <is>
          <t>NYBRO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51582-2023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46321</v>
      </c>
      <c r="F587" t="inlineStr">
        <is>
          <t>KALMAR LÄN</t>
        </is>
      </c>
      <c r="G587" t="inlineStr">
        <is>
          <t>NYBRO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46321</v>
      </c>
      <c r="F588" t="inlineStr">
        <is>
          <t>KALMAR LÄN</t>
        </is>
      </c>
      <c r="G588" t="inlineStr">
        <is>
          <t>NYBRO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8003-2023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46321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46321</v>
      </c>
      <c r="F590" t="inlineStr">
        <is>
          <t>KALMAR LÄN</t>
        </is>
      </c>
      <c r="G590" t="inlineStr">
        <is>
          <t>NYBRO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44910</v>
      </c>
      <c r="E591" s="1" t="n">
        <v>46321</v>
      </c>
      <c r="F591" t="inlineStr">
        <is>
          <t>KALMAR LÄN</t>
        </is>
      </c>
      <c r="G591" t="inlineStr">
        <is>
          <t>NYBRO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46321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46321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45372</v>
      </c>
      <c r="E594" s="1" t="n">
        <v>46321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45037</v>
      </c>
      <c r="E595" s="1" t="n">
        <v>46321</v>
      </c>
      <c r="F595" t="inlineStr">
        <is>
          <t>KALMAR LÄN</t>
        </is>
      </c>
      <c r="G595" t="inlineStr">
        <is>
          <t>NYBRO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46321</v>
      </c>
      <c r="F596" t="inlineStr">
        <is>
          <t>KALMAR LÄN</t>
        </is>
      </c>
      <c r="G596" t="inlineStr">
        <is>
          <t>NYBRO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44939</v>
      </c>
      <c r="E597" s="1" t="n">
        <v>46321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45223</v>
      </c>
      <c r="E598" s="1" t="n">
        <v>46321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53650-2023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46321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10632-2024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45367</v>
      </c>
      <c r="E600" s="1" t="n">
        <v>46321</v>
      </c>
      <c r="F600" t="inlineStr">
        <is>
          <t>KALMAR LÄN</t>
        </is>
      </c>
      <c r="G600" t="inlineStr">
        <is>
          <t>NYBRO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46275</v>
      </c>
      <c r="E601" s="1" t="n">
        <v>46321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46321</v>
      </c>
      <c r="F602" t="inlineStr">
        <is>
          <t>KALMAR LÄN</t>
        </is>
      </c>
      <c r="G602" t="inlineStr">
        <is>
          <t>NYBRO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44733</v>
      </c>
      <c r="E603" s="1" t="n">
        <v>46321</v>
      </c>
      <c r="F603" t="inlineStr">
        <is>
          <t>KALMAR LÄN</t>
        </is>
      </c>
      <c r="G603" t="inlineStr">
        <is>
          <t>NYBRO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40632-2026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46321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44867</v>
      </c>
      <c r="E605" s="1" t="n">
        <v>46321</v>
      </c>
      <c r="F605" t="inlineStr">
        <is>
          <t>KALMAR LÄN</t>
        </is>
      </c>
      <c r="G605" t="inlineStr">
        <is>
          <t>NYBRO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44970</v>
      </c>
      <c r="E606" s="1" t="n">
        <v>46321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45113-2023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45191</v>
      </c>
      <c r="E607" s="1" t="n">
        <v>46321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46321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45095</v>
      </c>
      <c r="E609" s="1" t="n">
        <v>46321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45695</v>
      </c>
      <c r="E610" s="1" t="n">
        <v>46321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22087-2026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46153</v>
      </c>
      <c r="E611" s="1" t="n">
        <v>46321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22488-2022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44713</v>
      </c>
      <c r="E612" s="1" t="n">
        <v>46321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45415</v>
      </c>
      <c r="E613" s="1" t="n">
        <v>46321</v>
      </c>
      <c r="F613" t="inlineStr">
        <is>
          <t>KALMAR LÄN</t>
        </is>
      </c>
      <c r="G613" t="inlineStr">
        <is>
          <t>NYBRO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46321</v>
      </c>
      <c r="F614" t="inlineStr">
        <is>
          <t>KALMAR LÄN</t>
        </is>
      </c>
      <c r="G614" t="inlineStr">
        <is>
          <t>NYBRO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47270-2024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45586</v>
      </c>
      <c r="E615" s="1" t="n">
        <v>46321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45439</v>
      </c>
      <c r="E616" s="1" t="n">
        <v>46321</v>
      </c>
      <c r="F616" t="inlineStr">
        <is>
          <t>KALMAR LÄN</t>
        </is>
      </c>
      <c r="G616" t="inlineStr">
        <is>
          <t>NYBRO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46321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44825</v>
      </c>
      <c r="E618" s="1" t="n">
        <v>46321</v>
      </c>
      <c r="F618" t="inlineStr">
        <is>
          <t>KALMAR LÄN</t>
        </is>
      </c>
      <c r="G618" t="inlineStr">
        <is>
          <t>NYBRO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46321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10630-2024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45367</v>
      </c>
      <c r="E620" s="1" t="n">
        <v>46321</v>
      </c>
      <c r="F620" t="inlineStr">
        <is>
          <t>KALMAR LÄN</t>
        </is>
      </c>
      <c r="G620" t="inlineStr">
        <is>
          <t>NYBRO</t>
        </is>
      </c>
      <c r="I620" t="n">
        <v>10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45411</v>
      </c>
      <c r="E621" s="1" t="n">
        <v>46321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46321</v>
      </c>
      <c r="F622" t="inlineStr">
        <is>
          <t>KALMAR LÄN</t>
        </is>
      </c>
      <c r="G622" t="inlineStr">
        <is>
          <t>NYBRO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40193-2025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45894</v>
      </c>
      <c r="E623" s="1" t="n">
        <v>46321</v>
      </c>
      <c r="F623" t="inlineStr">
        <is>
          <t>KALMAR LÄN</t>
        </is>
      </c>
      <c r="G623" t="inlineStr">
        <is>
          <t>NYBRO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22872-2026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46160</v>
      </c>
      <c r="E624" s="1" t="n">
        <v>46321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44713</v>
      </c>
      <c r="E625" s="1" t="n">
        <v>46321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46321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32673-2023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45121</v>
      </c>
      <c r="E627" s="1" t="n">
        <v>46321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28164-2022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44746</v>
      </c>
      <c r="E628" s="1" t="n">
        <v>46321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46321</v>
      </c>
      <c r="F629" t="inlineStr">
        <is>
          <t>KALMAR LÄN</t>
        </is>
      </c>
      <c r="G629" t="inlineStr">
        <is>
          <t>NYBRO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35371-2022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44798</v>
      </c>
      <c r="E630" s="1" t="n">
        <v>46321</v>
      </c>
      <c r="F630" t="inlineStr">
        <is>
          <t>KALMAR LÄN</t>
        </is>
      </c>
      <c r="G630" t="inlineStr">
        <is>
          <t>NYBRO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45307</v>
      </c>
      <c r="E631" s="1" t="n">
        <v>46321</v>
      </c>
      <c r="F631" t="inlineStr">
        <is>
          <t>KALMAR LÄN</t>
        </is>
      </c>
      <c r="G631" t="inlineStr">
        <is>
          <t>NYBRO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45359</v>
      </c>
      <c r="E632" s="1" t="n">
        <v>46321</v>
      </c>
      <c r="F632" t="inlineStr">
        <is>
          <t>KALMAR LÄN</t>
        </is>
      </c>
      <c r="G632" t="inlineStr">
        <is>
          <t>NYBRO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46321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57224-2024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46321</v>
      </c>
      <c r="F634" t="inlineStr">
        <is>
          <t>KALMAR LÄN</t>
        </is>
      </c>
      <c r="G634" t="inlineStr">
        <is>
          <t>NYBRO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44931</v>
      </c>
      <c r="E635" s="1" t="n">
        <v>46321</v>
      </c>
      <c r="F635" t="inlineStr">
        <is>
          <t>KALMAR LÄN</t>
        </is>
      </c>
      <c r="G635" t="inlineStr">
        <is>
          <t>NYBRO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45106</v>
      </c>
      <c r="E636" s="1" t="n">
        <v>46321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45057</v>
      </c>
      <c r="E637" s="1" t="n">
        <v>46321</v>
      </c>
      <c r="F637" t="inlineStr">
        <is>
          <t>KALMAR LÄN</t>
        </is>
      </c>
      <c r="G637" t="inlineStr">
        <is>
          <t>NYBRO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21180-2023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45057</v>
      </c>
      <c r="E638" s="1" t="n">
        <v>46321</v>
      </c>
      <c r="F638" t="inlineStr">
        <is>
          <t>KALMAR LÄN</t>
        </is>
      </c>
      <c r="G638" t="inlineStr">
        <is>
          <t>NYBRO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40444-2022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46321</v>
      </c>
      <c r="F639" t="inlineStr">
        <is>
          <t>KALMAR LÄN</t>
        </is>
      </c>
      <c r="G639" t="inlineStr">
        <is>
          <t>NYBRO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46321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49104-2023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46321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45475</v>
      </c>
      <c r="E642" s="1" t="n">
        <v>46321</v>
      </c>
      <c r="F642" t="inlineStr">
        <is>
          <t>KALMAR LÄN</t>
        </is>
      </c>
      <c r="G642" t="inlineStr">
        <is>
          <t>NYBRO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46321</v>
      </c>
      <c r="F643" t="inlineStr">
        <is>
          <t>KALMAR LÄN</t>
        </is>
      </c>
      <c r="G643" t="inlineStr">
        <is>
          <t>NYBRO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46321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31948-2023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45119</v>
      </c>
      <c r="E645" s="1" t="n">
        <v>46321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46321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45409</v>
      </c>
      <c r="E647" s="1" t="n">
        <v>46321</v>
      </c>
      <c r="F647" t="inlineStr">
        <is>
          <t>KALMAR LÄN</t>
        </is>
      </c>
      <c r="G647" t="inlineStr">
        <is>
          <t>NYBRO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5686-2025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46321</v>
      </c>
      <c r="F648" t="inlineStr">
        <is>
          <t>KALMAR LÄN</t>
        </is>
      </c>
      <c r="G648" t="inlineStr">
        <is>
          <t>NYBRO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15830-2023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45022</v>
      </c>
      <c r="E649" s="1" t="n">
        <v>46321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45111</v>
      </c>
      <c r="E650" s="1" t="n">
        <v>46321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55255-2023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46321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39535-2022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44818</v>
      </c>
      <c r="E652" s="1" t="n">
        <v>46321</v>
      </c>
      <c r="F652" t="inlineStr">
        <is>
          <t>KALMAR LÄN</t>
        </is>
      </c>
      <c r="G652" t="inlineStr">
        <is>
          <t>NYBRO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45369</v>
      </c>
      <c r="E653" s="1" t="n">
        <v>46321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45762</v>
      </c>
      <c r="E654" s="1" t="n">
        <v>46321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46321</v>
      </c>
      <c r="F655" t="inlineStr">
        <is>
          <t>KALMAR LÄN</t>
        </is>
      </c>
      <c r="G655" t="inlineStr">
        <is>
          <t>NYBRO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59689-2021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44494</v>
      </c>
      <c r="E656" s="1" t="n">
        <v>46321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12785-2025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46321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44991</v>
      </c>
      <c r="E658" s="1" t="n">
        <v>46321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46321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38814-2022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46321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44881</v>
      </c>
      <c r="E661" s="1" t="n">
        <v>46321</v>
      </c>
      <c r="F661" t="inlineStr">
        <is>
          <t>KALMAR LÄN</t>
        </is>
      </c>
      <c r="G661" t="inlineStr">
        <is>
          <t>NYBRO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45412-2022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44844</v>
      </c>
      <c r="E662" s="1" t="n">
        <v>46321</v>
      </c>
      <c r="F662" t="inlineStr">
        <is>
          <t>KALMAR LÄN</t>
        </is>
      </c>
      <c r="G662" t="inlineStr">
        <is>
          <t>NYBRO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45509</v>
      </c>
      <c r="E663" s="1" t="n">
        <v>46321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45189</v>
      </c>
      <c r="E664" s="1" t="n">
        <v>46321</v>
      </c>
      <c r="F664" t="inlineStr">
        <is>
          <t>KALMAR LÄN</t>
        </is>
      </c>
      <c r="G664" t="inlineStr">
        <is>
          <t>NYBRO</t>
        </is>
      </c>
      <c r="H664" t="inlineStr">
        <is>
          <t>Kyrkan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11968-2025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45728</v>
      </c>
      <c r="E665" s="1" t="n">
        <v>46321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46321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46321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56143-2022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44889</v>
      </c>
      <c r="E668" s="1" t="n">
        <v>46321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34021-2023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45135</v>
      </c>
      <c r="E669" s="1" t="n">
        <v>46321</v>
      </c>
      <c r="F669" t="inlineStr">
        <is>
          <t>KALMAR LÄN</t>
        </is>
      </c>
      <c r="G669" t="inlineStr">
        <is>
          <t>NYBRO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45055</v>
      </c>
      <c r="E670" s="1" t="n">
        <v>46321</v>
      </c>
      <c r="F670" t="inlineStr">
        <is>
          <t>KALMAR LÄN</t>
        </is>
      </c>
      <c r="G670" t="inlineStr">
        <is>
          <t>NYBRO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45111</v>
      </c>
      <c r="E671" s="1" t="n">
        <v>46321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45761</v>
      </c>
      <c r="E672" s="1" t="n">
        <v>46321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18831-2024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46321</v>
      </c>
      <c r="F673" t="inlineStr">
        <is>
          <t>KALMAR LÄN</t>
        </is>
      </c>
      <c r="G673" t="inlineStr">
        <is>
          <t>NYBRO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18586-2025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45763</v>
      </c>
      <c r="E674" s="1" t="n">
        <v>46321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52382-2022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44874</v>
      </c>
      <c r="E675" s="1" t="n">
        <v>46321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45013</v>
      </c>
      <c r="E676" s="1" t="n">
        <v>46321</v>
      </c>
      <c r="F676" t="inlineStr">
        <is>
          <t>KALMAR LÄN</t>
        </is>
      </c>
      <c r="G676" t="inlineStr">
        <is>
          <t>NYBRO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25838-2023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46321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55289-2022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44882</v>
      </c>
      <c r="E678" s="1" t="n">
        <v>46321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45210</v>
      </c>
      <c r="E679" s="1" t="n">
        <v>46321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45296</v>
      </c>
      <c r="E680" s="1" t="n">
        <v>46321</v>
      </c>
      <c r="F680" t="inlineStr">
        <is>
          <t>KALMAR LÄN</t>
        </is>
      </c>
      <c r="G680" t="inlineStr">
        <is>
          <t>NYBRO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41060-2022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44825</v>
      </c>
      <c r="E681" s="1" t="n">
        <v>46321</v>
      </c>
      <c r="F681" t="inlineStr">
        <is>
          <t>KALMAR LÄN</t>
        </is>
      </c>
      <c r="G681" t="inlineStr">
        <is>
          <t>NYBRO</t>
        </is>
      </c>
      <c r="I681" t="n">
        <v>18.6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45342</v>
      </c>
      <c r="E682" s="1" t="n">
        <v>46321</v>
      </c>
      <c r="F682" t="inlineStr">
        <is>
          <t>KALMAR LÄN</t>
        </is>
      </c>
      <c r="G682" t="inlineStr">
        <is>
          <t>NYBRO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46321</v>
      </c>
      <c r="F683" t="inlineStr">
        <is>
          <t>KALMAR LÄN</t>
        </is>
      </c>
      <c r="G683" t="inlineStr">
        <is>
          <t>NYBRO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46321</v>
      </c>
      <c r="F684" t="inlineStr">
        <is>
          <t>KALMAR LÄN</t>
        </is>
      </c>
      <c r="G684" t="inlineStr">
        <is>
          <t>NYBRO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45575</v>
      </c>
      <c r="E685" s="1" t="n">
        <v>46321</v>
      </c>
      <c r="F685" t="inlineStr">
        <is>
          <t>KALMAR LÄN</t>
        </is>
      </c>
      <c r="G685" t="inlineStr">
        <is>
          <t>NYBRO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46321</v>
      </c>
      <c r="F686" t="inlineStr">
        <is>
          <t>KALMAR LÄN</t>
        </is>
      </c>
      <c r="G686" t="inlineStr">
        <is>
          <t>NYBRO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2529-2024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45313</v>
      </c>
      <c r="E687" s="1" t="n">
        <v>46321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45761</v>
      </c>
      <c r="E688" s="1" t="n">
        <v>46321</v>
      </c>
      <c r="F688" t="inlineStr">
        <is>
          <t>KALMAR LÄN</t>
        </is>
      </c>
      <c r="G688" t="inlineStr">
        <is>
          <t>NYBRO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45394</v>
      </c>
      <c r="E689" s="1" t="n">
        <v>46321</v>
      </c>
      <c r="F689" t="inlineStr">
        <is>
          <t>KALMAR LÄN</t>
        </is>
      </c>
      <c r="G689" t="inlineStr">
        <is>
          <t>NYBRO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45368</v>
      </c>
      <c r="E690" s="1" t="n">
        <v>46321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10737-2024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45369</v>
      </c>
      <c r="E691" s="1" t="n">
        <v>46321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46321</v>
      </c>
      <c r="F692" t="inlineStr">
        <is>
          <t>KALMAR LÄN</t>
        </is>
      </c>
      <c r="G692" t="inlineStr">
        <is>
          <t>NYBRO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46321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64453-2023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45280</v>
      </c>
      <c r="E694" s="1" t="n">
        <v>46321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45123</v>
      </c>
      <c r="E695" s="1" t="n">
        <v>46321</v>
      </c>
      <c r="F695" t="inlineStr">
        <is>
          <t>KALMAR LÄN</t>
        </is>
      </c>
      <c r="G695" t="inlineStr">
        <is>
          <t>NYBRO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31612-2023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45117</v>
      </c>
      <c r="E696" s="1" t="n">
        <v>46321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24689-2023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45084</v>
      </c>
      <c r="E697" s="1" t="n">
        <v>46321</v>
      </c>
      <c r="F697" t="inlineStr">
        <is>
          <t>KALMAR LÄN</t>
        </is>
      </c>
      <c r="G697" t="inlineStr">
        <is>
          <t>NYBRO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41846-2024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45561</v>
      </c>
      <c r="E698" s="1" t="n">
        <v>46321</v>
      </c>
      <c r="F698" t="inlineStr">
        <is>
          <t>KALMAR LÄN</t>
        </is>
      </c>
      <c r="G698" t="inlineStr">
        <is>
          <t>NYBRO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46321</v>
      </c>
      <c r="F699" t="inlineStr">
        <is>
          <t>KALMAR LÄN</t>
        </is>
      </c>
      <c r="G699" t="inlineStr">
        <is>
          <t>NYBRO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46321</v>
      </c>
      <c r="F700" t="inlineStr">
        <is>
          <t>KALMAR LÄN</t>
        </is>
      </c>
      <c r="G700" t="inlineStr">
        <is>
          <t>NYBRO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44953</v>
      </c>
      <c r="E701" s="1" t="n">
        <v>46321</v>
      </c>
      <c r="F701" t="inlineStr">
        <is>
          <t>KALMAR LÄN</t>
        </is>
      </c>
      <c r="G701" t="inlineStr">
        <is>
          <t>NYBRO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46321</v>
      </c>
      <c r="F702" t="inlineStr">
        <is>
          <t>KALMAR LÄN</t>
        </is>
      </c>
      <c r="G702" t="inlineStr">
        <is>
          <t>NYBRO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19363-2024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45429</v>
      </c>
      <c r="E703" s="1" t="n">
        <v>46321</v>
      </c>
      <c r="F703" t="inlineStr">
        <is>
          <t>KALMAR LÄN</t>
        </is>
      </c>
      <c r="G703" t="inlineStr">
        <is>
          <t>NYBRO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44938</v>
      </c>
      <c r="E704" s="1" t="n">
        <v>46321</v>
      </c>
      <c r="F704" t="inlineStr">
        <is>
          <t>KALMAR LÄN</t>
        </is>
      </c>
      <c r="G704" t="inlineStr">
        <is>
          <t>NYBRO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7956-2023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44973</v>
      </c>
      <c r="E705" s="1" t="n">
        <v>46321</v>
      </c>
      <c r="F705" t="inlineStr">
        <is>
          <t>KALMAR LÄN</t>
        </is>
      </c>
      <c r="G705" t="inlineStr">
        <is>
          <t>NYBRO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46321</v>
      </c>
      <c r="F706" t="inlineStr">
        <is>
          <t>KALMAR LÄN</t>
        </is>
      </c>
      <c r="G706" t="inlineStr">
        <is>
          <t>NYBRO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60622-2023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45260</v>
      </c>
      <c r="E707" s="1" t="n">
        <v>46321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54252-2024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46321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28149-2023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45096</v>
      </c>
      <c r="E709" s="1" t="n">
        <v>46321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27513-2024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45474</v>
      </c>
      <c r="E710" s="1" t="n">
        <v>46321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40335-2023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45169</v>
      </c>
      <c r="E711" s="1" t="n">
        <v>46321</v>
      </c>
      <c r="F711" t="inlineStr">
        <is>
          <t>KALMAR LÄN</t>
        </is>
      </c>
      <c r="G711" t="inlineStr">
        <is>
          <t>NYBRO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44580</v>
      </c>
      <c r="E712" s="1" t="n">
        <v>46321</v>
      </c>
      <c r="F712" t="inlineStr">
        <is>
          <t>KALMAR LÄN</t>
        </is>
      </c>
      <c r="G712" t="inlineStr">
        <is>
          <t>NYBRO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45079</v>
      </c>
      <c r="E713" s="1" t="n">
        <v>46321</v>
      </c>
      <c r="F713" t="inlineStr">
        <is>
          <t>KALMAR LÄN</t>
        </is>
      </c>
      <c r="G713" t="inlineStr">
        <is>
          <t>NYBRO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45320</v>
      </c>
      <c r="E714" s="1" t="n">
        <v>46321</v>
      </c>
      <c r="F714" t="inlineStr">
        <is>
          <t>KALMAR LÄN</t>
        </is>
      </c>
      <c r="G714" t="inlineStr">
        <is>
          <t>NYBRO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46321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45131</v>
      </c>
      <c r="E716" s="1" t="n">
        <v>46321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18587-2025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46321</v>
      </c>
      <c r="F717" t="inlineStr">
        <is>
          <t>KALMAR LÄN</t>
        </is>
      </c>
      <c r="G717" t="inlineStr">
        <is>
          <t>NYBRO</t>
        </is>
      </c>
      <c r="I717" t="n">
        <v>30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45315</v>
      </c>
      <c r="E718" s="1" t="n">
        <v>46321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46321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41974-2024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45561</v>
      </c>
      <c r="E720" s="1" t="n">
        <v>46321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44566</v>
      </c>
      <c r="E721" s="1" t="n">
        <v>46321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45092</v>
      </c>
      <c r="E722" s="1" t="n">
        <v>46321</v>
      </c>
      <c r="F722" t="inlineStr">
        <is>
          <t>KALMAR LÄN</t>
        </is>
      </c>
      <c r="G722" t="inlineStr">
        <is>
          <t>NYBRO</t>
        </is>
      </c>
      <c r="H722" t="inlineStr">
        <is>
          <t>Kommuner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46282-2023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45197</v>
      </c>
      <c r="E723" s="1" t="n">
        <v>46321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45035</v>
      </c>
      <c r="E724" s="1" t="n">
        <v>46321</v>
      </c>
      <c r="F724" t="inlineStr">
        <is>
          <t>KALMAR LÄN</t>
        </is>
      </c>
      <c r="G724" t="inlineStr">
        <is>
          <t>NYBRO</t>
        </is>
      </c>
      <c r="I724" t="n">
        <v>15.1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42740-2022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44832</v>
      </c>
      <c r="E725" s="1" t="n">
        <v>46321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50905-2023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46321</v>
      </c>
      <c r="F726" t="inlineStr">
        <is>
          <t>KALMAR LÄN</t>
        </is>
      </c>
      <c r="G726" t="inlineStr">
        <is>
          <t>NYBRO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45338</v>
      </c>
      <c r="E727" s="1" t="n">
        <v>46321</v>
      </c>
      <c r="F727" t="inlineStr">
        <is>
          <t>KALMAR LÄN</t>
        </is>
      </c>
      <c r="G727" t="inlineStr">
        <is>
          <t>NYBRO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41679-2024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45560</v>
      </c>
      <c r="E728" s="1" t="n">
        <v>46321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13445-2022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44645</v>
      </c>
      <c r="E729" s="1" t="n">
        <v>46321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46321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46321</v>
      </c>
      <c r="F731" t="inlineStr">
        <is>
          <t>KALMAR LÄN</t>
        </is>
      </c>
      <c r="G731" t="inlineStr">
        <is>
          <t>NYBRO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11621-2024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46321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21613-2023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45063</v>
      </c>
      <c r="E733" s="1" t="n">
        <v>46321</v>
      </c>
      <c r="F733" t="inlineStr">
        <is>
          <t>KALMAR LÄN</t>
        </is>
      </c>
      <c r="G733" t="inlineStr">
        <is>
          <t>NYBRO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45082</v>
      </c>
      <c r="E734" s="1" t="n">
        <v>46321</v>
      </c>
      <c r="F734" t="inlineStr">
        <is>
          <t>KALMAR LÄN</t>
        </is>
      </c>
      <c r="G734" t="inlineStr">
        <is>
          <t>NYBRO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45074-2023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46321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44657</v>
      </c>
      <c r="E736" s="1" t="n">
        <v>46321</v>
      </c>
      <c r="F736" t="inlineStr">
        <is>
          <t>KALMAR LÄN</t>
        </is>
      </c>
      <c r="G736" t="inlineStr">
        <is>
          <t>NYBRO</t>
        </is>
      </c>
      <c r="H736" t="inlineStr">
        <is>
          <t>Kyrkan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5355-2022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44594</v>
      </c>
      <c r="E737" s="1" t="n">
        <v>46321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45049</v>
      </c>
      <c r="E738" s="1" t="n">
        <v>46321</v>
      </c>
      <c r="F738" t="inlineStr">
        <is>
          <t>KALMAR LÄN</t>
        </is>
      </c>
      <c r="G738" t="inlineStr">
        <is>
          <t>NYBRO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44622</v>
      </c>
      <c r="E739" s="1" t="n">
        <v>46321</v>
      </c>
      <c r="F739" t="inlineStr">
        <is>
          <t>KALMAR LÄN</t>
        </is>
      </c>
      <c r="G739" t="inlineStr">
        <is>
          <t>NYBRO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59207-2024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45637</v>
      </c>
      <c r="E740" s="1" t="n">
        <v>46321</v>
      </c>
      <c r="F740" t="inlineStr">
        <is>
          <t>KALMAR LÄN</t>
        </is>
      </c>
      <c r="G740" t="inlineStr">
        <is>
          <t>NYBRO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45072</v>
      </c>
      <c r="E741" s="1" t="n">
        <v>46321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18323-2025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46321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45118</v>
      </c>
      <c r="E743" s="1" t="n">
        <v>46321</v>
      </c>
      <c r="F743" t="inlineStr">
        <is>
          <t>KALMAR LÄN</t>
        </is>
      </c>
      <c r="G743" t="inlineStr">
        <is>
          <t>NYBRO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14057-2024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45392</v>
      </c>
      <c r="E744" s="1" t="n">
        <v>46321</v>
      </c>
      <c r="F744" t="inlineStr">
        <is>
          <t>KALMAR LÄN</t>
        </is>
      </c>
      <c r="G744" t="inlineStr">
        <is>
          <t>NYBRO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46024-2023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45196</v>
      </c>
      <c r="E745" s="1" t="n">
        <v>46321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43118-2022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44833</v>
      </c>
      <c r="E746" s="1" t="n">
        <v>46321</v>
      </c>
      <c r="F746" t="inlineStr">
        <is>
          <t>KALMAR LÄN</t>
        </is>
      </c>
      <c r="G746" t="inlineStr">
        <is>
          <t>NYBRO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44690</v>
      </c>
      <c r="E747" s="1" t="n">
        <v>46321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18072-2022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44684</v>
      </c>
      <c r="E748" s="1" t="n">
        <v>46321</v>
      </c>
      <c r="F748" t="inlineStr">
        <is>
          <t>KALMAR LÄN</t>
        </is>
      </c>
      <c r="G748" t="inlineStr">
        <is>
          <t>NYBRO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46321</v>
      </c>
      <c r="F749" t="inlineStr">
        <is>
          <t>KALMAR LÄN</t>
        </is>
      </c>
      <c r="G749" t="inlineStr">
        <is>
          <t>NYBRO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46321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26859-2023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46321</v>
      </c>
      <c r="F751" t="inlineStr">
        <is>
          <t>KALMAR LÄN</t>
        </is>
      </c>
      <c r="G751" t="inlineStr">
        <is>
          <t>NYBRO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45244</v>
      </c>
      <c r="E752" s="1" t="n">
        <v>46321</v>
      </c>
      <c r="F752" t="inlineStr">
        <is>
          <t>KALMAR LÄN</t>
        </is>
      </c>
      <c r="G752" t="inlineStr">
        <is>
          <t>NYBRO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45741</v>
      </c>
      <c r="E753" s="1" t="n">
        <v>46321</v>
      </c>
      <c r="F753" t="inlineStr">
        <is>
          <t>KALMAR LÄN</t>
        </is>
      </c>
      <c r="G753" t="inlineStr">
        <is>
          <t>NYBRO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17226-2025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45756</v>
      </c>
      <c r="E754" s="1" t="n">
        <v>46321</v>
      </c>
      <c r="F754" t="inlineStr">
        <is>
          <t>KALMAR LÄN</t>
        </is>
      </c>
      <c r="G754" t="inlineStr">
        <is>
          <t>NYBRO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45211</v>
      </c>
      <c r="E755" s="1" t="n">
        <v>46321</v>
      </c>
      <c r="F755" t="inlineStr">
        <is>
          <t>KALMAR LÄN</t>
        </is>
      </c>
      <c r="G755" t="inlineStr">
        <is>
          <t>NYBRO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43731-2023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46321</v>
      </c>
      <c r="F756" t="inlineStr">
        <is>
          <t>KALMAR LÄN</t>
        </is>
      </c>
      <c r="G756" t="inlineStr">
        <is>
          <t>NYBRO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45407</v>
      </c>
      <c r="E757" s="1" t="n">
        <v>46321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55723-2023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46321</v>
      </c>
      <c r="F758" t="inlineStr">
        <is>
          <t>KALMAR LÄN</t>
        </is>
      </c>
      <c r="G758" t="inlineStr">
        <is>
          <t>NYBRO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27419-2022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46321</v>
      </c>
      <c r="F759" t="inlineStr">
        <is>
          <t>KALMAR LÄN</t>
        </is>
      </c>
      <c r="G759" t="inlineStr">
        <is>
          <t>NYBRO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59940-2022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44909</v>
      </c>
      <c r="E760" s="1" t="n">
        <v>46321</v>
      </c>
      <c r="F760" t="inlineStr">
        <is>
          <t>KALMAR LÄN</t>
        </is>
      </c>
      <c r="G760" t="inlineStr">
        <is>
          <t>NYBRO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41531-2023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45175</v>
      </c>
      <c r="E761" s="1" t="n">
        <v>46321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46321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49405-2023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45211</v>
      </c>
      <c r="E763" s="1" t="n">
        <v>46321</v>
      </c>
      <c r="F763" t="inlineStr">
        <is>
          <t>KALMAR LÄN</t>
        </is>
      </c>
      <c r="G763" t="inlineStr">
        <is>
          <t>NYBRO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28795-2022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44749</v>
      </c>
      <c r="E764" s="1" t="n">
        <v>46321</v>
      </c>
      <c r="F764" t="inlineStr">
        <is>
          <t>KALMAR LÄN</t>
        </is>
      </c>
      <c r="G764" t="inlineStr">
        <is>
          <t>NYBRO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44721</v>
      </c>
      <c r="E765" s="1" t="n">
        <v>46321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27610-2022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44743</v>
      </c>
      <c r="E766" s="1" t="n">
        <v>46321</v>
      </c>
      <c r="F766" t="inlineStr">
        <is>
          <t>KALMAR LÄN</t>
        </is>
      </c>
      <c r="G766" t="inlineStr">
        <is>
          <t>NYBRO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41632-2023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45175</v>
      </c>
      <c r="E767" s="1" t="n">
        <v>46321</v>
      </c>
      <c r="F767" t="inlineStr">
        <is>
          <t>KALMAR LÄN</t>
        </is>
      </c>
      <c r="G767" t="inlineStr">
        <is>
          <t>NYBRO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45414</v>
      </c>
      <c r="E768" s="1" t="n">
        <v>46321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45756</v>
      </c>
      <c r="E769" s="1" t="n">
        <v>46321</v>
      </c>
      <c r="F769" t="inlineStr">
        <is>
          <t>KALMAR LÄN</t>
        </is>
      </c>
      <c r="G769" t="inlineStr">
        <is>
          <t>NYBRO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60039-2022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46321</v>
      </c>
      <c r="F770" t="inlineStr">
        <is>
          <t>KALMAR LÄN</t>
        </is>
      </c>
      <c r="G770" t="inlineStr">
        <is>
          <t>NYBRO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57823-2023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45244</v>
      </c>
      <c r="E771" s="1" t="n">
        <v>46321</v>
      </c>
      <c r="F771" t="inlineStr">
        <is>
          <t>KALMAR LÄN</t>
        </is>
      </c>
      <c r="G771" t="inlineStr">
        <is>
          <t>NYBRO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44801-2022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44841</v>
      </c>
      <c r="E772" s="1" t="n">
        <v>46321</v>
      </c>
      <c r="F772" t="inlineStr">
        <is>
          <t>KALMAR LÄN</t>
        </is>
      </c>
      <c r="G772" t="inlineStr">
        <is>
          <t>NYBRO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20536-2025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45775</v>
      </c>
      <c r="E773" s="1" t="n">
        <v>46321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44803</v>
      </c>
      <c r="E774" s="1" t="n">
        <v>46321</v>
      </c>
      <c r="F774" t="inlineStr">
        <is>
          <t>KALMAR LÄN</t>
        </is>
      </c>
      <c r="G774" t="inlineStr">
        <is>
          <t>NYBRO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19451-2022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46321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45448</v>
      </c>
      <c r="E776" s="1" t="n">
        <v>46321</v>
      </c>
      <c r="F776" t="inlineStr">
        <is>
          <t>KALMAR LÄN</t>
        </is>
      </c>
      <c r="G776" t="inlineStr">
        <is>
          <t>NYBRO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26715-2022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44739</v>
      </c>
      <c r="E777" s="1" t="n">
        <v>46321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28145-2022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44746</v>
      </c>
      <c r="E778" s="1" t="n">
        <v>46321</v>
      </c>
      <c r="F778" t="inlineStr">
        <is>
          <t>KALMAR LÄN</t>
        </is>
      </c>
      <c r="G778" t="inlineStr">
        <is>
          <t>NYBRO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45254</v>
      </c>
      <c r="E779" s="1" t="n">
        <v>46321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45330</v>
      </c>
      <c r="E780" s="1" t="n">
        <v>46321</v>
      </c>
      <c r="F780" t="inlineStr">
        <is>
          <t>KALMAR LÄN</t>
        </is>
      </c>
      <c r="G780" t="inlineStr">
        <is>
          <t>NYBRO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61060-2021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44497</v>
      </c>
      <c r="E781" s="1" t="n">
        <v>46321</v>
      </c>
      <c r="F781" t="inlineStr">
        <is>
          <t>KALMAR LÄN</t>
        </is>
      </c>
      <c r="G781" t="inlineStr">
        <is>
          <t>NYBRO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8100-2023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44974</v>
      </c>
      <c r="E782" s="1" t="n">
        <v>46321</v>
      </c>
      <c r="F782" t="inlineStr">
        <is>
          <t>KALMAR LÄN</t>
        </is>
      </c>
      <c r="G782" t="inlineStr">
        <is>
          <t>NYBRO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10457-2024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45366</v>
      </c>
      <c r="E783" s="1" t="n">
        <v>46321</v>
      </c>
      <c r="F783" t="inlineStr">
        <is>
          <t>KALMAR LÄN</t>
        </is>
      </c>
      <c r="G783" t="inlineStr">
        <is>
          <t>NYBRO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50662-2023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45217</v>
      </c>
      <c r="E784" s="1" t="n">
        <v>46321</v>
      </c>
      <c r="F784" t="inlineStr">
        <is>
          <t>KALMAR LÄN</t>
        </is>
      </c>
      <c r="G784" t="inlineStr">
        <is>
          <t>NYBRO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61780-2022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44917</v>
      </c>
      <c r="E785" s="1" t="n">
        <v>46321</v>
      </c>
      <c r="F785" t="inlineStr">
        <is>
          <t>KALMAR LÄN</t>
        </is>
      </c>
      <c r="G785" t="inlineStr">
        <is>
          <t>NYBRO</t>
        </is>
      </c>
      <c r="H785" t="inlineStr">
        <is>
          <t>Kommuner</t>
        </is>
      </c>
      <c r="I785" t="n">
        <v>6.4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44959</v>
      </c>
      <c r="E786" s="1" t="n">
        <v>46321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63111-2023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45273</v>
      </c>
      <c r="E787" s="1" t="n">
        <v>46321</v>
      </c>
      <c r="F787" t="inlineStr">
        <is>
          <t>KALMAR LÄN</t>
        </is>
      </c>
      <c r="G787" t="inlineStr">
        <is>
          <t>NYBRO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39771-2022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44819</v>
      </c>
      <c r="E788" s="1" t="n">
        <v>46321</v>
      </c>
      <c r="F788" t="inlineStr">
        <is>
          <t>KALMAR LÄN</t>
        </is>
      </c>
      <c r="G788" t="inlineStr">
        <is>
          <t>NYBRO</t>
        </is>
      </c>
      <c r="H788" t="inlineStr">
        <is>
          <t>Kommuner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46321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45301</v>
      </c>
      <c r="E790" s="1" t="n">
        <v>46321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45763</v>
      </c>
      <c r="E791" s="1" t="n">
        <v>46321</v>
      </c>
      <c r="F791" t="inlineStr">
        <is>
          <t>KALMAR LÄN</t>
        </is>
      </c>
      <c r="G791" t="inlineStr">
        <is>
          <t>NYBRO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4402-2024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45327</v>
      </c>
      <c r="E792" s="1" t="n">
        <v>46321</v>
      </c>
      <c r="F792" t="inlineStr">
        <is>
          <t>KALMAR LÄN</t>
        </is>
      </c>
      <c r="G792" t="inlineStr">
        <is>
          <t>NYBRO</t>
        </is>
      </c>
      <c r="I792" t="n">
        <v>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26422-2023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45092</v>
      </c>
      <c r="E793" s="1" t="n">
        <v>46321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7481-2024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45346</v>
      </c>
      <c r="E794" s="1" t="n">
        <v>46321</v>
      </c>
      <c r="F794" t="inlineStr">
        <is>
          <t>KALMAR LÄN</t>
        </is>
      </c>
      <c r="G794" t="inlineStr">
        <is>
          <t>NYBRO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11966-2025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45728</v>
      </c>
      <c r="E795" s="1" t="n">
        <v>46321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63945-2023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45278</v>
      </c>
      <c r="E796" s="1" t="n">
        <v>46321</v>
      </c>
      <c r="F796" t="inlineStr">
        <is>
          <t>KALMAR LÄN</t>
        </is>
      </c>
      <c r="G796" t="inlineStr">
        <is>
          <t>NYBRO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45090</v>
      </c>
      <c r="E797" s="1" t="n">
        <v>46321</v>
      </c>
      <c r="F797" t="inlineStr">
        <is>
          <t>KALMAR LÄN</t>
        </is>
      </c>
      <c r="G797" t="inlineStr">
        <is>
          <t>NYBRO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52752-2024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45610</v>
      </c>
      <c r="E798" s="1" t="n">
        <v>46321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29847-2022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44756</v>
      </c>
      <c r="E799" s="1" t="n">
        <v>46321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26129-2023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45091</v>
      </c>
      <c r="E800" s="1" t="n">
        <v>46321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51082-2022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44868</v>
      </c>
      <c r="E801" s="1" t="n">
        <v>46321</v>
      </c>
      <c r="F801" t="inlineStr">
        <is>
          <t>KALMAR LÄN</t>
        </is>
      </c>
      <c r="G801" t="inlineStr">
        <is>
          <t>NYBRO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10114-2022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44621</v>
      </c>
      <c r="E802" s="1" t="n">
        <v>46321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29543-2024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45484</v>
      </c>
      <c r="E803" s="1" t="n">
        <v>46321</v>
      </c>
      <c r="F803" t="inlineStr">
        <is>
          <t>KALMAR LÄN</t>
        </is>
      </c>
      <c r="G803" t="inlineStr">
        <is>
          <t>NYBRO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49929-2022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44865</v>
      </c>
      <c r="E804" s="1" t="n">
        <v>46321</v>
      </c>
      <c r="F804" t="inlineStr">
        <is>
          <t>KALMAR LÄN</t>
        </is>
      </c>
      <c r="G804" t="inlineStr">
        <is>
          <t>NYBRO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9942-2023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44985</v>
      </c>
      <c r="E805" s="1" t="n">
        <v>46321</v>
      </c>
      <c r="F805" t="inlineStr">
        <is>
          <t>KALMAR LÄN</t>
        </is>
      </c>
      <c r="G805" t="inlineStr">
        <is>
          <t>NYBRO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25547-2024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45463</v>
      </c>
      <c r="E806" s="1" t="n">
        <v>46321</v>
      </c>
      <c r="F806" t="inlineStr">
        <is>
          <t>KALMAR LÄN</t>
        </is>
      </c>
      <c r="G806" t="inlineStr">
        <is>
          <t>NYBRO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45534</v>
      </c>
      <c r="E807" s="1" t="n">
        <v>46321</v>
      </c>
      <c r="F807" t="inlineStr">
        <is>
          <t>KALMAR LÄN</t>
        </is>
      </c>
      <c r="G807" t="inlineStr">
        <is>
          <t>NYBRO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45394</v>
      </c>
      <c r="E808" s="1" t="n">
        <v>46321</v>
      </c>
      <c r="F808" t="inlineStr">
        <is>
          <t>KALMAR LÄN</t>
        </is>
      </c>
      <c r="G808" t="inlineStr">
        <is>
          <t>NYBRO</t>
        </is>
      </c>
      <c r="H808" t="inlineStr">
        <is>
          <t>Kommuner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25798-2023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45090</v>
      </c>
      <c r="E809" s="1" t="n">
        <v>46321</v>
      </c>
      <c r="F809" t="inlineStr">
        <is>
          <t>KALMAR LÄN</t>
        </is>
      </c>
      <c r="G809" t="inlineStr">
        <is>
          <t>NYBRO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6895-2024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45342</v>
      </c>
      <c r="E810" s="1" t="n">
        <v>46321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15332-2024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45400</v>
      </c>
      <c r="E811" s="1" t="n">
        <v>46321</v>
      </c>
      <c r="F811" t="inlineStr">
        <is>
          <t>KALMAR LÄN</t>
        </is>
      </c>
      <c r="G811" t="inlineStr">
        <is>
          <t>NYBRO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39624-2024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45552</v>
      </c>
      <c r="E812" s="1" t="n">
        <v>46321</v>
      </c>
      <c r="F812" t="inlineStr">
        <is>
          <t>KALMAR LÄN</t>
        </is>
      </c>
      <c r="G812" t="inlineStr">
        <is>
          <t>NYBRO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60030-2022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44909</v>
      </c>
      <c r="E813" s="1" t="n">
        <v>46321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8000-2023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44973</v>
      </c>
      <c r="E814" s="1" t="n">
        <v>46321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59052-2022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44904</v>
      </c>
      <c r="E815" s="1" t="n">
        <v>46321</v>
      </c>
      <c r="F815" t="inlineStr">
        <is>
          <t>KALMAR LÄN</t>
        </is>
      </c>
      <c r="G815" t="inlineStr">
        <is>
          <t>NYBRO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41161-2023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45174</v>
      </c>
      <c r="E816" s="1" t="n">
        <v>46321</v>
      </c>
      <c r="F816" t="inlineStr">
        <is>
          <t>KALMAR LÄN</t>
        </is>
      </c>
      <c r="G816" t="inlineStr">
        <is>
          <t>NYBRO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5803-2024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45335</v>
      </c>
      <c r="E817" s="1" t="n">
        <v>46321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44992</v>
      </c>
      <c r="E818" s="1" t="n">
        <v>46321</v>
      </c>
      <c r="F818" t="inlineStr">
        <is>
          <t>KALMAR LÄN</t>
        </is>
      </c>
      <c r="G818" t="inlineStr">
        <is>
          <t>NYBRO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2380-2022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44579</v>
      </c>
      <c r="E819" s="1" t="n">
        <v>46321</v>
      </c>
      <c r="F819" t="inlineStr">
        <is>
          <t>KALMAR LÄN</t>
        </is>
      </c>
      <c r="G819" t="inlineStr">
        <is>
          <t>NYBRO</t>
        </is>
      </c>
      <c r="I819" t="n">
        <v>8.4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46321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570-2022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44592</v>
      </c>
      <c r="E821" s="1" t="n">
        <v>46321</v>
      </c>
      <c r="F821" t="inlineStr">
        <is>
          <t>KALMAR LÄN</t>
        </is>
      </c>
      <c r="G821" t="inlineStr">
        <is>
          <t>NYBRO</t>
        </is>
      </c>
      <c r="I821" t="n">
        <v>23.4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477-2022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44587</v>
      </c>
      <c r="E822" s="1" t="n">
        <v>46321</v>
      </c>
      <c r="F822" t="inlineStr">
        <is>
          <t>KALMAR LÄN</t>
        </is>
      </c>
      <c r="G822" t="inlineStr">
        <is>
          <t>NYBRO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44594</v>
      </c>
      <c r="E823" s="1" t="n">
        <v>46321</v>
      </c>
      <c r="F823" t="inlineStr">
        <is>
          <t>KALMAR LÄN</t>
        </is>
      </c>
      <c r="G823" t="inlineStr">
        <is>
          <t>NYBRO</t>
        </is>
      </c>
      <c r="I823" t="n">
        <v>50.7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2489-2022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44693</v>
      </c>
      <c r="E824" s="1" t="n">
        <v>46321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453-2022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46321</v>
      </c>
      <c r="F825" t="inlineStr">
        <is>
          <t>KALMAR LÄN</t>
        </is>
      </c>
      <c r="G825" t="inlineStr">
        <is>
          <t>NYBRO</t>
        </is>
      </c>
      <c r="I825" t="n">
        <v>20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46321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46321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46321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46321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46321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46321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46321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46321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46321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46321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46321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46321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46321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46321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46321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672-2024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45357</v>
      </c>
      <c r="E841" s="1" t="n">
        <v>46321</v>
      </c>
      <c r="F841" t="inlineStr">
        <is>
          <t>KALMAR LÄN</t>
        </is>
      </c>
      <c r="G841" t="inlineStr">
        <is>
          <t>NYBRO</t>
        </is>
      </c>
      <c r="I841" t="n">
        <v>41.1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1947-2023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45088</v>
      </c>
      <c r="E842" s="1" t="n">
        <v>46321</v>
      </c>
      <c r="F842" t="inlineStr">
        <is>
          <t>KALMAR LÄN</t>
        </is>
      </c>
      <c r="G842" t="inlineStr">
        <is>
          <t>NYBRO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419-2024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45335</v>
      </c>
      <c r="E843" s="1" t="n">
        <v>46321</v>
      </c>
      <c r="F843" t="inlineStr">
        <is>
          <t>KALMAR LÄN</t>
        </is>
      </c>
      <c r="G843" t="inlineStr">
        <is>
          <t>NYBRO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3896-2023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45231</v>
      </c>
      <c r="E844" s="1" t="n">
        <v>46321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46321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46321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46321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46321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46321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46321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46321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46321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46321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46321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46321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2566-2026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46295</v>
      </c>
      <c r="E856" s="1" t="n">
        <v>46321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2661-2026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46308</v>
      </c>
      <c r="E857" s="1" t="n">
        <v>46321</v>
      </c>
      <c r="F857" t="inlineStr">
        <is>
          <t>KALMAR LÄN</t>
        </is>
      </c>
      <c r="G857" t="inlineStr">
        <is>
          <t>NYBRO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2026-10-26T03:06:26Z</dcterms:created>
  <dcterms:modified xmlns:dcterms="http://purl.org/dc/terms/" xmlns:xsi="http://www.w3.org/2001/XMLSchema-instance" xsi:type="dcterms:W3CDTF">2026-10-26T03:06:27Z</dcterms:modified>
</cp:coreProperties>
</file>