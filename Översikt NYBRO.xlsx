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46088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46088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46088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46088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1533-2026</t>
        </is>
      </c>
      <c r="B6" s="1" t="n">
        <v>46034.37697916666</v>
      </c>
      <c r="C6" s="1" t="n">
        <v>46088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3.2</v>
      </c>
      <c r="H6" t="n">
        <v>4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Sandödla
Tofsvipa
Fiskmås
Skrattmås</t>
        </is>
      </c>
      <c r="S6">
        <f>HYPERLINK("https://klasma.github.io/Logging_0881/artfynd/A 1533-2026 artfynd.xlsx", "A 1533-2026")</f>
        <v/>
      </c>
      <c r="T6">
        <f>HYPERLINK("https://klasma.github.io/Logging_0881/kartor/A 1533-2026 karta.png", "A 1533-2026")</f>
        <v/>
      </c>
      <c r="V6">
        <f>HYPERLINK("https://klasma.github.io/Logging_0881/klagomål/A 1533-2026 FSC-klagomål.docx", "A 1533-2026")</f>
        <v/>
      </c>
      <c r="W6">
        <f>HYPERLINK("https://klasma.github.io/Logging_0881/klagomålsmail/A 1533-2026 FSC-klagomål mail.docx", "A 1533-2026")</f>
        <v/>
      </c>
      <c r="X6">
        <f>HYPERLINK("https://klasma.github.io/Logging_0881/tillsyn/A 1533-2026 tillsynsbegäran.docx", "A 1533-2026")</f>
        <v/>
      </c>
      <c r="Y6">
        <f>HYPERLINK("https://klasma.github.io/Logging_0881/tillsynsmail/A 1533-2026 tillsynsbegäran mail.docx", "A 1533-2026")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46088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46088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46088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46088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46088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46088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46088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46088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46088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46088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46088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46088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46088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46088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46088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46088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46088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46088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46088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3200-2026</t>
        </is>
      </c>
      <c r="B26" s="1" t="n">
        <v>46041.4778125</v>
      </c>
      <c r="C26" s="1" t="n">
        <v>46088</v>
      </c>
      <c r="D26" t="inlineStr">
        <is>
          <t>KALMAR LÄN</t>
        </is>
      </c>
      <c r="E26" t="inlineStr">
        <is>
          <t>NYBRO</t>
        </is>
      </c>
      <c r="G26" t="n">
        <v>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hackspett
Talltita</t>
        </is>
      </c>
      <c r="S26">
        <f>HYPERLINK("https://klasma.github.io/Logging_0881/artfynd/A 3200-2026 artfynd.xlsx", "A 3200-2026")</f>
        <v/>
      </c>
      <c r="T26">
        <f>HYPERLINK("https://klasma.github.io/Logging_0881/kartor/A 3200-2026 karta.png", "A 3200-2026")</f>
        <v/>
      </c>
      <c r="V26">
        <f>HYPERLINK("https://klasma.github.io/Logging_0881/klagomål/A 3200-2026 FSC-klagomål.docx", "A 3200-2026")</f>
        <v/>
      </c>
      <c r="W26">
        <f>HYPERLINK("https://klasma.github.io/Logging_0881/klagomålsmail/A 3200-2026 FSC-klagomål mail.docx", "A 3200-2026")</f>
        <v/>
      </c>
      <c r="X26">
        <f>HYPERLINK("https://klasma.github.io/Logging_0881/tillsyn/A 3200-2026 tillsynsbegäran.docx", "A 3200-2026")</f>
        <v/>
      </c>
      <c r="Y26">
        <f>HYPERLINK("https://klasma.github.io/Logging_0881/tillsynsmail/A 3200-2026 tillsynsbegäran mail.docx", "A 3200-2026")</f>
        <v/>
      </c>
      <c r="Z26">
        <f>HYPERLINK("https://klasma.github.io/Logging_0881/fåglar/A 3200-2026 prioriterade fågelarter.docx", "A 3200-2026")</f>
        <v/>
      </c>
    </row>
    <row r="27" ht="15" customHeight="1">
      <c r="A27" t="inlineStr">
        <is>
          <t>A 63006-2025</t>
        </is>
      </c>
      <c r="B27" s="1" t="n">
        <v>46009.57502314815</v>
      </c>
      <c r="C27" s="1" t="n">
        <v>46088</v>
      </c>
      <c r="D27" t="inlineStr">
        <is>
          <t>KALMAR LÄN</t>
        </is>
      </c>
      <c r="E27" t="inlineStr">
        <is>
          <t>NYBRO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Mindre märgborre</t>
        </is>
      </c>
      <c r="S27">
        <f>HYPERLINK("https://klasma.github.io/Logging_0881/artfynd/A 63006-2025 artfynd.xlsx", "A 63006-2025")</f>
        <v/>
      </c>
      <c r="T27">
        <f>HYPERLINK("https://klasma.github.io/Logging_0881/kartor/A 63006-2025 karta.png", "A 63006-2025")</f>
        <v/>
      </c>
      <c r="V27">
        <f>HYPERLINK("https://klasma.github.io/Logging_0881/klagomål/A 63006-2025 FSC-klagomål.docx", "A 63006-2025")</f>
        <v/>
      </c>
      <c r="W27">
        <f>HYPERLINK("https://klasma.github.io/Logging_0881/klagomålsmail/A 63006-2025 FSC-klagomål mail.docx", "A 63006-2025")</f>
        <v/>
      </c>
      <c r="X27">
        <f>HYPERLINK("https://klasma.github.io/Logging_0881/tillsyn/A 63006-2025 tillsynsbegäran.docx", "A 63006-2025")</f>
        <v/>
      </c>
      <c r="Y27">
        <f>HYPERLINK("https://klasma.github.io/Logging_0881/tillsynsmail/A 63006-2025 tillsynsbegäran mail.docx", "A 63006-2025")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46088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46088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46088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46088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46088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46088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46088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46088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46088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46088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46088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46088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46088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36877-2025</t>
        </is>
      </c>
      <c r="B41" s="1" t="n">
        <v>45873</v>
      </c>
      <c r="C41" s="1" t="n">
        <v>46088</v>
      </c>
      <c r="D41" t="inlineStr">
        <is>
          <t>KALMAR LÄN</t>
        </is>
      </c>
      <c r="E41" t="inlineStr">
        <is>
          <t>NYBRO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Flentimotej</t>
        </is>
      </c>
      <c r="S41">
        <f>HYPERLINK("https://klasma.github.io/Logging_0881/artfynd/A 36877-2025 artfynd.xlsx", "A 36877-2025")</f>
        <v/>
      </c>
      <c r="T41">
        <f>HYPERLINK("https://klasma.github.io/Logging_0881/kartor/A 36877-2025 karta.png", "A 36877-2025")</f>
        <v/>
      </c>
      <c r="V41">
        <f>HYPERLINK("https://klasma.github.io/Logging_0881/klagomål/A 36877-2025 FSC-klagomål.docx", "A 36877-2025")</f>
        <v/>
      </c>
      <c r="W41">
        <f>HYPERLINK("https://klasma.github.io/Logging_0881/klagomålsmail/A 36877-2025 FSC-klagomål mail.docx", "A 36877-2025")</f>
        <v/>
      </c>
      <c r="X41">
        <f>HYPERLINK("https://klasma.github.io/Logging_0881/tillsyn/A 36877-2025 tillsynsbegäran.docx", "A 36877-2025")</f>
        <v/>
      </c>
      <c r="Y41">
        <f>HYPERLINK("https://klasma.github.io/Logging_0881/tillsynsmail/A 36877-2025 tillsynsbegäran mail.docx", "A 36877-2025")</f>
        <v/>
      </c>
    </row>
    <row r="42" ht="15" customHeight="1">
      <c r="A42" t="inlineStr">
        <is>
          <t>A 6676-2023</t>
        </is>
      </c>
      <c r="B42" s="1" t="n">
        <v>44966.64579861111</v>
      </c>
      <c r="C42" s="1" t="n">
        <v>46088</v>
      </c>
      <c r="D42" t="inlineStr">
        <is>
          <t>KALMAR LÄN</t>
        </is>
      </c>
      <c r="E42" t="inlineStr">
        <is>
          <t>NYBRO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HYPERLINK("https://klasma.github.io/Logging_0881/artfynd/A 6676-2023 artfynd.xlsx", "A 6676-2023")</f>
        <v/>
      </c>
      <c r="T42">
        <f>HYPERLINK("https://klasma.github.io/Logging_0881/kartor/A 6676-2023 karta.png", "A 6676-2023")</f>
        <v/>
      </c>
      <c r="V42">
        <f>HYPERLINK("https://klasma.github.io/Logging_0881/klagomål/A 6676-2023 FSC-klagomål.docx", "A 6676-2023")</f>
        <v/>
      </c>
      <c r="W42">
        <f>HYPERLINK("https://klasma.github.io/Logging_0881/klagomålsmail/A 6676-2023 FSC-klagomål mail.docx", "A 6676-2023")</f>
        <v/>
      </c>
      <c r="X42">
        <f>HYPERLINK("https://klasma.github.io/Logging_0881/tillsyn/A 6676-2023 tillsynsbegäran.docx", "A 6676-2023")</f>
        <v/>
      </c>
      <c r="Y42">
        <f>HYPERLINK("https://klasma.github.io/Logging_0881/tillsynsmail/A 6676-2023 tillsynsbegäran mail.docx", "A 6676-2023")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46088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30510-2023</t>
        </is>
      </c>
      <c r="B44" s="1" t="n">
        <v>45111</v>
      </c>
      <c r="C44" s="1" t="n">
        <v>46088</v>
      </c>
      <c r="D44" t="inlineStr">
        <is>
          <t>KALMAR LÄN</t>
        </is>
      </c>
      <c r="E44" t="inlineStr">
        <is>
          <t>NYBRO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30510-2023 artfynd.xlsx", "A 30510-2023")</f>
        <v/>
      </c>
      <c r="T44">
        <f>HYPERLINK("https://klasma.github.io/Logging_0881/kartor/A 30510-2023 karta.png", "A 30510-2023")</f>
        <v/>
      </c>
      <c r="V44">
        <f>HYPERLINK("https://klasma.github.io/Logging_0881/klagomål/A 30510-2023 FSC-klagomål.docx", "A 30510-2023")</f>
        <v/>
      </c>
      <c r="W44">
        <f>HYPERLINK("https://klasma.github.io/Logging_0881/klagomålsmail/A 30510-2023 FSC-klagomål mail.docx", "A 30510-2023")</f>
        <v/>
      </c>
      <c r="X44">
        <f>HYPERLINK("https://klasma.github.io/Logging_0881/tillsyn/A 30510-2023 tillsynsbegäran.docx", "A 30510-2023")</f>
        <v/>
      </c>
      <c r="Y44">
        <f>HYPERLINK("https://klasma.github.io/Logging_0881/tillsynsmail/A 30510-2023 tillsynsbegäran mail.docx", "A 30510-2023")</f>
        <v/>
      </c>
      <c r="Z44">
        <f>HYPERLINK("https://klasma.github.io/Logging_0881/fåglar/A 30510-2023 prioriterade fågelarter.docx", "A 30510-2023")</f>
        <v/>
      </c>
    </row>
    <row r="45" ht="15" customHeight="1">
      <c r="A45" t="inlineStr">
        <is>
          <t>A 41228-2025</t>
        </is>
      </c>
      <c r="B45" s="1" t="n">
        <v>45898.59107638889</v>
      </c>
      <c r="C45" s="1" t="n">
        <v>46088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HYPERLINK("https://klasma.github.io/Logging_0881/artfynd/A 41228-2025 artfynd.xlsx", "A 41228-2025")</f>
        <v/>
      </c>
      <c r="T45">
        <f>HYPERLINK("https://klasma.github.io/Logging_0881/kartor/A 41228-2025 karta.png", "A 41228-2025")</f>
        <v/>
      </c>
      <c r="V45">
        <f>HYPERLINK("https://klasma.github.io/Logging_0881/klagomål/A 41228-2025 FSC-klagomål.docx", "A 41228-2025")</f>
        <v/>
      </c>
      <c r="W45">
        <f>HYPERLINK("https://klasma.github.io/Logging_0881/klagomålsmail/A 41228-2025 FSC-klagomål mail.docx", "A 41228-2025")</f>
        <v/>
      </c>
      <c r="X45">
        <f>HYPERLINK("https://klasma.github.io/Logging_0881/tillsyn/A 41228-2025 tillsynsbegäran.docx", "A 41228-2025")</f>
        <v/>
      </c>
      <c r="Y45">
        <f>HYPERLINK("https://klasma.github.io/Logging_0881/tillsynsmail/A 41228-2025 tillsynsbegäran mail.docx", "A 41228-2025")</f>
        <v/>
      </c>
      <c r="Z45">
        <f>HYPERLINK("https://klasma.github.io/Logging_0881/fåglar/A 41228-2025 prioriterade fågelarter.docx", "A 41228-2025")</f>
        <v/>
      </c>
    </row>
    <row r="46" ht="15" customHeight="1">
      <c r="A46" t="inlineStr">
        <is>
          <t>A 61790-2022</t>
        </is>
      </c>
      <c r="B46" s="1" t="n">
        <v>44917</v>
      </c>
      <c r="C46" s="1" t="n">
        <v>46088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3.7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HYPERLINK("https://klasma.github.io/Logging_0881/artfynd/A 61790-2022 artfynd.xlsx", "A 61790-2022")</f>
        <v/>
      </c>
      <c r="T46">
        <f>HYPERLINK("https://klasma.github.io/Logging_0881/kartor/A 61790-2022 karta.png", "A 61790-2022")</f>
        <v/>
      </c>
      <c r="V46">
        <f>HYPERLINK("https://klasma.github.io/Logging_0881/klagomål/A 61790-2022 FSC-klagomål.docx", "A 61790-2022")</f>
        <v/>
      </c>
      <c r="W46">
        <f>HYPERLINK("https://klasma.github.io/Logging_0881/klagomålsmail/A 61790-2022 FSC-klagomål mail.docx", "A 61790-2022")</f>
        <v/>
      </c>
      <c r="X46">
        <f>HYPERLINK("https://klasma.github.io/Logging_0881/tillsyn/A 61790-2022 tillsynsbegäran.docx", "A 61790-2022")</f>
        <v/>
      </c>
      <c r="Y46">
        <f>HYPERLINK("https://klasma.github.io/Logging_0881/tillsynsmail/A 61790-2022 tillsynsbegäran mail.docx", "A 61790-2022")</f>
        <v/>
      </c>
    </row>
    <row r="47" ht="15" customHeight="1">
      <c r="A47" t="inlineStr">
        <is>
          <t>A 30666-2021</t>
        </is>
      </c>
      <c r="B47" s="1" t="n">
        <v>44365</v>
      </c>
      <c r="C47" s="1" t="n">
        <v>46088</v>
      </c>
      <c r="D47" t="inlineStr">
        <is>
          <t>KALMAR LÄN</t>
        </is>
      </c>
      <c r="E47" t="inlineStr">
        <is>
          <t>NYBRO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HYPERLINK("https://klasma.github.io/Logging_0881/artfynd/A 30666-2021 artfynd.xlsx", "A 30666-2021")</f>
        <v/>
      </c>
      <c r="T47">
        <f>HYPERLINK("https://klasma.github.io/Logging_0881/kartor/A 30666-2021 karta.png", "A 30666-2021")</f>
        <v/>
      </c>
      <c r="V47">
        <f>HYPERLINK("https://klasma.github.io/Logging_0881/klagomål/A 30666-2021 FSC-klagomål.docx", "A 30666-2021")</f>
        <v/>
      </c>
      <c r="W47">
        <f>HYPERLINK("https://klasma.github.io/Logging_0881/klagomålsmail/A 30666-2021 FSC-klagomål mail.docx", "A 30666-2021")</f>
        <v/>
      </c>
      <c r="X47">
        <f>HYPERLINK("https://klasma.github.io/Logging_0881/tillsyn/A 30666-2021 tillsynsbegäran.docx", "A 30666-2021")</f>
        <v/>
      </c>
      <c r="Y47">
        <f>HYPERLINK("https://klasma.github.io/Logging_0881/tillsynsmail/A 30666-2021 tillsynsbegäran mail.docx", "A 30666-2021")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46088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54216-2024</t>
        </is>
      </c>
      <c r="B49" s="1" t="n">
        <v>45616.66118055556</v>
      </c>
      <c r="C49" s="1" t="n">
        <v>46088</v>
      </c>
      <c r="D49" t="inlineStr">
        <is>
          <t>KALMAR LÄN</t>
        </is>
      </c>
      <c r="E49" t="inlineStr">
        <is>
          <t>NYBRO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HYPERLINK("https://klasma.github.io/Logging_0881/artfynd/A 54216-2024 artfynd.xlsx", "A 54216-2024")</f>
        <v/>
      </c>
      <c r="T49">
        <f>HYPERLINK("https://klasma.github.io/Logging_0881/kartor/A 54216-2024 karta.png", "A 54216-2024")</f>
        <v/>
      </c>
      <c r="V49">
        <f>HYPERLINK("https://klasma.github.io/Logging_0881/klagomål/A 54216-2024 FSC-klagomål.docx", "A 54216-2024")</f>
        <v/>
      </c>
      <c r="W49">
        <f>HYPERLINK("https://klasma.github.io/Logging_0881/klagomålsmail/A 54216-2024 FSC-klagomål mail.docx", "A 54216-2024")</f>
        <v/>
      </c>
      <c r="X49">
        <f>HYPERLINK("https://klasma.github.io/Logging_0881/tillsyn/A 54216-2024 tillsynsbegäran.docx", "A 54216-2024")</f>
        <v/>
      </c>
      <c r="Y49">
        <f>HYPERLINK("https://klasma.github.io/Logging_0881/tillsynsmail/A 54216-2024 tillsynsbegäran mail.docx", "A 54216-2024")</f>
        <v/>
      </c>
      <c r="Z49">
        <f>HYPERLINK("https://klasma.github.io/Logging_0881/fåglar/A 54216-2024 prioriterade fågelarter.docx", "A 54216-2024")</f>
        <v/>
      </c>
    </row>
    <row r="50" ht="15" customHeight="1">
      <c r="A50" t="inlineStr">
        <is>
          <t>A 35002-2025</t>
        </is>
      </c>
      <c r="B50" s="1" t="n">
        <v>45850.60619212963</v>
      </c>
      <c r="C50" s="1" t="n">
        <v>46088</v>
      </c>
      <c r="D50" t="inlineStr">
        <is>
          <t>KALMAR LÄN</t>
        </is>
      </c>
      <c r="E50" t="inlineStr">
        <is>
          <t>NYBRO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HYPERLINK("https://klasma.github.io/Logging_0881/artfynd/A 35002-2025 artfynd.xlsx", "A 35002-2025")</f>
        <v/>
      </c>
      <c r="T50">
        <f>HYPERLINK("https://klasma.github.io/Logging_0881/kartor/A 35002-2025 karta.png", "A 35002-2025")</f>
        <v/>
      </c>
      <c r="U50">
        <f>HYPERLINK("https://klasma.github.io/Logging_0881/knärot/A 35002-2025 karta knärot.png", "A 35002-2025")</f>
        <v/>
      </c>
      <c r="V50">
        <f>HYPERLINK("https://klasma.github.io/Logging_0881/klagomål/A 35002-2025 FSC-klagomål.docx", "A 35002-2025")</f>
        <v/>
      </c>
      <c r="W50">
        <f>HYPERLINK("https://klasma.github.io/Logging_0881/klagomålsmail/A 35002-2025 FSC-klagomål mail.docx", "A 35002-2025")</f>
        <v/>
      </c>
      <c r="X50">
        <f>HYPERLINK("https://klasma.github.io/Logging_0881/tillsyn/A 35002-2025 tillsynsbegäran.docx", "A 35002-2025")</f>
        <v/>
      </c>
      <c r="Y50">
        <f>HYPERLINK("https://klasma.github.io/Logging_0881/tillsynsmail/A 35002-2025 tillsynsbegäran mail.docx", "A 35002-2025")</f>
        <v/>
      </c>
    </row>
    <row r="51" ht="15" customHeight="1">
      <c r="A51" t="inlineStr">
        <is>
          <t>A 35964-2025</t>
        </is>
      </c>
      <c r="B51" s="1" t="n">
        <v>45863.39380787037</v>
      </c>
      <c r="C51" s="1" t="n">
        <v>46088</v>
      </c>
      <c r="D51" t="inlineStr">
        <is>
          <t>KALMAR LÄN</t>
        </is>
      </c>
      <c r="E51" t="inlineStr">
        <is>
          <t>NYBRO</t>
        </is>
      </c>
      <c r="G51" t="n">
        <v>1.6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Hartmansstarr</t>
        </is>
      </c>
      <c r="S51">
        <f>HYPERLINK("https://klasma.github.io/Logging_0881/artfynd/A 35964-2025 artfynd.xlsx", "A 35964-2025")</f>
        <v/>
      </c>
      <c r="T51">
        <f>HYPERLINK("https://klasma.github.io/Logging_0881/kartor/A 35964-2025 karta.png", "A 35964-2025")</f>
        <v/>
      </c>
      <c r="V51">
        <f>HYPERLINK("https://klasma.github.io/Logging_0881/klagomål/A 35964-2025 FSC-klagomål.docx", "A 35964-2025")</f>
        <v/>
      </c>
      <c r="W51">
        <f>HYPERLINK("https://klasma.github.io/Logging_0881/klagomålsmail/A 35964-2025 FSC-klagomål mail.docx", "A 35964-2025")</f>
        <v/>
      </c>
      <c r="X51">
        <f>HYPERLINK("https://klasma.github.io/Logging_0881/tillsyn/A 35964-2025 tillsynsbegäran.docx", "A 35964-2025")</f>
        <v/>
      </c>
      <c r="Y51">
        <f>HYPERLINK("https://klasma.github.io/Logging_0881/tillsynsmail/A 35964-2025 tillsynsbegäran mail.docx", "A 35964-2025")</f>
        <v/>
      </c>
    </row>
    <row r="52" ht="15" customHeight="1">
      <c r="A52" t="inlineStr">
        <is>
          <t>A 51473-2024</t>
        </is>
      </c>
      <c r="B52" s="1" t="n">
        <v>45604.50471064815</v>
      </c>
      <c r="C52" s="1" t="n">
        <v>46088</v>
      </c>
      <c r="D52" t="inlineStr">
        <is>
          <t>KALMAR LÄN</t>
        </is>
      </c>
      <c r="E52" t="inlineStr">
        <is>
          <t>NYBRO</t>
        </is>
      </c>
      <c r="G52" t="n">
        <v>3.4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Orre</t>
        </is>
      </c>
      <c r="S52">
        <f>HYPERLINK("https://klasma.github.io/Logging_0881/artfynd/A 51473-2024 artfynd.xlsx", "A 51473-2024")</f>
        <v/>
      </c>
      <c r="T52">
        <f>HYPERLINK("https://klasma.github.io/Logging_0881/kartor/A 51473-2024 karta.png", "A 51473-2024")</f>
        <v/>
      </c>
      <c r="V52">
        <f>HYPERLINK("https://klasma.github.io/Logging_0881/klagomål/A 51473-2024 FSC-klagomål.docx", "A 51473-2024")</f>
        <v/>
      </c>
      <c r="W52">
        <f>HYPERLINK("https://klasma.github.io/Logging_0881/klagomålsmail/A 51473-2024 FSC-klagomål mail.docx", "A 51473-2024")</f>
        <v/>
      </c>
      <c r="X52">
        <f>HYPERLINK("https://klasma.github.io/Logging_0881/tillsyn/A 51473-2024 tillsynsbegäran.docx", "A 51473-2024")</f>
        <v/>
      </c>
      <c r="Y52">
        <f>HYPERLINK("https://klasma.github.io/Logging_0881/tillsynsmail/A 51473-2024 tillsynsbegäran mail.docx", "A 51473-2024")</f>
        <v/>
      </c>
      <c r="Z52">
        <f>HYPERLINK("https://klasma.github.io/Logging_0881/fåglar/A 51473-2024 prioriterade fågelarter.docx", "A 51473-2024")</f>
        <v/>
      </c>
    </row>
    <row r="53" ht="15" customHeight="1">
      <c r="A53" t="inlineStr">
        <is>
          <t>A 6061-2025</t>
        </is>
      </c>
      <c r="B53" s="1" t="n">
        <v>45695.93015046296</v>
      </c>
      <c r="C53" s="1" t="n">
        <v>46088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6061-2025 artfynd.xlsx", "A 6061-2025")</f>
        <v/>
      </c>
      <c r="T53">
        <f>HYPERLINK("https://klasma.github.io/Logging_0881/kartor/A 6061-2025 karta.png", "A 6061-2025")</f>
        <v/>
      </c>
      <c r="V53">
        <f>HYPERLINK("https://klasma.github.io/Logging_0881/klagomål/A 6061-2025 FSC-klagomål.docx", "A 6061-2025")</f>
        <v/>
      </c>
      <c r="W53">
        <f>HYPERLINK("https://klasma.github.io/Logging_0881/klagomålsmail/A 6061-2025 FSC-klagomål mail.docx", "A 6061-2025")</f>
        <v/>
      </c>
      <c r="X53">
        <f>HYPERLINK("https://klasma.github.io/Logging_0881/tillsyn/A 6061-2025 tillsynsbegäran.docx", "A 6061-2025")</f>
        <v/>
      </c>
      <c r="Y53">
        <f>HYPERLINK("https://klasma.github.io/Logging_0881/tillsynsmail/A 6061-2025 tillsynsbegäran mail.docx", "A 6061-2025")</f>
        <v/>
      </c>
    </row>
    <row r="54" ht="15" customHeight="1">
      <c r="A54" t="inlineStr">
        <is>
          <t>A 27346-2023</t>
        </is>
      </c>
      <c r="B54" s="1" t="n">
        <v>45096</v>
      </c>
      <c r="C54" s="1" t="n">
        <v>46088</v>
      </c>
      <c r="D54" t="inlineStr">
        <is>
          <t>KALMAR LÄN</t>
        </is>
      </c>
      <c r="E54" t="inlineStr">
        <is>
          <t>NYBRO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Blanksvart trämyra</t>
        </is>
      </c>
      <c r="S54">
        <f>HYPERLINK("https://klasma.github.io/Logging_0881/artfynd/A 27346-2023 artfynd.xlsx", "A 27346-2023")</f>
        <v/>
      </c>
      <c r="T54">
        <f>HYPERLINK("https://klasma.github.io/Logging_0881/kartor/A 27346-2023 karta.png", "A 27346-2023")</f>
        <v/>
      </c>
      <c r="V54">
        <f>HYPERLINK("https://klasma.github.io/Logging_0881/klagomål/A 27346-2023 FSC-klagomål.docx", "A 27346-2023")</f>
        <v/>
      </c>
      <c r="W54">
        <f>HYPERLINK("https://klasma.github.io/Logging_0881/klagomålsmail/A 27346-2023 FSC-klagomål mail.docx", "A 27346-2023")</f>
        <v/>
      </c>
      <c r="X54">
        <f>HYPERLINK("https://klasma.github.io/Logging_0881/tillsyn/A 27346-2023 tillsynsbegäran.docx", "A 27346-2023")</f>
        <v/>
      </c>
      <c r="Y54">
        <f>HYPERLINK("https://klasma.github.io/Logging_0881/tillsynsmail/A 27346-2023 tillsynsbegäran mail.docx", "A 27346-2023")</f>
        <v/>
      </c>
    </row>
    <row r="55" ht="15" customHeight="1">
      <c r="A55" t="inlineStr">
        <is>
          <t>A 16715-2025</t>
        </is>
      </c>
      <c r="B55" s="1" t="n">
        <v>45754.48619212963</v>
      </c>
      <c r="C55" s="1" t="n">
        <v>46088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brunfladdermus</t>
        </is>
      </c>
      <c r="S55">
        <f>HYPERLINK("https://klasma.github.io/Logging_0881/artfynd/A 16715-2025 artfynd.xlsx", "A 16715-2025")</f>
        <v/>
      </c>
      <c r="T55">
        <f>HYPERLINK("https://klasma.github.io/Logging_0881/kartor/A 16715-2025 karta.png", "A 16715-2025")</f>
        <v/>
      </c>
      <c r="V55">
        <f>HYPERLINK("https://klasma.github.io/Logging_0881/klagomål/A 16715-2025 FSC-klagomål.docx", "A 16715-2025")</f>
        <v/>
      </c>
      <c r="W55">
        <f>HYPERLINK("https://klasma.github.io/Logging_0881/klagomålsmail/A 16715-2025 FSC-klagomål mail.docx", "A 16715-2025")</f>
        <v/>
      </c>
      <c r="X55">
        <f>HYPERLINK("https://klasma.github.io/Logging_0881/tillsyn/A 16715-2025 tillsynsbegäran.docx", "A 16715-2025")</f>
        <v/>
      </c>
      <c r="Y55">
        <f>HYPERLINK("https://klasma.github.io/Logging_0881/tillsynsmail/A 16715-2025 tillsynsbegäran mail.docx", "A 16715-2025")</f>
        <v/>
      </c>
    </row>
    <row r="56" ht="15" customHeight="1">
      <c r="A56" t="inlineStr">
        <is>
          <t>A 18404-2023</t>
        </is>
      </c>
      <c r="B56" s="1" t="n">
        <v>45042</v>
      </c>
      <c r="C56" s="1" t="n">
        <v>46088</v>
      </c>
      <c r="D56" t="inlineStr">
        <is>
          <t>KALMAR LÄN</t>
        </is>
      </c>
      <c r="E56" t="inlineStr">
        <is>
          <t>NYBRO</t>
        </is>
      </c>
      <c r="G56" t="n">
        <v>5.3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HYPERLINK("https://klasma.github.io/Logging_0881/artfynd/A 18404-2023 artfynd.xlsx", "A 18404-2023")</f>
        <v/>
      </c>
      <c r="T56">
        <f>HYPERLINK("https://klasma.github.io/Logging_0881/kartor/A 18404-2023 karta.png", "A 18404-2023")</f>
        <v/>
      </c>
      <c r="V56">
        <f>HYPERLINK("https://klasma.github.io/Logging_0881/klagomål/A 18404-2023 FSC-klagomål.docx", "A 18404-2023")</f>
        <v/>
      </c>
      <c r="W56">
        <f>HYPERLINK("https://klasma.github.io/Logging_0881/klagomålsmail/A 18404-2023 FSC-klagomål mail.docx", "A 18404-2023")</f>
        <v/>
      </c>
      <c r="X56">
        <f>HYPERLINK("https://klasma.github.io/Logging_0881/tillsyn/A 18404-2023 tillsynsbegäran.docx", "A 18404-2023")</f>
        <v/>
      </c>
      <c r="Y56">
        <f>HYPERLINK("https://klasma.github.io/Logging_0881/tillsynsmail/A 18404-2023 tillsynsbegäran mail.docx", "A 18404-2023")</f>
        <v/>
      </c>
      <c r="Z56">
        <f>HYPERLINK("https://klasma.github.io/Logging_0881/fåglar/A 18404-2023 prioriterade fågelarter.docx", "A 18404-2023")</f>
        <v/>
      </c>
    </row>
    <row r="57" ht="15" customHeight="1">
      <c r="A57" t="inlineStr">
        <is>
          <t>A 60746-2025</t>
        </is>
      </c>
      <c r="B57" s="1" t="n">
        <v>45999.37929398148</v>
      </c>
      <c r="C57" s="1" t="n">
        <v>46088</v>
      </c>
      <c r="D57" t="inlineStr">
        <is>
          <t>KALMAR LÄN</t>
        </is>
      </c>
      <c r="E57" t="inlineStr">
        <is>
          <t>NYBRO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träfjäril</t>
        </is>
      </c>
      <c r="S57">
        <f>HYPERLINK("https://klasma.github.io/Logging_0881/artfynd/A 60746-2025 artfynd.xlsx", "A 60746-2025")</f>
        <v/>
      </c>
      <c r="T57">
        <f>HYPERLINK("https://klasma.github.io/Logging_0881/kartor/A 60746-2025 karta.png", "A 60746-2025")</f>
        <v/>
      </c>
      <c r="V57">
        <f>HYPERLINK("https://klasma.github.io/Logging_0881/klagomål/A 60746-2025 FSC-klagomål.docx", "A 60746-2025")</f>
        <v/>
      </c>
      <c r="W57">
        <f>HYPERLINK("https://klasma.github.io/Logging_0881/klagomålsmail/A 60746-2025 FSC-klagomål mail.docx", "A 60746-2025")</f>
        <v/>
      </c>
      <c r="X57">
        <f>HYPERLINK("https://klasma.github.io/Logging_0881/tillsyn/A 60746-2025 tillsynsbegäran.docx", "A 60746-2025")</f>
        <v/>
      </c>
      <c r="Y57">
        <f>HYPERLINK("https://klasma.github.io/Logging_0881/tillsynsmail/A 60746-2025 tillsynsbegäran mail.docx", "A 60746-2025")</f>
        <v/>
      </c>
    </row>
    <row r="58" ht="15" customHeight="1">
      <c r="A58" t="inlineStr">
        <is>
          <t>A 11358-2026</t>
        </is>
      </c>
      <c r="B58" s="1" t="n">
        <v>46083.34300925926</v>
      </c>
      <c r="C58" s="1" t="n">
        <v>46088</v>
      </c>
      <c r="D58" t="inlineStr">
        <is>
          <t>KALMAR LÄN</t>
        </is>
      </c>
      <c r="E58" t="inlineStr">
        <is>
          <t>NYBRO</t>
        </is>
      </c>
      <c r="G58" t="n">
        <v>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Revig blodrot</t>
        </is>
      </c>
      <c r="S58">
        <f>HYPERLINK("https://klasma.github.io/Logging_0881/artfynd/A 11358-2026 artfynd.xlsx", "A 11358-2026")</f>
        <v/>
      </c>
      <c r="T58">
        <f>HYPERLINK("https://klasma.github.io/Logging_0881/kartor/A 11358-2026 karta.png", "A 11358-2026")</f>
        <v/>
      </c>
      <c r="V58">
        <f>HYPERLINK("https://klasma.github.io/Logging_0881/klagomål/A 11358-2026 FSC-klagomål.docx", "A 11358-2026")</f>
        <v/>
      </c>
      <c r="W58">
        <f>HYPERLINK("https://klasma.github.io/Logging_0881/klagomålsmail/A 11358-2026 FSC-klagomål mail.docx", "A 11358-2026")</f>
        <v/>
      </c>
      <c r="X58">
        <f>HYPERLINK("https://klasma.github.io/Logging_0881/tillsyn/A 11358-2026 tillsynsbegäran.docx", "A 11358-2026")</f>
        <v/>
      </c>
      <c r="Y58">
        <f>HYPERLINK("https://klasma.github.io/Logging_0881/tillsynsmail/A 11358-2026 tillsynsbegäran mail.docx", "A 11358-2026")</f>
        <v/>
      </c>
    </row>
    <row r="59" ht="15" customHeight="1">
      <c r="A59" t="inlineStr">
        <is>
          <t>A 61617-2025</t>
        </is>
      </c>
      <c r="B59" s="1" t="n">
        <v>46002.38959490741</v>
      </c>
      <c r="C59" s="1" t="n">
        <v>46088</v>
      </c>
      <c r="D59" t="inlineStr">
        <is>
          <t>KALMAR LÄN</t>
        </is>
      </c>
      <c r="E59" t="inlineStr">
        <is>
          <t>NYBRO</t>
        </is>
      </c>
      <c r="G59" t="n">
        <v>2.8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Orangefläckig brunbagge</t>
        </is>
      </c>
      <c r="S59">
        <f>HYPERLINK("https://klasma.github.io/Logging_0881/artfynd/A 61617-2025 artfynd.xlsx", "A 61617-2025")</f>
        <v/>
      </c>
      <c r="T59">
        <f>HYPERLINK("https://klasma.github.io/Logging_0881/kartor/A 61617-2025 karta.png", "A 61617-2025")</f>
        <v/>
      </c>
      <c r="V59">
        <f>HYPERLINK("https://klasma.github.io/Logging_0881/klagomål/A 61617-2025 FSC-klagomål.docx", "A 61617-2025")</f>
        <v/>
      </c>
      <c r="W59">
        <f>HYPERLINK("https://klasma.github.io/Logging_0881/klagomålsmail/A 61617-2025 FSC-klagomål mail.docx", "A 61617-2025")</f>
        <v/>
      </c>
      <c r="X59">
        <f>HYPERLINK("https://klasma.github.io/Logging_0881/tillsyn/A 61617-2025 tillsynsbegäran.docx", "A 61617-2025")</f>
        <v/>
      </c>
      <c r="Y59">
        <f>HYPERLINK("https://klasma.github.io/Logging_0881/tillsynsmail/A 61617-2025 tillsynsbegäran mail.docx", "A 61617-2025")</f>
        <v/>
      </c>
    </row>
    <row r="60" ht="15" customHeight="1">
      <c r="A60" t="inlineStr">
        <is>
          <t>A 62723-2025</t>
        </is>
      </c>
      <c r="B60" s="1" t="n">
        <v>46008.54748842592</v>
      </c>
      <c r="C60" s="1" t="n">
        <v>46088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HYPERLINK("https://klasma.github.io/Logging_0881/artfynd/A 62723-2025 artfynd.xlsx", "A 62723-2025")</f>
        <v/>
      </c>
      <c r="T60">
        <f>HYPERLINK("https://klasma.github.io/Logging_0881/kartor/A 62723-2025 karta.png", "A 62723-2025")</f>
        <v/>
      </c>
      <c r="V60">
        <f>HYPERLINK("https://klasma.github.io/Logging_0881/klagomål/A 62723-2025 FSC-klagomål.docx", "A 62723-2025")</f>
        <v/>
      </c>
      <c r="W60">
        <f>HYPERLINK("https://klasma.github.io/Logging_0881/klagomålsmail/A 62723-2025 FSC-klagomål mail.docx", "A 62723-2025")</f>
        <v/>
      </c>
      <c r="X60">
        <f>HYPERLINK("https://klasma.github.io/Logging_0881/tillsyn/A 62723-2025 tillsynsbegäran.docx", "A 62723-2025")</f>
        <v/>
      </c>
      <c r="Y60">
        <f>HYPERLINK("https://klasma.github.io/Logging_0881/tillsynsmail/A 62723-2025 tillsynsbegäran mail.docx", "A 62723-2025")</f>
        <v/>
      </c>
    </row>
    <row r="61" ht="15" customHeight="1">
      <c r="A61" t="inlineStr">
        <is>
          <t>A 7041-2026</t>
        </is>
      </c>
      <c r="B61" s="1" t="n">
        <v>46057.69800925926</v>
      </c>
      <c r="C61" s="1" t="n">
        <v>46088</v>
      </c>
      <c r="D61" t="inlineStr">
        <is>
          <t>KALMAR LÄN</t>
        </is>
      </c>
      <c r="E61" t="inlineStr">
        <is>
          <t>NYBRO</t>
        </is>
      </c>
      <c r="G61" t="n">
        <v>5.8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flatbagge</t>
        </is>
      </c>
      <c r="S61">
        <f>HYPERLINK("https://klasma.github.io/Logging_0881/artfynd/A 7041-2026 artfynd.xlsx", "A 7041-2026")</f>
        <v/>
      </c>
      <c r="T61">
        <f>HYPERLINK("https://klasma.github.io/Logging_0881/kartor/A 7041-2026 karta.png", "A 7041-2026")</f>
        <v/>
      </c>
      <c r="V61">
        <f>HYPERLINK("https://klasma.github.io/Logging_0881/klagomål/A 7041-2026 FSC-klagomål.docx", "A 7041-2026")</f>
        <v/>
      </c>
      <c r="W61">
        <f>HYPERLINK("https://klasma.github.io/Logging_0881/klagomålsmail/A 7041-2026 FSC-klagomål mail.docx", "A 7041-2026")</f>
        <v/>
      </c>
      <c r="X61">
        <f>HYPERLINK("https://klasma.github.io/Logging_0881/tillsyn/A 7041-2026 tillsynsbegäran.docx", "A 7041-2026")</f>
        <v/>
      </c>
      <c r="Y61">
        <f>HYPERLINK("https://klasma.github.io/Logging_0881/tillsynsmail/A 7041-2026 tillsynsbegäran mail.docx", "A 7041-2026")</f>
        <v/>
      </c>
    </row>
    <row r="62" ht="15" customHeight="1">
      <c r="A62" t="inlineStr">
        <is>
          <t>A 7038-2026</t>
        </is>
      </c>
      <c r="B62" s="1" t="n">
        <v>46057.69100694444</v>
      </c>
      <c r="C62" s="1" t="n">
        <v>46088</v>
      </c>
      <c r="D62" t="inlineStr">
        <is>
          <t>KALMAR LÄN</t>
        </is>
      </c>
      <c r="E62" t="inlineStr">
        <is>
          <t>NYBRO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HYPERLINK("https://klasma.github.io/Logging_0881/artfynd/A 7038-2026 artfynd.xlsx", "A 7038-2026")</f>
        <v/>
      </c>
      <c r="T62">
        <f>HYPERLINK("https://klasma.github.io/Logging_0881/kartor/A 7038-2026 karta.png", "A 7038-2026")</f>
        <v/>
      </c>
      <c r="V62">
        <f>HYPERLINK("https://klasma.github.io/Logging_0881/klagomål/A 7038-2026 FSC-klagomål.docx", "A 7038-2026")</f>
        <v/>
      </c>
      <c r="W62">
        <f>HYPERLINK("https://klasma.github.io/Logging_0881/klagomålsmail/A 7038-2026 FSC-klagomål mail.docx", "A 7038-2026")</f>
        <v/>
      </c>
      <c r="X62">
        <f>HYPERLINK("https://klasma.github.io/Logging_0881/tillsyn/A 7038-2026 tillsynsbegäran.docx", "A 7038-2026")</f>
        <v/>
      </c>
      <c r="Y62">
        <f>HYPERLINK("https://klasma.github.io/Logging_0881/tillsynsmail/A 7038-2026 tillsynsbegäran mail.docx", "A 7038-2026")</f>
        <v/>
      </c>
    </row>
    <row r="63" ht="15" customHeight="1">
      <c r="A63" t="inlineStr">
        <is>
          <t>A 10641-2025</t>
        </is>
      </c>
      <c r="B63" s="1" t="n">
        <v>45721.65631944445</v>
      </c>
      <c r="C63" s="1" t="n">
        <v>46088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10641-2025 artfynd.xlsx", "A 10641-2025")</f>
        <v/>
      </c>
      <c r="T63">
        <f>HYPERLINK("https://klasma.github.io/Logging_0881/kartor/A 10641-2025 karta.png", "A 10641-2025")</f>
        <v/>
      </c>
      <c r="V63">
        <f>HYPERLINK("https://klasma.github.io/Logging_0881/klagomål/A 10641-2025 FSC-klagomål.docx", "A 10641-2025")</f>
        <v/>
      </c>
      <c r="W63">
        <f>HYPERLINK("https://klasma.github.io/Logging_0881/klagomålsmail/A 10641-2025 FSC-klagomål mail.docx", "A 10641-2025")</f>
        <v/>
      </c>
      <c r="X63">
        <f>HYPERLINK("https://klasma.github.io/Logging_0881/tillsyn/A 10641-2025 tillsynsbegäran.docx", "A 10641-2025")</f>
        <v/>
      </c>
      <c r="Y63">
        <f>HYPERLINK("https://klasma.github.io/Logging_0881/tillsynsmail/A 10641-2025 tillsynsbegäran mail.docx", "A 10641-2025")</f>
        <v/>
      </c>
    </row>
    <row r="64" ht="15" customHeight="1">
      <c r="A64" t="inlineStr">
        <is>
          <t>A 22952-2024</t>
        </is>
      </c>
      <c r="B64" s="1" t="n">
        <v>45449.38423611111</v>
      </c>
      <c r="C64" s="1" t="n">
        <v>46088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22952-2024 artfynd.xlsx", "A 22952-2024")</f>
        <v/>
      </c>
      <c r="T64">
        <f>HYPERLINK("https://klasma.github.io/Logging_0881/kartor/A 22952-2024 karta.png", "A 22952-2024")</f>
        <v/>
      </c>
      <c r="V64">
        <f>HYPERLINK("https://klasma.github.io/Logging_0881/klagomål/A 22952-2024 FSC-klagomål.docx", "A 22952-2024")</f>
        <v/>
      </c>
      <c r="W64">
        <f>HYPERLINK("https://klasma.github.io/Logging_0881/klagomålsmail/A 22952-2024 FSC-klagomål mail.docx", "A 22952-2024")</f>
        <v/>
      </c>
      <c r="X64">
        <f>HYPERLINK("https://klasma.github.io/Logging_0881/tillsyn/A 22952-2024 tillsynsbegäran.docx", "A 22952-2024")</f>
        <v/>
      </c>
      <c r="Y64">
        <f>HYPERLINK("https://klasma.github.io/Logging_0881/tillsynsmail/A 22952-2024 tillsynsbegäran mail.docx", "A 22952-2024")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46088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61771-2022</t>
        </is>
      </c>
      <c r="B66" s="1" t="n">
        <v>44917</v>
      </c>
      <c r="C66" s="1" t="n">
        <v>46088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10.4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61771-2022 artfynd.xlsx", "A 61771-2022")</f>
        <v/>
      </c>
      <c r="T66">
        <f>HYPERLINK("https://klasma.github.io/Logging_0881/kartor/A 61771-2022 karta.png", "A 61771-2022")</f>
        <v/>
      </c>
      <c r="V66">
        <f>HYPERLINK("https://klasma.github.io/Logging_0881/klagomål/A 61771-2022 FSC-klagomål.docx", "A 61771-2022")</f>
        <v/>
      </c>
      <c r="W66">
        <f>HYPERLINK("https://klasma.github.io/Logging_0881/klagomålsmail/A 61771-2022 FSC-klagomål mail.docx", "A 61771-2022")</f>
        <v/>
      </c>
      <c r="X66">
        <f>HYPERLINK("https://klasma.github.io/Logging_0881/tillsyn/A 61771-2022 tillsynsbegäran.docx", "A 61771-2022")</f>
        <v/>
      </c>
      <c r="Y66">
        <f>HYPERLINK("https://klasma.github.io/Logging_0881/tillsynsmail/A 61771-2022 tillsynsbegäran mail.docx", "A 61771-2022")</f>
        <v/>
      </c>
      <c r="Z66">
        <f>HYPERLINK("https://klasma.github.io/Logging_0881/fåglar/A 61771-2022 prioriterade fågelarter.docx", "A 61771-2022")</f>
        <v/>
      </c>
    </row>
    <row r="67" ht="15" customHeight="1">
      <c r="A67" t="inlineStr">
        <is>
          <t>A 53841-2024</t>
        </is>
      </c>
      <c r="B67" s="1" t="n">
        <v>45615.62699074074</v>
      </c>
      <c r="C67" s="1" t="n">
        <v>46088</v>
      </c>
      <c r="D67" t="inlineStr">
        <is>
          <t>KALMAR LÄN</t>
        </is>
      </c>
      <c r="E67" t="inlineStr">
        <is>
          <t>NYBRO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HYPERLINK("https://klasma.github.io/Logging_0881/artfynd/A 53841-2024 artfynd.xlsx", "A 53841-2024")</f>
        <v/>
      </c>
      <c r="T67">
        <f>HYPERLINK("https://klasma.github.io/Logging_0881/kartor/A 53841-2024 karta.png", "A 53841-2024")</f>
        <v/>
      </c>
      <c r="V67">
        <f>HYPERLINK("https://klasma.github.io/Logging_0881/klagomål/A 53841-2024 FSC-klagomål.docx", "A 53841-2024")</f>
        <v/>
      </c>
      <c r="W67">
        <f>HYPERLINK("https://klasma.github.io/Logging_0881/klagomålsmail/A 53841-2024 FSC-klagomål mail.docx", "A 53841-2024")</f>
        <v/>
      </c>
      <c r="X67">
        <f>HYPERLINK("https://klasma.github.io/Logging_0881/tillsyn/A 53841-2024 tillsynsbegäran.docx", "A 53841-2024")</f>
        <v/>
      </c>
      <c r="Y67">
        <f>HYPERLINK("https://klasma.github.io/Logging_0881/tillsynsmail/A 53841-2024 tillsynsbegäran mail.docx", "A 53841-2024")</f>
        <v/>
      </c>
    </row>
    <row r="68" ht="15" customHeight="1">
      <c r="A68" t="inlineStr">
        <is>
          <t>A 50008-2023</t>
        </is>
      </c>
      <c r="B68" s="1" t="n">
        <v>45215</v>
      </c>
      <c r="C68" s="1" t="n">
        <v>46088</v>
      </c>
      <c r="D68" t="inlineStr">
        <is>
          <t>KALMAR LÄN</t>
        </is>
      </c>
      <c r="E68" t="inlineStr">
        <is>
          <t>NYBRO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bastardsvärmare</t>
        </is>
      </c>
      <c r="S68">
        <f>HYPERLINK("https://klasma.github.io/Logging_0881/artfynd/A 50008-2023 artfynd.xlsx", "A 50008-2023")</f>
        <v/>
      </c>
      <c r="T68">
        <f>HYPERLINK("https://klasma.github.io/Logging_0881/kartor/A 50008-2023 karta.png", "A 50008-2023")</f>
        <v/>
      </c>
      <c r="V68">
        <f>HYPERLINK("https://klasma.github.io/Logging_0881/klagomål/A 50008-2023 FSC-klagomål.docx", "A 50008-2023")</f>
        <v/>
      </c>
      <c r="W68">
        <f>HYPERLINK("https://klasma.github.io/Logging_0881/klagomålsmail/A 50008-2023 FSC-klagomål mail.docx", "A 50008-2023")</f>
        <v/>
      </c>
      <c r="X68">
        <f>HYPERLINK("https://klasma.github.io/Logging_0881/tillsyn/A 50008-2023 tillsynsbegäran.docx", "A 50008-2023")</f>
        <v/>
      </c>
      <c r="Y68">
        <f>HYPERLINK("https://klasma.github.io/Logging_0881/tillsynsmail/A 50008-2023 tillsynsbegäran mail.docx", "A 50008-2023")</f>
        <v/>
      </c>
    </row>
    <row r="69" ht="15" customHeight="1">
      <c r="A69" t="inlineStr">
        <is>
          <t>A 3053-2024</t>
        </is>
      </c>
      <c r="B69" s="1" t="n">
        <v>45316</v>
      </c>
      <c r="C69" s="1" t="n">
        <v>46088</v>
      </c>
      <c r="D69" t="inlineStr">
        <is>
          <t>KALMAR LÄN</t>
        </is>
      </c>
      <c r="E69" t="inlineStr">
        <is>
          <t>NYBRO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HYPERLINK("https://klasma.github.io/Logging_0881/artfynd/A 3053-2024 artfynd.xlsx", "A 3053-2024")</f>
        <v/>
      </c>
      <c r="T69">
        <f>HYPERLINK("https://klasma.github.io/Logging_0881/kartor/A 3053-2024 karta.png", "A 3053-2024")</f>
        <v/>
      </c>
      <c r="V69">
        <f>HYPERLINK("https://klasma.github.io/Logging_0881/klagomål/A 3053-2024 FSC-klagomål.docx", "A 3053-2024")</f>
        <v/>
      </c>
      <c r="W69">
        <f>HYPERLINK("https://klasma.github.io/Logging_0881/klagomålsmail/A 3053-2024 FSC-klagomål mail.docx", "A 3053-2024")</f>
        <v/>
      </c>
      <c r="X69">
        <f>HYPERLINK("https://klasma.github.io/Logging_0881/tillsyn/A 3053-2024 tillsynsbegäran.docx", "A 3053-2024")</f>
        <v/>
      </c>
      <c r="Y69">
        <f>HYPERLINK("https://klasma.github.io/Logging_0881/tillsynsmail/A 3053-2024 tillsynsbegäran mail.docx", "A 3053-2024")</f>
        <v/>
      </c>
    </row>
    <row r="70" ht="15" customHeight="1">
      <c r="A70" t="inlineStr">
        <is>
          <t>A 46223-2024</t>
        </is>
      </c>
      <c r="B70" s="1" t="n">
        <v>45581.56951388889</v>
      </c>
      <c r="C70" s="1" t="n">
        <v>46088</v>
      </c>
      <c r="D70" t="inlineStr">
        <is>
          <t>KALMAR LÄN</t>
        </is>
      </c>
      <c r="E70" t="inlineStr">
        <is>
          <t>NYBRO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Sumpviol</t>
        </is>
      </c>
      <c r="S70">
        <f>HYPERLINK("https://klasma.github.io/Logging_0881/artfynd/A 46223-2024 artfynd.xlsx", "A 46223-2024")</f>
        <v/>
      </c>
      <c r="T70">
        <f>HYPERLINK("https://klasma.github.io/Logging_0881/kartor/A 46223-2024 karta.png", "A 46223-2024")</f>
        <v/>
      </c>
      <c r="V70">
        <f>HYPERLINK("https://klasma.github.io/Logging_0881/klagomål/A 46223-2024 FSC-klagomål.docx", "A 46223-2024")</f>
        <v/>
      </c>
      <c r="W70">
        <f>HYPERLINK("https://klasma.github.io/Logging_0881/klagomålsmail/A 46223-2024 FSC-klagomål mail.docx", "A 46223-2024")</f>
        <v/>
      </c>
      <c r="X70">
        <f>HYPERLINK("https://klasma.github.io/Logging_0881/tillsyn/A 46223-2024 tillsynsbegäran.docx", "A 46223-2024")</f>
        <v/>
      </c>
      <c r="Y70">
        <f>HYPERLINK("https://klasma.github.io/Logging_0881/tillsynsmail/A 46223-2024 tillsynsbegäran mail.docx", "A 46223-2024")</f>
        <v/>
      </c>
    </row>
    <row r="71" ht="15" customHeight="1">
      <c r="A71" t="inlineStr">
        <is>
          <t>A 1717-2024</t>
        </is>
      </c>
      <c r="B71" s="1" t="n">
        <v>45307</v>
      </c>
      <c r="C71" s="1" t="n">
        <v>46088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HYPERLINK("https://klasma.github.io/Logging_0881/artfynd/A 1717-2024 artfynd.xlsx", "A 1717-2024")</f>
        <v/>
      </c>
      <c r="T71">
        <f>HYPERLINK("https://klasma.github.io/Logging_0881/kartor/A 1717-2024 karta.png", "A 1717-2024")</f>
        <v/>
      </c>
      <c r="V71">
        <f>HYPERLINK("https://klasma.github.io/Logging_0881/klagomål/A 1717-2024 FSC-klagomål.docx", "A 1717-2024")</f>
        <v/>
      </c>
      <c r="W71">
        <f>HYPERLINK("https://klasma.github.io/Logging_0881/klagomålsmail/A 1717-2024 FSC-klagomål mail.docx", "A 1717-2024")</f>
        <v/>
      </c>
      <c r="X71">
        <f>HYPERLINK("https://klasma.github.io/Logging_0881/tillsyn/A 1717-2024 tillsynsbegäran.docx", "A 1717-2024")</f>
        <v/>
      </c>
      <c r="Y71">
        <f>HYPERLINK("https://klasma.github.io/Logging_0881/tillsynsmail/A 1717-2024 tillsynsbegäran mail.docx", "A 1717-2024")</f>
        <v/>
      </c>
    </row>
    <row r="72" ht="15" customHeight="1">
      <c r="A72" t="inlineStr">
        <is>
          <t>A 62817-2021</t>
        </is>
      </c>
      <c r="B72" s="1" t="n">
        <v>44504.50979166666</v>
      </c>
      <c r="C72" s="1" t="n">
        <v>46088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HYPERLINK("https://klasma.github.io/Logging_0881/artfynd/A 62817-2021 artfynd.xlsx", "A 62817-2021")</f>
        <v/>
      </c>
      <c r="T72">
        <f>HYPERLINK("https://klasma.github.io/Logging_0881/kartor/A 62817-2021 karta.png", "A 62817-2021")</f>
        <v/>
      </c>
      <c r="V72">
        <f>HYPERLINK("https://klasma.github.io/Logging_0881/klagomål/A 62817-2021 FSC-klagomål.docx", "A 62817-2021")</f>
        <v/>
      </c>
      <c r="W72">
        <f>HYPERLINK("https://klasma.github.io/Logging_0881/klagomålsmail/A 62817-2021 FSC-klagomål mail.docx", "A 62817-2021")</f>
        <v/>
      </c>
      <c r="X72">
        <f>HYPERLINK("https://klasma.github.io/Logging_0881/tillsyn/A 62817-2021 tillsynsbegäran.docx", "A 62817-2021")</f>
        <v/>
      </c>
      <c r="Y72">
        <f>HYPERLINK("https://klasma.github.io/Logging_0881/tillsynsmail/A 62817-2021 tillsynsbegäran mail.docx", "A 62817-2021")</f>
        <v/>
      </c>
      <c r="Z72">
        <f>HYPERLINK("https://klasma.github.io/Logging_0881/fåglar/A 62817-2021 prioriterade fågelarter.docx", "A 62817-2021")</f>
        <v/>
      </c>
    </row>
    <row r="73" ht="15" customHeight="1">
      <c r="A73" t="inlineStr">
        <is>
          <t>A 14858-2022</t>
        </is>
      </c>
      <c r="B73" s="1" t="n">
        <v>44656</v>
      </c>
      <c r="C73" s="1" t="n">
        <v>46088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Apelticka</t>
        </is>
      </c>
      <c r="S73">
        <f>HYPERLINK("https://klasma.github.io/Logging_0881/artfynd/A 14858-2022 artfynd.xlsx", "A 14858-2022")</f>
        <v/>
      </c>
      <c r="T73">
        <f>HYPERLINK("https://klasma.github.io/Logging_0881/kartor/A 14858-2022 karta.png", "A 14858-2022")</f>
        <v/>
      </c>
      <c r="V73">
        <f>HYPERLINK("https://klasma.github.io/Logging_0881/klagomål/A 14858-2022 FSC-klagomål.docx", "A 14858-2022")</f>
        <v/>
      </c>
      <c r="W73">
        <f>HYPERLINK("https://klasma.github.io/Logging_0881/klagomålsmail/A 14858-2022 FSC-klagomål mail.docx", "A 14858-2022")</f>
        <v/>
      </c>
      <c r="X73">
        <f>HYPERLINK("https://klasma.github.io/Logging_0881/tillsyn/A 14858-2022 tillsynsbegäran.docx", "A 14858-2022")</f>
        <v/>
      </c>
      <c r="Y73">
        <f>HYPERLINK("https://klasma.github.io/Logging_0881/tillsynsmail/A 14858-2022 tillsynsbegäran mail.docx", "A 14858-2022")</f>
        <v/>
      </c>
    </row>
    <row r="74" ht="15" customHeight="1">
      <c r="A74" t="inlineStr">
        <is>
          <t>A 37621-2024</t>
        </is>
      </c>
      <c r="B74" s="1" t="n">
        <v>45541.51222222222</v>
      </c>
      <c r="C74" s="1" t="n">
        <v>46088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37621-2024 artfynd.xlsx", "A 37621-2024")</f>
        <v/>
      </c>
      <c r="T74">
        <f>HYPERLINK("https://klasma.github.io/Logging_0881/kartor/A 37621-2024 karta.png", "A 37621-2024")</f>
        <v/>
      </c>
      <c r="V74">
        <f>HYPERLINK("https://klasma.github.io/Logging_0881/klagomål/A 37621-2024 FSC-klagomål.docx", "A 37621-2024")</f>
        <v/>
      </c>
      <c r="W74">
        <f>HYPERLINK("https://klasma.github.io/Logging_0881/klagomålsmail/A 37621-2024 FSC-klagomål mail.docx", "A 37621-2024")</f>
        <v/>
      </c>
      <c r="X74">
        <f>HYPERLINK("https://klasma.github.io/Logging_0881/tillsyn/A 37621-2024 tillsynsbegäran.docx", "A 37621-2024")</f>
        <v/>
      </c>
      <c r="Y74">
        <f>HYPERLINK("https://klasma.github.io/Logging_0881/tillsynsmail/A 37621-2024 tillsynsbegäran mail.docx", "A 37621-2024")</f>
        <v/>
      </c>
    </row>
    <row r="75" ht="15" customHeight="1">
      <c r="A75" t="inlineStr">
        <is>
          <t>A 6931-2025</t>
        </is>
      </c>
      <c r="B75" s="1" t="n">
        <v>45701.45335648148</v>
      </c>
      <c r="C75" s="1" t="n">
        <v>46088</v>
      </c>
      <c r="D75" t="inlineStr">
        <is>
          <t>KALMAR LÄN</t>
        </is>
      </c>
      <c r="E75" t="inlineStr">
        <is>
          <t>NYBRO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6931-2025 artfynd.xlsx", "A 6931-2025")</f>
        <v/>
      </c>
      <c r="T75">
        <f>HYPERLINK("https://klasma.github.io/Logging_0881/kartor/A 6931-2025 karta.png", "A 6931-2025")</f>
        <v/>
      </c>
      <c r="V75">
        <f>HYPERLINK("https://klasma.github.io/Logging_0881/klagomål/A 6931-2025 FSC-klagomål.docx", "A 6931-2025")</f>
        <v/>
      </c>
      <c r="W75">
        <f>HYPERLINK("https://klasma.github.io/Logging_0881/klagomålsmail/A 6931-2025 FSC-klagomål mail.docx", "A 6931-2025")</f>
        <v/>
      </c>
      <c r="X75">
        <f>HYPERLINK("https://klasma.github.io/Logging_0881/tillsyn/A 6931-2025 tillsynsbegäran.docx", "A 6931-2025")</f>
        <v/>
      </c>
      <c r="Y75">
        <f>HYPERLINK("https://klasma.github.io/Logging_0881/tillsynsmail/A 6931-2025 tillsynsbegäran mail.docx", "A 6931-2025")</f>
        <v/>
      </c>
    </row>
    <row r="76" ht="15" customHeight="1">
      <c r="A76" t="inlineStr">
        <is>
          <t>A 60036-2022</t>
        </is>
      </c>
      <c r="B76" s="1" t="n">
        <v>44909</v>
      </c>
      <c r="C76" s="1" t="n">
        <v>46088</v>
      </c>
      <c r="D76" t="inlineStr">
        <is>
          <t>KALMAR LÄN</t>
        </is>
      </c>
      <c r="E76" t="inlineStr">
        <is>
          <t>NYBRO</t>
        </is>
      </c>
      <c r="G76" t="n">
        <v>8.699999999999999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HYPERLINK("https://klasma.github.io/Logging_0881/artfynd/A 60036-2022 artfynd.xlsx", "A 60036-2022")</f>
        <v/>
      </c>
      <c r="T76">
        <f>HYPERLINK("https://klasma.github.io/Logging_0881/kartor/A 60036-2022 karta.png", "A 60036-2022")</f>
        <v/>
      </c>
      <c r="U76">
        <f>HYPERLINK("https://klasma.github.io/Logging_0881/knärot/A 60036-2022 karta knärot.png", "A 60036-2022")</f>
        <v/>
      </c>
      <c r="V76">
        <f>HYPERLINK("https://klasma.github.io/Logging_0881/klagomål/A 60036-2022 FSC-klagomål.docx", "A 60036-2022")</f>
        <v/>
      </c>
      <c r="W76">
        <f>HYPERLINK("https://klasma.github.io/Logging_0881/klagomålsmail/A 60036-2022 FSC-klagomål mail.docx", "A 60036-2022")</f>
        <v/>
      </c>
      <c r="X76">
        <f>HYPERLINK("https://klasma.github.io/Logging_0881/tillsyn/A 60036-2022 tillsynsbegäran.docx", "A 60036-2022")</f>
        <v/>
      </c>
      <c r="Y76">
        <f>HYPERLINK("https://klasma.github.io/Logging_0881/tillsynsmail/A 60036-2022 tillsynsbegäran mail.docx", "A 60036-2022")</f>
        <v/>
      </c>
    </row>
    <row r="77" ht="15" customHeight="1">
      <c r="A77" t="inlineStr">
        <is>
          <t>A 26271-2021</t>
        </is>
      </c>
      <c r="B77" s="1" t="n">
        <v>44347</v>
      </c>
      <c r="C77" s="1" t="n">
        <v>46088</v>
      </c>
      <c r="D77" t="inlineStr">
        <is>
          <t>KALMAR LÄN</t>
        </is>
      </c>
      <c r="E77" t="inlineStr">
        <is>
          <t>NYBRO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46088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35402-2021</t>
        </is>
      </c>
      <c r="B79" s="1" t="n">
        <v>44385.40346064815</v>
      </c>
      <c r="C79" s="1" t="n">
        <v>46088</v>
      </c>
      <c r="D79" t="inlineStr">
        <is>
          <t>KALMAR LÄN</t>
        </is>
      </c>
      <c r="E79" t="inlineStr">
        <is>
          <t>NYBRO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13064-2021</t>
        </is>
      </c>
      <c r="B80" s="1" t="n">
        <v>44272</v>
      </c>
      <c r="C80" s="1" t="n">
        <v>46088</v>
      </c>
      <c r="D80" t="inlineStr">
        <is>
          <t>KALMAR LÄN</t>
        </is>
      </c>
      <c r="E80" t="inlineStr">
        <is>
          <t>NYBRO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17641-2021</t>
        </is>
      </c>
      <c r="B81" s="1" t="n">
        <v>44300.3625</v>
      </c>
      <c r="C81" s="1" t="n">
        <v>46088</v>
      </c>
      <c r="D81" t="inlineStr">
        <is>
          <t>KALMAR LÄN</t>
        </is>
      </c>
      <c r="E81" t="inlineStr">
        <is>
          <t>NYBRO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46088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46088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46088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46088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30243-2021</t>
        </is>
      </c>
      <c r="B86" s="1" t="n">
        <v>44363.76037037037</v>
      </c>
      <c r="C86" s="1" t="n">
        <v>46088</v>
      </c>
      <c r="D86" t="inlineStr">
        <is>
          <t>KALMAR LÄN</t>
        </is>
      </c>
      <c r="E86" t="inlineStr">
        <is>
          <t>NYBRO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46088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46088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12288-2021</t>
        </is>
      </c>
      <c r="B89" s="1" t="n">
        <v>44267.32773148148</v>
      </c>
      <c r="C89" s="1" t="n">
        <v>46088</v>
      </c>
      <c r="D89" t="inlineStr">
        <is>
          <t>KALMAR LÄN</t>
        </is>
      </c>
      <c r="E89" t="inlineStr">
        <is>
          <t>NYBRO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46088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46088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46088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46088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46088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46088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46088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55103-2021</t>
        </is>
      </c>
      <c r="B97" s="1" t="n">
        <v>44474</v>
      </c>
      <c r="C97" s="1" t="n">
        <v>46088</v>
      </c>
      <c r="D97" t="inlineStr">
        <is>
          <t>KALMAR LÄN</t>
        </is>
      </c>
      <c r="E97" t="inlineStr">
        <is>
          <t>NYBRO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46088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46088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46088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46088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46088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30600-2021</t>
        </is>
      </c>
      <c r="B103" s="1" t="n">
        <v>44365</v>
      </c>
      <c r="C103" s="1" t="n">
        <v>46088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54509-2021</t>
        </is>
      </c>
      <c r="B104" s="1" t="n">
        <v>44473.51576388889</v>
      </c>
      <c r="C104" s="1" t="n">
        <v>46088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2921-2022</t>
        </is>
      </c>
      <c r="B105" s="1" t="n">
        <v>44581</v>
      </c>
      <c r="C105" s="1" t="n">
        <v>46088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4125-2022</t>
        </is>
      </c>
      <c r="B106" s="1" t="n">
        <v>44587</v>
      </c>
      <c r="C106" s="1" t="n">
        <v>46088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14864-2022</t>
        </is>
      </c>
      <c r="B107" s="1" t="n">
        <v>44656</v>
      </c>
      <c r="C107" s="1" t="n">
        <v>46088</v>
      </c>
      <c r="D107" t="inlineStr">
        <is>
          <t>KALMAR LÄN</t>
        </is>
      </c>
      <c r="E107" t="inlineStr">
        <is>
          <t>NYBRO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45413-2022</t>
        </is>
      </c>
      <c r="B108" s="1" t="n">
        <v>44844</v>
      </c>
      <c r="C108" s="1" t="n">
        <v>46088</v>
      </c>
      <c r="D108" t="inlineStr">
        <is>
          <t>KALMAR LÄN</t>
        </is>
      </c>
      <c r="E108" t="inlineStr">
        <is>
          <t>NYBRO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38772-2022</t>
        </is>
      </c>
      <c r="B109" s="1" t="n">
        <v>44816</v>
      </c>
      <c r="C109" s="1" t="n">
        <v>46088</v>
      </c>
      <c r="D109" t="inlineStr">
        <is>
          <t>KALMAR LÄN</t>
        </is>
      </c>
      <c r="E109" t="inlineStr">
        <is>
          <t>NYBRO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46088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914-2022</t>
        </is>
      </c>
      <c r="B111" s="1" t="n">
        <v>44571.48392361111</v>
      </c>
      <c r="C111" s="1" t="n">
        <v>46088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48194-2021</t>
        </is>
      </c>
      <c r="B112" s="1" t="n">
        <v>44449.57666666667</v>
      </c>
      <c r="C112" s="1" t="n">
        <v>46088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13448-2022</t>
        </is>
      </c>
      <c r="B113" s="1" t="n">
        <v>44645.61962962963</v>
      </c>
      <c r="C113" s="1" t="n">
        <v>46088</v>
      </c>
      <c r="D113" t="inlineStr">
        <is>
          <t>KALMAR LÄN</t>
        </is>
      </c>
      <c r="E113" t="inlineStr">
        <is>
          <t>NYBRO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370-2022</t>
        </is>
      </c>
      <c r="B114" s="1" t="n">
        <v>44565</v>
      </c>
      <c r="C114" s="1" t="n">
        <v>46088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19573-2021</t>
        </is>
      </c>
      <c r="B115" s="1" t="n">
        <v>44312.52064814815</v>
      </c>
      <c r="C115" s="1" t="n">
        <v>46088</v>
      </c>
      <c r="D115" t="inlineStr">
        <is>
          <t>KALMAR LÄN</t>
        </is>
      </c>
      <c r="E115" t="inlineStr">
        <is>
          <t>NYBRO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46088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4983-2022</t>
        </is>
      </c>
      <c r="B117" s="1" t="n">
        <v>44593.58975694444</v>
      </c>
      <c r="C117" s="1" t="n">
        <v>46088</v>
      </c>
      <c r="D117" t="inlineStr">
        <is>
          <t>KALMAR LÄN</t>
        </is>
      </c>
      <c r="E117" t="inlineStr">
        <is>
          <t>NYBRO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42465-2022</t>
        </is>
      </c>
      <c r="B118" s="1" t="n">
        <v>44831.51668981482</v>
      </c>
      <c r="C118" s="1" t="n">
        <v>46088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44477-2022</t>
        </is>
      </c>
      <c r="B119" s="1" t="n">
        <v>44840</v>
      </c>
      <c r="C119" s="1" t="n">
        <v>46088</v>
      </c>
      <c r="D119" t="inlineStr">
        <is>
          <t>KALMAR LÄN</t>
        </is>
      </c>
      <c r="E119" t="inlineStr">
        <is>
          <t>NYBRO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32551-2022</t>
        </is>
      </c>
      <c r="B120" s="1" t="n">
        <v>44783</v>
      </c>
      <c r="C120" s="1" t="n">
        <v>46088</v>
      </c>
      <c r="D120" t="inlineStr">
        <is>
          <t>KALMAR LÄN</t>
        </is>
      </c>
      <c r="E120" t="inlineStr">
        <is>
          <t>NYBRO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30714-2021</t>
        </is>
      </c>
      <c r="B121" s="1" t="n">
        <v>44365</v>
      </c>
      <c r="C121" s="1" t="n">
        <v>46088</v>
      </c>
      <c r="D121" t="inlineStr">
        <is>
          <t>KALMAR LÄN</t>
        </is>
      </c>
      <c r="E121" t="inlineStr">
        <is>
          <t>NYBRO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32627-2021</t>
        </is>
      </c>
      <c r="B122" s="1" t="n">
        <v>44375.42613425926</v>
      </c>
      <c r="C122" s="1" t="n">
        <v>46088</v>
      </c>
      <c r="D122" t="inlineStr">
        <is>
          <t>KALMAR LÄN</t>
        </is>
      </c>
      <c r="E122" t="inlineStr">
        <is>
          <t>NYBRO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31499-2021</t>
        </is>
      </c>
      <c r="B123" s="1" t="n">
        <v>44369</v>
      </c>
      <c r="C123" s="1" t="n">
        <v>46088</v>
      </c>
      <c r="D123" t="inlineStr">
        <is>
          <t>KALMAR LÄN</t>
        </is>
      </c>
      <c r="E123" t="inlineStr">
        <is>
          <t>NYBRO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493-2022</t>
        </is>
      </c>
      <c r="B124" s="1" t="n">
        <v>44566</v>
      </c>
      <c r="C124" s="1" t="n">
        <v>46088</v>
      </c>
      <c r="D124" t="inlineStr">
        <is>
          <t>KALMAR LÄN</t>
        </is>
      </c>
      <c r="E124" t="inlineStr">
        <is>
          <t>NYBRO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22913-2021</t>
        </is>
      </c>
      <c r="B125" s="1" t="n">
        <v>44328</v>
      </c>
      <c r="C125" s="1" t="n">
        <v>46088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18077-2022</t>
        </is>
      </c>
      <c r="B126" s="1" t="n">
        <v>44684</v>
      </c>
      <c r="C126" s="1" t="n">
        <v>46088</v>
      </c>
      <c r="D126" t="inlineStr">
        <is>
          <t>KALMAR LÄN</t>
        </is>
      </c>
      <c r="E126" t="inlineStr">
        <is>
          <t>NYBRO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26176-2021</t>
        </is>
      </c>
      <c r="B127" s="1" t="n">
        <v>44347</v>
      </c>
      <c r="C127" s="1" t="n">
        <v>46088</v>
      </c>
      <c r="D127" t="inlineStr">
        <is>
          <t>KALMAR LÄN</t>
        </is>
      </c>
      <c r="E127" t="inlineStr">
        <is>
          <t>NYBRO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18475-2021</t>
        </is>
      </c>
      <c r="B128" s="1" t="n">
        <v>44306</v>
      </c>
      <c r="C128" s="1" t="n">
        <v>46088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20491-2021</t>
        </is>
      </c>
      <c r="B129" s="1" t="n">
        <v>44315.67481481482</v>
      </c>
      <c r="C129" s="1" t="n">
        <v>46088</v>
      </c>
      <c r="D129" t="inlineStr">
        <is>
          <t>KALMAR LÄN</t>
        </is>
      </c>
      <c r="E129" t="inlineStr">
        <is>
          <t>NYBRO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30547-2021</t>
        </is>
      </c>
      <c r="B130" s="1" t="n">
        <v>44364.69368055555</v>
      </c>
      <c r="C130" s="1" t="n">
        <v>46088</v>
      </c>
      <c r="D130" t="inlineStr">
        <is>
          <t>KALMAR LÄN</t>
        </is>
      </c>
      <c r="E130" t="inlineStr">
        <is>
          <t>NYBRO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59646-2021</t>
        </is>
      </c>
      <c r="B131" s="1" t="n">
        <v>44493.7688425926</v>
      </c>
      <c r="C131" s="1" t="n">
        <v>46088</v>
      </c>
      <c r="D131" t="inlineStr">
        <is>
          <t>KALMAR LÄN</t>
        </is>
      </c>
      <c r="E131" t="inlineStr">
        <is>
          <t>NYBRO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58575-2021</t>
        </is>
      </c>
      <c r="B132" s="1" t="n">
        <v>44488.93328703703</v>
      </c>
      <c r="C132" s="1" t="n">
        <v>46088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46088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43115-2022</t>
        </is>
      </c>
      <c r="B134" s="1" t="n">
        <v>44833.85800925926</v>
      </c>
      <c r="C134" s="1" t="n">
        <v>46088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35706-2021</t>
        </is>
      </c>
      <c r="B135" s="1" t="n">
        <v>44386.50282407407</v>
      </c>
      <c r="C135" s="1" t="n">
        <v>46088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53198-2021</t>
        </is>
      </c>
      <c r="B136" s="1" t="n">
        <v>44468.38931712963</v>
      </c>
      <c r="C136" s="1" t="n">
        <v>46088</v>
      </c>
      <c r="D136" t="inlineStr">
        <is>
          <t>KALMAR LÄN</t>
        </is>
      </c>
      <c r="E136" t="inlineStr">
        <is>
          <t>NYBRO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4141-2022</t>
        </is>
      </c>
      <c r="B137" s="1" t="n">
        <v>44587</v>
      </c>
      <c r="C137" s="1" t="n">
        <v>46088</v>
      </c>
      <c r="D137" t="inlineStr">
        <is>
          <t>KALMAR LÄN</t>
        </is>
      </c>
      <c r="E137" t="inlineStr">
        <is>
          <t>NYBRO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10621-2022</t>
        </is>
      </c>
      <c r="B138" s="1" t="n">
        <v>44624.4716087963</v>
      </c>
      <c r="C138" s="1" t="n">
        <v>46088</v>
      </c>
      <c r="D138" t="inlineStr">
        <is>
          <t>KALMAR LÄN</t>
        </is>
      </c>
      <c r="E138" t="inlineStr">
        <is>
          <t>NYBRO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4965-2022</t>
        </is>
      </c>
      <c r="B139" s="1" t="n">
        <v>44593</v>
      </c>
      <c r="C139" s="1" t="n">
        <v>46088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16738-2021</t>
        </is>
      </c>
      <c r="B140" s="1" t="n">
        <v>44294.69576388889</v>
      </c>
      <c r="C140" s="1" t="n">
        <v>46088</v>
      </c>
      <c r="D140" t="inlineStr">
        <is>
          <t>KALMAR LÄN</t>
        </is>
      </c>
      <c r="E140" t="inlineStr">
        <is>
          <t>NYBRO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48217-2021</t>
        </is>
      </c>
      <c r="B141" s="1" t="n">
        <v>44449.61309027778</v>
      </c>
      <c r="C141" s="1" t="n">
        <v>46088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48227-2021</t>
        </is>
      </c>
      <c r="B142" s="1" t="n">
        <v>44449</v>
      </c>
      <c r="C142" s="1" t="n">
        <v>46088</v>
      </c>
      <c r="D142" t="inlineStr">
        <is>
          <t>KALMAR LÄN</t>
        </is>
      </c>
      <c r="E142" t="inlineStr">
        <is>
          <t>NYBRO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40376-2021</t>
        </is>
      </c>
      <c r="B143" s="1" t="n">
        <v>44419</v>
      </c>
      <c r="C143" s="1" t="n">
        <v>46088</v>
      </c>
      <c r="D143" t="inlineStr">
        <is>
          <t>KALMAR LÄN</t>
        </is>
      </c>
      <c r="E143" t="inlineStr">
        <is>
          <t>NYBRO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21372-2021</t>
        </is>
      </c>
      <c r="B144" s="1" t="n">
        <v>44321.32876157408</v>
      </c>
      <c r="C144" s="1" t="n">
        <v>46088</v>
      </c>
      <c r="D144" t="inlineStr">
        <is>
          <t>KALMAR LÄN</t>
        </is>
      </c>
      <c r="E144" t="inlineStr">
        <is>
          <t>NYBRO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16957-2021</t>
        </is>
      </c>
      <c r="B145" s="1" t="n">
        <v>44295.56511574074</v>
      </c>
      <c r="C145" s="1" t="n">
        <v>46088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24638-2021</t>
        </is>
      </c>
      <c r="B146" s="1" t="n">
        <v>44340.37452546296</v>
      </c>
      <c r="C146" s="1" t="n">
        <v>46088</v>
      </c>
      <c r="D146" t="inlineStr">
        <is>
          <t>KALMAR LÄN</t>
        </is>
      </c>
      <c r="E146" t="inlineStr">
        <is>
          <t>NYBRO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30242-2021</t>
        </is>
      </c>
      <c r="B147" s="1" t="n">
        <v>44363.75775462963</v>
      </c>
      <c r="C147" s="1" t="n">
        <v>46088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15217-2021</t>
        </is>
      </c>
      <c r="B148" s="1" t="n">
        <v>44284</v>
      </c>
      <c r="C148" s="1" t="n">
        <v>46088</v>
      </c>
      <c r="D148" t="inlineStr">
        <is>
          <t>KALMAR LÄN</t>
        </is>
      </c>
      <c r="E148" t="inlineStr">
        <is>
          <t>NYBRO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51575-2022</t>
        </is>
      </c>
      <c r="B149" s="1" t="n">
        <v>44870.4825462963</v>
      </c>
      <c r="C149" s="1" t="n">
        <v>46088</v>
      </c>
      <c r="D149" t="inlineStr">
        <is>
          <t>KALMAR LÄN</t>
        </is>
      </c>
      <c r="E149" t="inlineStr">
        <is>
          <t>NYBRO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31709-2022</t>
        </is>
      </c>
      <c r="B150" s="1" t="n">
        <v>44776.4441087963</v>
      </c>
      <c r="C150" s="1" t="n">
        <v>46088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27354-2021</t>
        </is>
      </c>
      <c r="B151" s="1" t="n">
        <v>44351</v>
      </c>
      <c r="C151" s="1" t="n">
        <v>46088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28537-2022</t>
        </is>
      </c>
      <c r="B152" s="1" t="n">
        <v>44748.39954861111</v>
      </c>
      <c r="C152" s="1" t="n">
        <v>46088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31222-2022</t>
        </is>
      </c>
      <c r="B153" s="1" t="n">
        <v>44771.403125</v>
      </c>
      <c r="C153" s="1" t="n">
        <v>46088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14979-2022</t>
        </is>
      </c>
      <c r="B154" s="1" t="n">
        <v>44657</v>
      </c>
      <c r="C154" s="1" t="n">
        <v>46088</v>
      </c>
      <c r="D154" t="inlineStr">
        <is>
          <t>KALMAR LÄN</t>
        </is>
      </c>
      <c r="E154" t="inlineStr">
        <is>
          <t>NYBRO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30697-2021</t>
        </is>
      </c>
      <c r="B155" s="1" t="n">
        <v>44365</v>
      </c>
      <c r="C155" s="1" t="n">
        <v>46088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32927-2021</t>
        </is>
      </c>
      <c r="B156" s="1" t="n">
        <v>44375</v>
      </c>
      <c r="C156" s="1" t="n">
        <v>46088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12724-2021</t>
        </is>
      </c>
      <c r="B157" s="1" t="n">
        <v>44270.62047453703</v>
      </c>
      <c r="C157" s="1" t="n">
        <v>46088</v>
      </c>
      <c r="D157" t="inlineStr">
        <is>
          <t>KALMAR LÄN</t>
        </is>
      </c>
      <c r="E157" t="inlineStr">
        <is>
          <t>NYBRO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8437-2022</t>
        </is>
      </c>
      <c r="B158" s="1" t="n">
        <v>44612.64552083334</v>
      </c>
      <c r="C158" s="1" t="n">
        <v>46088</v>
      </c>
      <c r="D158" t="inlineStr">
        <is>
          <t>KALMAR LÄN</t>
        </is>
      </c>
      <c r="E158" t="inlineStr">
        <is>
          <t>NYBRO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38444-2021</t>
        </is>
      </c>
      <c r="B159" s="1" t="n">
        <v>44407.33940972222</v>
      </c>
      <c r="C159" s="1" t="n">
        <v>46088</v>
      </c>
      <c r="D159" t="inlineStr">
        <is>
          <t>KALMAR LÄN</t>
        </is>
      </c>
      <c r="E159" t="inlineStr">
        <is>
          <t>NYBRO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48226-2021</t>
        </is>
      </c>
      <c r="B160" s="1" t="n">
        <v>44449</v>
      </c>
      <c r="C160" s="1" t="n">
        <v>46088</v>
      </c>
      <c r="D160" t="inlineStr">
        <is>
          <t>KALMAR LÄN</t>
        </is>
      </c>
      <c r="E160" t="inlineStr">
        <is>
          <t>NYBRO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9636-2022</t>
        </is>
      </c>
      <c r="B161" s="1" t="n">
        <v>44617.57709490741</v>
      </c>
      <c r="C161" s="1" t="n">
        <v>46088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73336-2021</t>
        </is>
      </c>
      <c r="B162" s="1" t="n">
        <v>44551</v>
      </c>
      <c r="C162" s="1" t="n">
        <v>46088</v>
      </c>
      <c r="D162" t="inlineStr">
        <is>
          <t>KALMAR LÄN</t>
        </is>
      </c>
      <c r="E162" t="inlineStr">
        <is>
          <t>NYBRO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63280-2021</t>
        </is>
      </c>
      <c r="B163" s="1" t="n">
        <v>44508</v>
      </c>
      <c r="C163" s="1" t="n">
        <v>46088</v>
      </c>
      <c r="D163" t="inlineStr">
        <is>
          <t>KALMAR LÄN</t>
        </is>
      </c>
      <c r="E163" t="inlineStr">
        <is>
          <t>NYBRO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47326-2022</t>
        </is>
      </c>
      <c r="B164" s="1" t="n">
        <v>44853</v>
      </c>
      <c r="C164" s="1" t="n">
        <v>46088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46705-2022</t>
        </is>
      </c>
      <c r="B165" s="1" t="n">
        <v>44851</v>
      </c>
      <c r="C165" s="1" t="n">
        <v>46088</v>
      </c>
      <c r="D165" t="inlineStr">
        <is>
          <t>KALMAR LÄN</t>
        </is>
      </c>
      <c r="E165" t="inlineStr">
        <is>
          <t>NYBRO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5152-2022</t>
        </is>
      </c>
      <c r="B166" s="1" t="n">
        <v>44594.37494212963</v>
      </c>
      <c r="C166" s="1" t="n">
        <v>46088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48219-2021</t>
        </is>
      </c>
      <c r="B167" s="1" t="n">
        <v>44449.61662037037</v>
      </c>
      <c r="C167" s="1" t="n">
        <v>46088</v>
      </c>
      <c r="D167" t="inlineStr">
        <is>
          <t>KALMAR LÄN</t>
        </is>
      </c>
      <c r="E167" t="inlineStr">
        <is>
          <t>NYBRO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11151-2022</t>
        </is>
      </c>
      <c r="B168" s="1" t="n">
        <v>44629</v>
      </c>
      <c r="C168" s="1" t="n">
        <v>46088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59684-2021</t>
        </is>
      </c>
      <c r="B169" s="1" t="n">
        <v>44494</v>
      </c>
      <c r="C169" s="1" t="n">
        <v>46088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5099-2022</t>
        </is>
      </c>
      <c r="B170" s="1" t="n">
        <v>44593</v>
      </c>
      <c r="C170" s="1" t="n">
        <v>46088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33588-2021</t>
        </is>
      </c>
      <c r="B171" s="1" t="n">
        <v>44378.26744212963</v>
      </c>
      <c r="C171" s="1" t="n">
        <v>46088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54043-2022</t>
        </is>
      </c>
      <c r="B172" s="1" t="n">
        <v>44881.46946759259</v>
      </c>
      <c r="C172" s="1" t="n">
        <v>46088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40017-2021</t>
        </is>
      </c>
      <c r="B173" s="1" t="n">
        <v>44418</v>
      </c>
      <c r="C173" s="1" t="n">
        <v>46088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31762-2021</t>
        </is>
      </c>
      <c r="B174" s="1" t="n">
        <v>44370.25283564815</v>
      </c>
      <c r="C174" s="1" t="n">
        <v>46088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35086-2022</t>
        </is>
      </c>
      <c r="B175" s="1" t="n">
        <v>44796</v>
      </c>
      <c r="C175" s="1" t="n">
        <v>46088</v>
      </c>
      <c r="D175" t="inlineStr">
        <is>
          <t>KALMAR LÄN</t>
        </is>
      </c>
      <c r="E175" t="inlineStr">
        <is>
          <t>NYBRO</t>
        </is>
      </c>
      <c r="F175" t="inlineStr">
        <is>
          <t>Kyrkan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73474-2021</t>
        </is>
      </c>
      <c r="B176" s="1" t="n">
        <v>44551.60501157407</v>
      </c>
      <c r="C176" s="1" t="n">
        <v>46088</v>
      </c>
      <c r="D176" t="inlineStr">
        <is>
          <t>KALMAR LÄN</t>
        </is>
      </c>
      <c r="E176" t="inlineStr">
        <is>
          <t>NYBRO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4985-2022</t>
        </is>
      </c>
      <c r="B177" s="1" t="n">
        <v>44593</v>
      </c>
      <c r="C177" s="1" t="n">
        <v>46088</v>
      </c>
      <c r="D177" t="inlineStr">
        <is>
          <t>KALMAR LÄN</t>
        </is>
      </c>
      <c r="E177" t="inlineStr">
        <is>
          <t>NYBRO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38550-2022</t>
        </is>
      </c>
      <c r="B178" s="1" t="n">
        <v>44813.46402777778</v>
      </c>
      <c r="C178" s="1" t="n">
        <v>46088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33030-2022</t>
        </is>
      </c>
      <c r="B179" s="1" t="n">
        <v>44785.35797453704</v>
      </c>
      <c r="C179" s="1" t="n">
        <v>46088</v>
      </c>
      <c r="D179" t="inlineStr">
        <is>
          <t>KALMAR LÄN</t>
        </is>
      </c>
      <c r="E179" t="inlineStr">
        <is>
          <t>NYBRO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33589-2021</t>
        </is>
      </c>
      <c r="B180" s="1" t="n">
        <v>44378.27100694444</v>
      </c>
      <c r="C180" s="1" t="n">
        <v>46088</v>
      </c>
      <c r="D180" t="inlineStr">
        <is>
          <t>KALMAR LÄN</t>
        </is>
      </c>
      <c r="E180" t="inlineStr">
        <is>
          <t>NYBRO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14030-2022</t>
        </is>
      </c>
      <c r="B181" s="1" t="n">
        <v>44650</v>
      </c>
      <c r="C181" s="1" t="n">
        <v>46088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44073-2022</t>
        </is>
      </c>
      <c r="B182" s="1" t="n">
        <v>44839.34592592593</v>
      </c>
      <c r="C182" s="1" t="n">
        <v>46088</v>
      </c>
      <c r="D182" t="inlineStr">
        <is>
          <t>KALMAR LÄN</t>
        </is>
      </c>
      <c r="E182" t="inlineStr">
        <is>
          <t>NYBRO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36904-2022</t>
        </is>
      </c>
      <c r="B183" s="1" t="n">
        <v>44805.72581018518</v>
      </c>
      <c r="C183" s="1" t="n">
        <v>46088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17560-2021</t>
        </is>
      </c>
      <c r="B184" s="1" t="n">
        <v>44299.65049768519</v>
      </c>
      <c r="C184" s="1" t="n">
        <v>46088</v>
      </c>
      <c r="D184" t="inlineStr">
        <is>
          <t>KALMAR LÄN</t>
        </is>
      </c>
      <c r="E184" t="inlineStr">
        <is>
          <t>NYBRO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17725-2021</t>
        </is>
      </c>
      <c r="B185" s="1" t="n">
        <v>44300.5134375</v>
      </c>
      <c r="C185" s="1" t="n">
        <v>46088</v>
      </c>
      <c r="D185" t="inlineStr">
        <is>
          <t>KALMAR LÄN</t>
        </is>
      </c>
      <c r="E185" t="inlineStr">
        <is>
          <t>NYBRO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30238-2021</t>
        </is>
      </c>
      <c r="B186" s="1" t="n">
        <v>44363.75042824074</v>
      </c>
      <c r="C186" s="1" t="n">
        <v>46088</v>
      </c>
      <c r="D186" t="inlineStr">
        <is>
          <t>KALMAR LÄN</t>
        </is>
      </c>
      <c r="E186" t="inlineStr">
        <is>
          <t>NYBRO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4962-2022</t>
        </is>
      </c>
      <c r="B187" s="1" t="n">
        <v>44593</v>
      </c>
      <c r="C187" s="1" t="n">
        <v>46088</v>
      </c>
      <c r="D187" t="inlineStr">
        <is>
          <t>KALMAR LÄN</t>
        </is>
      </c>
      <c r="E187" t="inlineStr">
        <is>
          <t>NYBRO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68074-2021</t>
        </is>
      </c>
      <c r="B188" s="1" t="n">
        <v>44526.31395833333</v>
      </c>
      <c r="C188" s="1" t="n">
        <v>46088</v>
      </c>
      <c r="D188" t="inlineStr">
        <is>
          <t>KALMAR LÄN</t>
        </is>
      </c>
      <c r="E188" t="inlineStr">
        <is>
          <t>NYBRO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33010-2021</t>
        </is>
      </c>
      <c r="B189" s="1" t="n">
        <v>44376.47229166667</v>
      </c>
      <c r="C189" s="1" t="n">
        <v>46088</v>
      </c>
      <c r="D189" t="inlineStr">
        <is>
          <t>KALMAR LÄN</t>
        </is>
      </c>
      <c r="E189" t="inlineStr">
        <is>
          <t>NYBRO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32609-2021</t>
        </is>
      </c>
      <c r="B190" s="1" t="n">
        <v>44375.39068287037</v>
      </c>
      <c r="C190" s="1" t="n">
        <v>46088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2191-2022</t>
        </is>
      </c>
      <c r="B191" s="1" t="n">
        <v>44578.49199074074</v>
      </c>
      <c r="C191" s="1" t="n">
        <v>46088</v>
      </c>
      <c r="D191" t="inlineStr">
        <is>
          <t>KALMAR LÄN</t>
        </is>
      </c>
      <c r="E191" t="inlineStr">
        <is>
          <t>NYBRO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46526-2021</t>
        </is>
      </c>
      <c r="B192" s="1" t="n">
        <v>44445</v>
      </c>
      <c r="C192" s="1" t="n">
        <v>46088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38459-2021</t>
        </is>
      </c>
      <c r="B193" s="1" t="n">
        <v>44407.35585648148</v>
      </c>
      <c r="C193" s="1" t="n">
        <v>46088</v>
      </c>
      <c r="D193" t="inlineStr">
        <is>
          <t>KALMAR LÄN</t>
        </is>
      </c>
      <c r="E193" t="inlineStr">
        <is>
          <t>NYBRO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38461-2021</t>
        </is>
      </c>
      <c r="B194" s="1" t="n">
        <v>44407.35945601852</v>
      </c>
      <c r="C194" s="1" t="n">
        <v>46088</v>
      </c>
      <c r="D194" t="inlineStr">
        <is>
          <t>KALMAR LÄN</t>
        </is>
      </c>
      <c r="E194" t="inlineStr">
        <is>
          <t>NYBRO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35332-2021</t>
        </is>
      </c>
      <c r="B195" s="1" t="n">
        <v>44384</v>
      </c>
      <c r="C195" s="1" t="n">
        <v>46088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11819-2022</t>
        </is>
      </c>
      <c r="B196" s="1" t="n">
        <v>44634</v>
      </c>
      <c r="C196" s="1" t="n">
        <v>46088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11828-2022</t>
        </is>
      </c>
      <c r="B197" s="1" t="n">
        <v>44634</v>
      </c>
      <c r="C197" s="1" t="n">
        <v>46088</v>
      </c>
      <c r="D197" t="inlineStr">
        <is>
          <t>KALMAR LÄN</t>
        </is>
      </c>
      <c r="E197" t="inlineStr">
        <is>
          <t>NYBRO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24573-2022</t>
        </is>
      </c>
      <c r="B198" s="1" t="n">
        <v>44727</v>
      </c>
      <c r="C198" s="1" t="n">
        <v>46088</v>
      </c>
      <c r="D198" t="inlineStr">
        <is>
          <t>KALMAR LÄN</t>
        </is>
      </c>
      <c r="E198" t="inlineStr">
        <is>
          <t>NYBRO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33017-2021</t>
        </is>
      </c>
      <c r="B199" s="1" t="n">
        <v>44376</v>
      </c>
      <c r="C199" s="1" t="n">
        <v>46088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73297-2021</t>
        </is>
      </c>
      <c r="B200" s="1" t="n">
        <v>44551</v>
      </c>
      <c r="C200" s="1" t="n">
        <v>46088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4109-2022</t>
        </is>
      </c>
      <c r="B201" s="1" t="n">
        <v>44587</v>
      </c>
      <c r="C201" s="1" t="n">
        <v>46088</v>
      </c>
      <c r="D201" t="inlineStr">
        <is>
          <t>KALMAR LÄN</t>
        </is>
      </c>
      <c r="E201" t="inlineStr">
        <is>
          <t>NYBRO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51574-2022</t>
        </is>
      </c>
      <c r="B202" s="1" t="n">
        <v>44870.4822337963</v>
      </c>
      <c r="C202" s="1" t="n">
        <v>46088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63111-2023</t>
        </is>
      </c>
      <c r="B203" s="1" t="n">
        <v>45273.43420138889</v>
      </c>
      <c r="C203" s="1" t="n">
        <v>46088</v>
      </c>
      <c r="D203" t="inlineStr">
        <is>
          <t>KALMAR LÄN</t>
        </is>
      </c>
      <c r="E203" t="inlineStr">
        <is>
          <t>NYBRO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6727-2024</t>
        </is>
      </c>
      <c r="B204" s="1" t="n">
        <v>45341</v>
      </c>
      <c r="C204" s="1" t="n">
        <v>46088</v>
      </c>
      <c r="D204" t="inlineStr">
        <is>
          <t>KALMAR LÄN</t>
        </is>
      </c>
      <c r="E204" t="inlineStr">
        <is>
          <t>NYBRO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61796-2024</t>
        </is>
      </c>
      <c r="B205" s="1" t="n">
        <v>45649.55618055556</v>
      </c>
      <c r="C205" s="1" t="n">
        <v>46088</v>
      </c>
      <c r="D205" t="inlineStr">
        <is>
          <t>KALMAR LÄN</t>
        </is>
      </c>
      <c r="E205" t="inlineStr">
        <is>
          <t>NYBRO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61816-2024</t>
        </is>
      </c>
      <c r="B206" s="1" t="n">
        <v>45649.59947916667</v>
      </c>
      <c r="C206" s="1" t="n">
        <v>46088</v>
      </c>
      <c r="D206" t="inlineStr">
        <is>
          <t>KALMAR LÄN</t>
        </is>
      </c>
      <c r="E206" t="inlineStr">
        <is>
          <t>NYBRO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33011-2024</t>
        </is>
      </c>
      <c r="B207" s="1" t="n">
        <v>45517.5049074074</v>
      </c>
      <c r="C207" s="1" t="n">
        <v>46088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4612-2025</t>
        </is>
      </c>
      <c r="B208" s="1" t="n">
        <v>45687.58510416667</v>
      </c>
      <c r="C208" s="1" t="n">
        <v>46088</v>
      </c>
      <c r="D208" t="inlineStr">
        <is>
          <t>KALMAR LÄN</t>
        </is>
      </c>
      <c r="E208" t="inlineStr">
        <is>
          <t>NYBRO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15828-2023</t>
        </is>
      </c>
      <c r="B209" s="1" t="n">
        <v>45022</v>
      </c>
      <c r="C209" s="1" t="n">
        <v>46088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29950-2024</t>
        </is>
      </c>
      <c r="B210" s="1" t="n">
        <v>45488.44295138889</v>
      </c>
      <c r="C210" s="1" t="n">
        <v>46088</v>
      </c>
      <c r="D210" t="inlineStr">
        <is>
          <t>KALMAR LÄN</t>
        </is>
      </c>
      <c r="E210" t="inlineStr">
        <is>
          <t>NYBRO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24398-2023</t>
        </is>
      </c>
      <c r="B211" s="1" t="n">
        <v>45082.42459490741</v>
      </c>
      <c r="C211" s="1" t="n">
        <v>46088</v>
      </c>
      <c r="D211" t="inlineStr">
        <is>
          <t>KALMAR LÄN</t>
        </is>
      </c>
      <c r="E211" t="inlineStr">
        <is>
          <t>NYBRO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58761-2021</t>
        </is>
      </c>
      <c r="B212" s="1" t="n">
        <v>44489</v>
      </c>
      <c r="C212" s="1" t="n">
        <v>46088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20536-2025</t>
        </is>
      </c>
      <c r="B213" s="1" t="n">
        <v>45775.61712962963</v>
      </c>
      <c r="C213" s="1" t="n">
        <v>46088</v>
      </c>
      <c r="D213" t="inlineStr">
        <is>
          <t>KALMAR LÄN</t>
        </is>
      </c>
      <c r="E213" t="inlineStr">
        <is>
          <t>NYBRO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32757-2023</t>
        </is>
      </c>
      <c r="B214" s="1" t="n">
        <v>45123.42461805556</v>
      </c>
      <c r="C214" s="1" t="n">
        <v>46088</v>
      </c>
      <c r="D214" t="inlineStr">
        <is>
          <t>KALMAR LÄN</t>
        </is>
      </c>
      <c r="E214" t="inlineStr">
        <is>
          <t>NYBRO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19967-2023</t>
        </is>
      </c>
      <c r="B215" s="1" t="n">
        <v>45054</v>
      </c>
      <c r="C215" s="1" t="n">
        <v>46088</v>
      </c>
      <c r="D215" t="inlineStr">
        <is>
          <t>KALMAR LÄN</t>
        </is>
      </c>
      <c r="E215" t="inlineStr">
        <is>
          <t>NYBRO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53650-2023</t>
        </is>
      </c>
      <c r="B216" s="1" t="n">
        <v>45230.60807870371</v>
      </c>
      <c r="C216" s="1" t="n">
        <v>46088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26426-2023</t>
        </is>
      </c>
      <c r="B217" s="1" t="n">
        <v>45092.3945949074</v>
      </c>
      <c r="C217" s="1" t="n">
        <v>46088</v>
      </c>
      <c r="D217" t="inlineStr">
        <is>
          <t>KALMAR LÄN</t>
        </is>
      </c>
      <c r="E217" t="inlineStr">
        <is>
          <t>NYBRO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38623-2023</t>
        </is>
      </c>
      <c r="B218" s="1" t="n">
        <v>45162</v>
      </c>
      <c r="C218" s="1" t="n">
        <v>46088</v>
      </c>
      <c r="D218" t="inlineStr">
        <is>
          <t>KALMAR LÄN</t>
        </is>
      </c>
      <c r="E218" t="inlineStr">
        <is>
          <t>NYBRO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14061-2024</t>
        </is>
      </c>
      <c r="B219" s="1" t="n">
        <v>45392.56559027778</v>
      </c>
      <c r="C219" s="1" t="n">
        <v>46088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40444-2022</t>
        </is>
      </c>
      <c r="B220" s="1" t="n">
        <v>44819</v>
      </c>
      <c r="C220" s="1" t="n">
        <v>46088</v>
      </c>
      <c r="D220" t="inlineStr">
        <is>
          <t>KALMAR LÄN</t>
        </is>
      </c>
      <c r="E220" t="inlineStr">
        <is>
          <t>NYBRO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26129-2023</t>
        </is>
      </c>
      <c r="B221" s="1" t="n">
        <v>45091.44966435185</v>
      </c>
      <c r="C221" s="1" t="n">
        <v>46088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51651-2024</t>
        </is>
      </c>
      <c r="B222" s="1" t="n">
        <v>45606.57449074074</v>
      </c>
      <c r="C222" s="1" t="n">
        <v>46088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63945-2023</t>
        </is>
      </c>
      <c r="B223" s="1" t="n">
        <v>45278</v>
      </c>
      <c r="C223" s="1" t="n">
        <v>46088</v>
      </c>
      <c r="D223" t="inlineStr">
        <is>
          <t>KALMAR LÄN</t>
        </is>
      </c>
      <c r="E223" t="inlineStr">
        <is>
          <t>NYBRO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9768-2023</t>
        </is>
      </c>
      <c r="B224" s="1" t="n">
        <v>44984</v>
      </c>
      <c r="C224" s="1" t="n">
        <v>46088</v>
      </c>
      <c r="D224" t="inlineStr">
        <is>
          <t>KALMAR LÄN</t>
        </is>
      </c>
      <c r="E224" t="inlineStr">
        <is>
          <t>NYBRO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72166-2021</t>
        </is>
      </c>
      <c r="B225" s="1" t="n">
        <v>44544.63826388889</v>
      </c>
      <c r="C225" s="1" t="n">
        <v>46088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16967-2021</t>
        </is>
      </c>
      <c r="B226" s="1" t="n">
        <v>44295</v>
      </c>
      <c r="C226" s="1" t="n">
        <v>46088</v>
      </c>
      <c r="D226" t="inlineStr">
        <is>
          <t>KALMAR LÄN</t>
        </is>
      </c>
      <c r="E226" t="inlineStr">
        <is>
          <t>NYBRO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23204-2023</t>
        </is>
      </c>
      <c r="B227" s="1" t="n">
        <v>45075</v>
      </c>
      <c r="C227" s="1" t="n">
        <v>46088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935-2023</t>
        </is>
      </c>
      <c r="B228" s="1" t="n">
        <v>44933.42714120371</v>
      </c>
      <c r="C228" s="1" t="n">
        <v>46088</v>
      </c>
      <c r="D228" t="inlineStr">
        <is>
          <t>KALMAR LÄN</t>
        </is>
      </c>
      <c r="E228" t="inlineStr">
        <is>
          <t>NYBRO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20512-2025</t>
        </is>
      </c>
      <c r="B229" s="1" t="n">
        <v>45775.59509259259</v>
      </c>
      <c r="C229" s="1" t="n">
        <v>46088</v>
      </c>
      <c r="D229" t="inlineStr">
        <is>
          <t>KALMAR LÄN</t>
        </is>
      </c>
      <c r="E229" t="inlineStr">
        <is>
          <t>NYBRO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14983-2022</t>
        </is>
      </c>
      <c r="B230" s="1" t="n">
        <v>44657</v>
      </c>
      <c r="C230" s="1" t="n">
        <v>46088</v>
      </c>
      <c r="D230" t="inlineStr">
        <is>
          <t>KALMAR LÄN</t>
        </is>
      </c>
      <c r="E230" t="inlineStr">
        <is>
          <t>NYBRO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9942-2023</t>
        </is>
      </c>
      <c r="B231" s="1" t="n">
        <v>44985.4822337963</v>
      </c>
      <c r="C231" s="1" t="n">
        <v>46088</v>
      </c>
      <c r="D231" t="inlineStr">
        <is>
          <t>KALMAR LÄN</t>
        </is>
      </c>
      <c r="E231" t="inlineStr">
        <is>
          <t>NYBRO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42711-2023</t>
        </is>
      </c>
      <c r="B232" s="1" t="n">
        <v>45181</v>
      </c>
      <c r="C232" s="1" t="n">
        <v>46088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39535-2022</t>
        </is>
      </c>
      <c r="B233" s="1" t="n">
        <v>44818</v>
      </c>
      <c r="C233" s="1" t="n">
        <v>46088</v>
      </c>
      <c r="D233" t="inlineStr">
        <is>
          <t>KALMAR LÄN</t>
        </is>
      </c>
      <c r="E233" t="inlineStr">
        <is>
          <t>NYBRO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45497-2024</t>
        </is>
      </c>
      <c r="B234" s="1" t="n">
        <v>45577.88273148148</v>
      </c>
      <c r="C234" s="1" t="n">
        <v>46088</v>
      </c>
      <c r="D234" t="inlineStr">
        <is>
          <t>KALMAR LÄN</t>
        </is>
      </c>
      <c r="E234" t="inlineStr">
        <is>
          <t>NYBRO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8003-2023</t>
        </is>
      </c>
      <c r="B235" s="1" t="n">
        <v>44973.87971064815</v>
      </c>
      <c r="C235" s="1" t="n">
        <v>46088</v>
      </c>
      <c r="D235" t="inlineStr">
        <is>
          <t>KALMAR LÄN</t>
        </is>
      </c>
      <c r="E235" t="inlineStr">
        <is>
          <t>NYBRO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41958-2024</t>
        </is>
      </c>
      <c r="B236" s="1" t="n">
        <v>45561</v>
      </c>
      <c r="C236" s="1" t="n">
        <v>46088</v>
      </c>
      <c r="D236" t="inlineStr">
        <is>
          <t>KALMAR LÄN</t>
        </is>
      </c>
      <c r="E236" t="inlineStr">
        <is>
          <t>NYBRO</t>
        </is>
      </c>
      <c r="F236" t="inlineStr">
        <is>
          <t>Kyrkan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1763-2024</t>
        </is>
      </c>
      <c r="B237" s="1" t="n">
        <v>45307</v>
      </c>
      <c r="C237" s="1" t="n">
        <v>46088</v>
      </c>
      <c r="D237" t="inlineStr">
        <is>
          <t>KALMAR LÄN</t>
        </is>
      </c>
      <c r="E237" t="inlineStr">
        <is>
          <t>NYBRO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14544-2024</t>
        </is>
      </c>
      <c r="B238" s="1" t="n">
        <v>45394.66318287037</v>
      </c>
      <c r="C238" s="1" t="n">
        <v>46088</v>
      </c>
      <c r="D238" t="inlineStr">
        <is>
          <t>KALMAR LÄN</t>
        </is>
      </c>
      <c r="E238" t="inlineStr">
        <is>
          <t>NYBRO</t>
        </is>
      </c>
      <c r="F238" t="inlineStr">
        <is>
          <t>Kommuner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18592-2025</t>
        </is>
      </c>
      <c r="B239" s="1" t="n">
        <v>45763</v>
      </c>
      <c r="C239" s="1" t="n">
        <v>46088</v>
      </c>
      <c r="D239" t="inlineStr">
        <is>
          <t>KALMAR LÄN</t>
        </is>
      </c>
      <c r="E239" t="inlineStr">
        <is>
          <t>NYBRO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41531-2023</t>
        </is>
      </c>
      <c r="B240" s="1" t="n">
        <v>45175</v>
      </c>
      <c r="C240" s="1" t="n">
        <v>46088</v>
      </c>
      <c r="D240" t="inlineStr">
        <is>
          <t>KALMAR LÄN</t>
        </is>
      </c>
      <c r="E240" t="inlineStr">
        <is>
          <t>NYBRO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30320-2023</t>
        </is>
      </c>
      <c r="B241" s="1" t="n">
        <v>45111.3095949074</v>
      </c>
      <c r="C241" s="1" t="n">
        <v>46088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15735-2023</t>
        </is>
      </c>
      <c r="B242" s="1" t="n">
        <v>45021</v>
      </c>
      <c r="C242" s="1" t="n">
        <v>46088</v>
      </c>
      <c r="D242" t="inlineStr">
        <is>
          <t>KALMAR LÄN</t>
        </is>
      </c>
      <c r="E242" t="inlineStr">
        <is>
          <t>NYBRO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16338-2023</t>
        </is>
      </c>
      <c r="B243" s="1" t="n">
        <v>45028.64141203704</v>
      </c>
      <c r="C243" s="1" t="n">
        <v>46088</v>
      </c>
      <c r="D243" t="inlineStr">
        <is>
          <t>KALMAR LÄN</t>
        </is>
      </c>
      <c r="E243" t="inlineStr">
        <is>
          <t>NYBRO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7288-2025</t>
        </is>
      </c>
      <c r="B244" s="1" t="n">
        <v>45702.6415625</v>
      </c>
      <c r="C244" s="1" t="n">
        <v>46088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1420-2025</t>
        </is>
      </c>
      <c r="B245" s="1" t="n">
        <v>45668.49403935186</v>
      </c>
      <c r="C245" s="1" t="n">
        <v>46088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11910-2024</t>
        </is>
      </c>
      <c r="B246" s="1" t="n">
        <v>45376.57670138889</v>
      </c>
      <c r="C246" s="1" t="n">
        <v>46088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17749-2023</t>
        </is>
      </c>
      <c r="B247" s="1" t="n">
        <v>45037</v>
      </c>
      <c r="C247" s="1" t="n">
        <v>46088</v>
      </c>
      <c r="D247" t="inlineStr">
        <is>
          <t>KALMAR LÄN</t>
        </is>
      </c>
      <c r="E247" t="inlineStr">
        <is>
          <t>NYBRO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4402-2024</t>
        </is>
      </c>
      <c r="B248" s="1" t="n">
        <v>45327.3969212963</v>
      </c>
      <c r="C248" s="1" t="n">
        <v>46088</v>
      </c>
      <c r="D248" t="inlineStr">
        <is>
          <t>KALMAR LÄN</t>
        </is>
      </c>
      <c r="E248" t="inlineStr">
        <is>
          <t>NYBRO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23485-2025</t>
        </is>
      </c>
      <c r="B249" s="1" t="n">
        <v>45792.46319444444</v>
      </c>
      <c r="C249" s="1" t="n">
        <v>46088</v>
      </c>
      <c r="D249" t="inlineStr">
        <is>
          <t>KALMAR LÄN</t>
        </is>
      </c>
      <c r="E249" t="inlineStr">
        <is>
          <t>NYBRO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11968-2025</t>
        </is>
      </c>
      <c r="B250" s="1" t="n">
        <v>45728.58208333333</v>
      </c>
      <c r="C250" s="1" t="n">
        <v>46088</v>
      </c>
      <c r="D250" t="inlineStr">
        <is>
          <t>KALMAR LÄN</t>
        </is>
      </c>
      <c r="E250" t="inlineStr">
        <is>
          <t>NYBRO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23488-2025</t>
        </is>
      </c>
      <c r="B251" s="1" t="n">
        <v>45792.46534722222</v>
      </c>
      <c r="C251" s="1" t="n">
        <v>46088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6857-2025</t>
        </is>
      </c>
      <c r="B252" s="1" t="n">
        <v>45701.1425</v>
      </c>
      <c r="C252" s="1" t="n">
        <v>46088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18092-2025</t>
        </is>
      </c>
      <c r="B253" s="1" t="n">
        <v>45761.54658564815</v>
      </c>
      <c r="C253" s="1" t="n">
        <v>46088</v>
      </c>
      <c r="D253" t="inlineStr">
        <is>
          <t>KALMAR LÄN</t>
        </is>
      </c>
      <c r="E253" t="inlineStr">
        <is>
          <t>NYBRO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7847-2023</t>
        </is>
      </c>
      <c r="B254" s="1" t="n">
        <v>44973.51290509259</v>
      </c>
      <c r="C254" s="1" t="n">
        <v>46088</v>
      </c>
      <c r="D254" t="inlineStr">
        <is>
          <t>KALMAR LÄN</t>
        </is>
      </c>
      <c r="E254" t="inlineStr">
        <is>
          <t>NYBRO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19244-2022</t>
        </is>
      </c>
      <c r="B255" s="1" t="n">
        <v>44692</v>
      </c>
      <c r="C255" s="1" t="n">
        <v>46088</v>
      </c>
      <c r="D255" t="inlineStr">
        <is>
          <t>KALMAR LÄN</t>
        </is>
      </c>
      <c r="E255" t="inlineStr">
        <is>
          <t>NYBRO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24072-2025</t>
        </is>
      </c>
      <c r="B256" s="1" t="n">
        <v>45796.54754629629</v>
      </c>
      <c r="C256" s="1" t="n">
        <v>46088</v>
      </c>
      <c r="D256" t="inlineStr">
        <is>
          <t>KALMAR LÄN</t>
        </is>
      </c>
      <c r="E256" t="inlineStr">
        <is>
          <t>NYBRO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7326-2026</t>
        </is>
      </c>
      <c r="B257" s="1" t="n">
        <v>46058.68314814815</v>
      </c>
      <c r="C257" s="1" t="n">
        <v>46088</v>
      </c>
      <c r="D257" t="inlineStr">
        <is>
          <t>KALMAR LÄN</t>
        </is>
      </c>
      <c r="E257" t="inlineStr">
        <is>
          <t>NYBRO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9581-2023</t>
        </is>
      </c>
      <c r="B258" s="1" t="n">
        <v>44982.82561342593</v>
      </c>
      <c r="C258" s="1" t="n">
        <v>46088</v>
      </c>
      <c r="D258" t="inlineStr">
        <is>
          <t>KALMAR LÄN</t>
        </is>
      </c>
      <c r="E258" t="inlineStr">
        <is>
          <t>NYBRO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38780-2025</t>
        </is>
      </c>
      <c r="B259" s="1" t="n">
        <v>45887.44094907407</v>
      </c>
      <c r="C259" s="1" t="n">
        <v>46088</v>
      </c>
      <c r="D259" t="inlineStr">
        <is>
          <t>KALMAR LÄN</t>
        </is>
      </c>
      <c r="E259" t="inlineStr">
        <is>
          <t>NYBRO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11706-2025</t>
        </is>
      </c>
      <c r="B260" s="1" t="n">
        <v>45727</v>
      </c>
      <c r="C260" s="1" t="n">
        <v>46088</v>
      </c>
      <c r="D260" t="inlineStr">
        <is>
          <t>KALMAR LÄN</t>
        </is>
      </c>
      <c r="E260" t="inlineStr">
        <is>
          <t>NYBRO</t>
        </is>
      </c>
      <c r="F260" t="inlineStr">
        <is>
          <t>Kommuner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60033-2022</t>
        </is>
      </c>
      <c r="B261" s="1" t="n">
        <v>44909.50149305556</v>
      </c>
      <c r="C261" s="1" t="n">
        <v>46088</v>
      </c>
      <c r="D261" t="inlineStr">
        <is>
          <t>KALMAR LÄN</t>
        </is>
      </c>
      <c r="E261" t="inlineStr">
        <is>
          <t>NYBRO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60039-2022</t>
        </is>
      </c>
      <c r="B262" s="1" t="n">
        <v>44909.51041666666</v>
      </c>
      <c r="C262" s="1" t="n">
        <v>46088</v>
      </c>
      <c r="D262" t="inlineStr">
        <is>
          <t>KALMAR LÄN</t>
        </is>
      </c>
      <c r="E262" t="inlineStr">
        <is>
          <t>NYBRO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59687-2021</t>
        </is>
      </c>
      <c r="B263" s="1" t="n">
        <v>44494.38530092593</v>
      </c>
      <c r="C263" s="1" t="n">
        <v>46088</v>
      </c>
      <c r="D263" t="inlineStr">
        <is>
          <t>KALMAR LÄN</t>
        </is>
      </c>
      <c r="E263" t="inlineStr">
        <is>
          <t>NYBRO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22744-2024</t>
        </is>
      </c>
      <c r="B264" s="1" t="n">
        <v>45448.40923611111</v>
      </c>
      <c r="C264" s="1" t="n">
        <v>46088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36878-2025</t>
        </is>
      </c>
      <c r="B265" s="1" t="n">
        <v>45873</v>
      </c>
      <c r="C265" s="1" t="n">
        <v>46088</v>
      </c>
      <c r="D265" t="inlineStr">
        <is>
          <t>KALMAR LÄN</t>
        </is>
      </c>
      <c r="E265" t="inlineStr">
        <is>
          <t>NYBRO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1396-2023</t>
        </is>
      </c>
      <c r="B266" s="1" t="n">
        <v>44936.7375925926</v>
      </c>
      <c r="C266" s="1" t="n">
        <v>46088</v>
      </c>
      <c r="D266" t="inlineStr">
        <is>
          <t>KALMAR LÄN</t>
        </is>
      </c>
      <c r="E266" t="inlineStr">
        <is>
          <t>NYBRO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31791-2023</t>
        </is>
      </c>
      <c r="B267" s="1" t="n">
        <v>45118</v>
      </c>
      <c r="C267" s="1" t="n">
        <v>46088</v>
      </c>
      <c r="D267" t="inlineStr">
        <is>
          <t>KALMAR LÄN</t>
        </is>
      </c>
      <c r="E267" t="inlineStr">
        <is>
          <t>NYBRO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19943-2022</t>
        </is>
      </c>
      <c r="B268" s="1" t="n">
        <v>44697</v>
      </c>
      <c r="C268" s="1" t="n">
        <v>46088</v>
      </c>
      <c r="D268" t="inlineStr">
        <is>
          <t>KALMAR LÄN</t>
        </is>
      </c>
      <c r="E268" t="inlineStr">
        <is>
          <t>NYBRO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34877-2025</t>
        </is>
      </c>
      <c r="B269" s="1" t="n">
        <v>45849.46460648148</v>
      </c>
      <c r="C269" s="1" t="n">
        <v>46088</v>
      </c>
      <c r="D269" t="inlineStr">
        <is>
          <t>KALMAR LÄN</t>
        </is>
      </c>
      <c r="E269" t="inlineStr">
        <is>
          <t>NYBRO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5354-2022</t>
        </is>
      </c>
      <c r="B270" s="1" t="n">
        <v>44594</v>
      </c>
      <c r="C270" s="1" t="n">
        <v>46088</v>
      </c>
      <c r="D270" t="inlineStr">
        <is>
          <t>KALMAR LÄN</t>
        </is>
      </c>
      <c r="E270" t="inlineStr">
        <is>
          <t>NYBRO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23202-2025</t>
        </is>
      </c>
      <c r="B271" s="1" t="n">
        <v>45791.46207175926</v>
      </c>
      <c r="C271" s="1" t="n">
        <v>46088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12213-2025</t>
        </is>
      </c>
      <c r="B272" s="1" t="n">
        <v>45729.53497685185</v>
      </c>
      <c r="C272" s="1" t="n">
        <v>46088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34887-2025</t>
        </is>
      </c>
      <c r="B273" s="1" t="n">
        <v>45849.47482638889</v>
      </c>
      <c r="C273" s="1" t="n">
        <v>46088</v>
      </c>
      <c r="D273" t="inlineStr">
        <is>
          <t>KALMAR LÄN</t>
        </is>
      </c>
      <c r="E273" t="inlineStr">
        <is>
          <t>NYBRO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18241-2021</t>
        </is>
      </c>
      <c r="B274" s="1" t="n">
        <v>44302</v>
      </c>
      <c r="C274" s="1" t="n">
        <v>46088</v>
      </c>
      <c r="D274" t="inlineStr">
        <is>
          <t>KALMAR LÄN</t>
        </is>
      </c>
      <c r="E274" t="inlineStr">
        <is>
          <t>NYBRO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29924-2023</t>
        </is>
      </c>
      <c r="B275" s="1" t="n">
        <v>45107.72561342592</v>
      </c>
      <c r="C275" s="1" t="n">
        <v>46088</v>
      </c>
      <c r="D275" t="inlineStr">
        <is>
          <t>KALMAR LÄN</t>
        </is>
      </c>
      <c r="E275" t="inlineStr">
        <is>
          <t>NYBRO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59836-2023</t>
        </is>
      </c>
      <c r="B276" s="1" t="n">
        <v>45253</v>
      </c>
      <c r="C276" s="1" t="n">
        <v>46088</v>
      </c>
      <c r="D276" t="inlineStr">
        <is>
          <t>KALMAR LÄN</t>
        </is>
      </c>
      <c r="E276" t="inlineStr">
        <is>
          <t>NYBRO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13926-2025</t>
        </is>
      </c>
      <c r="B277" s="1" t="n">
        <v>45737.66273148148</v>
      </c>
      <c r="C277" s="1" t="n">
        <v>46088</v>
      </c>
      <c r="D277" t="inlineStr">
        <is>
          <t>KALMAR LÄN</t>
        </is>
      </c>
      <c r="E277" t="inlineStr">
        <is>
          <t>NYBRO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4180-2025</t>
        </is>
      </c>
      <c r="B278" s="1" t="n">
        <v>45685.44299768518</v>
      </c>
      <c r="C278" s="1" t="n">
        <v>46088</v>
      </c>
      <c r="D278" t="inlineStr">
        <is>
          <t>KALMAR LÄN</t>
        </is>
      </c>
      <c r="E278" t="inlineStr">
        <is>
          <t>NYBRO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8150-2022</t>
        </is>
      </c>
      <c r="B279" s="1" t="n">
        <v>44609.62754629629</v>
      </c>
      <c r="C279" s="1" t="n">
        <v>46088</v>
      </c>
      <c r="D279" t="inlineStr">
        <is>
          <t>KALMAR LÄN</t>
        </is>
      </c>
      <c r="E279" t="inlineStr">
        <is>
          <t>NYBRO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36098-2023</t>
        </is>
      </c>
      <c r="B280" s="1" t="n">
        <v>45149</v>
      </c>
      <c r="C280" s="1" t="n">
        <v>46088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23191-2025</t>
        </is>
      </c>
      <c r="B281" s="1" t="n">
        <v>45791.45240740741</v>
      </c>
      <c r="C281" s="1" t="n">
        <v>46088</v>
      </c>
      <c r="D281" t="inlineStr">
        <is>
          <t>KALMAR LÄN</t>
        </is>
      </c>
      <c r="E281" t="inlineStr">
        <is>
          <t>NYBRO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24487-2025</t>
        </is>
      </c>
      <c r="B282" s="1" t="n">
        <v>45798.38493055556</v>
      </c>
      <c r="C282" s="1" t="n">
        <v>46088</v>
      </c>
      <c r="D282" t="inlineStr">
        <is>
          <t>KALMAR LÄN</t>
        </is>
      </c>
      <c r="E282" t="inlineStr">
        <is>
          <t>NYBRO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46021-2023</t>
        </is>
      </c>
      <c r="B283" s="1" t="n">
        <v>45189</v>
      </c>
      <c r="C283" s="1" t="n">
        <v>46088</v>
      </c>
      <c r="D283" t="inlineStr">
        <is>
          <t>KALMAR LÄN</t>
        </is>
      </c>
      <c r="E283" t="inlineStr">
        <is>
          <t>NYBRO</t>
        </is>
      </c>
      <c r="F283" t="inlineStr">
        <is>
          <t>Kyrkan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6195-2025</t>
        </is>
      </c>
      <c r="B284" s="1" t="n">
        <v>45698.47010416666</v>
      </c>
      <c r="C284" s="1" t="n">
        <v>46088</v>
      </c>
      <c r="D284" t="inlineStr">
        <is>
          <t>KALMAR LÄN</t>
        </is>
      </c>
      <c r="E284" t="inlineStr">
        <is>
          <t>NYBRO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11683-2025</t>
        </is>
      </c>
      <c r="B285" s="1" t="n">
        <v>45727.54988425926</v>
      </c>
      <c r="C285" s="1" t="n">
        <v>46088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39174-2025</t>
        </is>
      </c>
      <c r="B286" s="1" t="n">
        <v>45888.65425925926</v>
      </c>
      <c r="C286" s="1" t="n">
        <v>46088</v>
      </c>
      <c r="D286" t="inlineStr">
        <is>
          <t>KALMAR LÄN</t>
        </is>
      </c>
      <c r="E286" t="inlineStr">
        <is>
          <t>NYBRO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38446-2021</t>
        </is>
      </c>
      <c r="B287" s="1" t="n">
        <v>44407.34103009259</v>
      </c>
      <c r="C287" s="1" t="n">
        <v>46088</v>
      </c>
      <c r="D287" t="inlineStr">
        <is>
          <t>KALMAR LÄN</t>
        </is>
      </c>
      <c r="E287" t="inlineStr">
        <is>
          <t>NYBRO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39034-2025</t>
        </is>
      </c>
      <c r="B288" s="1" t="n">
        <v>45888.41995370371</v>
      </c>
      <c r="C288" s="1" t="n">
        <v>46088</v>
      </c>
      <c r="D288" t="inlineStr">
        <is>
          <t>KALMAR LÄN</t>
        </is>
      </c>
      <c r="E288" t="inlineStr">
        <is>
          <t>NYBRO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16772-2025</t>
        </is>
      </c>
      <c r="B289" s="1" t="n">
        <v>45754.5805787037</v>
      </c>
      <c r="C289" s="1" t="n">
        <v>46088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18163-2021</t>
        </is>
      </c>
      <c r="B290" s="1" t="n">
        <v>44302.60905092592</v>
      </c>
      <c r="C290" s="1" t="n">
        <v>46088</v>
      </c>
      <c r="D290" t="inlineStr">
        <is>
          <t>KALMAR LÄN</t>
        </is>
      </c>
      <c r="E290" t="inlineStr">
        <is>
          <t>NYBRO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56895-2024</t>
        </is>
      </c>
      <c r="B291" s="1" t="n">
        <v>45628</v>
      </c>
      <c r="C291" s="1" t="n">
        <v>46088</v>
      </c>
      <c r="D291" t="inlineStr">
        <is>
          <t>KALMAR LÄN</t>
        </is>
      </c>
      <c r="E291" t="inlineStr">
        <is>
          <t>NYBRO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34362-2024</t>
        </is>
      </c>
      <c r="B292" s="1" t="n">
        <v>45525.37091435185</v>
      </c>
      <c r="C292" s="1" t="n">
        <v>46088</v>
      </c>
      <c r="D292" t="inlineStr">
        <is>
          <t>KALMAR LÄN</t>
        </is>
      </c>
      <c r="E292" t="inlineStr">
        <is>
          <t>NYBRO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39312-2025</t>
        </is>
      </c>
      <c r="B293" s="1" t="n">
        <v>45888</v>
      </c>
      <c r="C293" s="1" t="n">
        <v>46088</v>
      </c>
      <c r="D293" t="inlineStr">
        <is>
          <t>KALMAR LÄN</t>
        </is>
      </c>
      <c r="E293" t="inlineStr">
        <is>
          <t>NYBRO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46543-2023</t>
        </is>
      </c>
      <c r="B294" s="1" t="n">
        <v>45189</v>
      </c>
      <c r="C294" s="1" t="n">
        <v>46088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39738-2025</t>
        </is>
      </c>
      <c r="B295" s="1" t="n">
        <v>45891.37724537037</v>
      </c>
      <c r="C295" s="1" t="n">
        <v>46088</v>
      </c>
      <c r="D295" t="inlineStr">
        <is>
          <t>KALMAR LÄN</t>
        </is>
      </c>
      <c r="E295" t="inlineStr">
        <is>
          <t>NYBRO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43118-2022</t>
        </is>
      </c>
      <c r="B296" s="1" t="n">
        <v>44833.86636574074</v>
      </c>
      <c r="C296" s="1" t="n">
        <v>46088</v>
      </c>
      <c r="D296" t="inlineStr">
        <is>
          <t>KALMAR LÄN</t>
        </is>
      </c>
      <c r="E296" t="inlineStr">
        <is>
          <t>NYBRO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23933-2023</t>
        </is>
      </c>
      <c r="B297" s="1" t="n">
        <v>45075</v>
      </c>
      <c r="C297" s="1" t="n">
        <v>46088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20407-2025</t>
        </is>
      </c>
      <c r="B298" s="1" t="n">
        <v>45773</v>
      </c>
      <c r="C298" s="1" t="n">
        <v>46088</v>
      </c>
      <c r="D298" t="inlineStr">
        <is>
          <t>KALMAR LÄN</t>
        </is>
      </c>
      <c r="E298" t="inlineStr">
        <is>
          <t>NYBRO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60622-2023</t>
        </is>
      </c>
      <c r="B299" s="1" t="n">
        <v>45260</v>
      </c>
      <c r="C299" s="1" t="n">
        <v>46088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26101-2025</t>
        </is>
      </c>
      <c r="B300" s="1" t="n">
        <v>45805</v>
      </c>
      <c r="C300" s="1" t="n">
        <v>46088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17969-2025</t>
        </is>
      </c>
      <c r="B301" s="1" t="n">
        <v>45761.36119212963</v>
      </c>
      <c r="C301" s="1" t="n">
        <v>46088</v>
      </c>
      <c r="D301" t="inlineStr">
        <is>
          <t>KALMAR LÄN</t>
        </is>
      </c>
      <c r="E301" t="inlineStr">
        <is>
          <t>NYBRO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40234-2025</t>
        </is>
      </c>
      <c r="B302" s="1" t="n">
        <v>45894</v>
      </c>
      <c r="C302" s="1" t="n">
        <v>46088</v>
      </c>
      <c r="D302" t="inlineStr">
        <is>
          <t>KALMAR LÄN</t>
        </is>
      </c>
      <c r="E302" t="inlineStr">
        <is>
          <t>NYBRO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29557-2023</t>
        </is>
      </c>
      <c r="B303" s="1" t="n">
        <v>45106.66513888889</v>
      </c>
      <c r="C303" s="1" t="n">
        <v>46088</v>
      </c>
      <c r="D303" t="inlineStr">
        <is>
          <t>KALMAR LÄN</t>
        </is>
      </c>
      <c r="E303" t="inlineStr">
        <is>
          <t>NYBRO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40075-2025</t>
        </is>
      </c>
      <c r="B304" s="1" t="n">
        <v>45894.45178240741</v>
      </c>
      <c r="C304" s="1" t="n">
        <v>46088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40077-2025</t>
        </is>
      </c>
      <c r="B305" s="1" t="n">
        <v>45894.45385416667</v>
      </c>
      <c r="C305" s="1" t="n">
        <v>46088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38761-2024</t>
        </is>
      </c>
      <c r="B306" s="1" t="n">
        <v>45547.44084490741</v>
      </c>
      <c r="C306" s="1" t="n">
        <v>46088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40193-2025</t>
        </is>
      </c>
      <c r="B307" s="1" t="n">
        <v>45894</v>
      </c>
      <c r="C307" s="1" t="n">
        <v>46088</v>
      </c>
      <c r="D307" t="inlineStr">
        <is>
          <t>KALMAR LÄN</t>
        </is>
      </c>
      <c r="E307" t="inlineStr">
        <is>
          <t>NYBRO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55289-2022</t>
        </is>
      </c>
      <c r="B308" s="1" t="n">
        <v>44882</v>
      </c>
      <c r="C308" s="1" t="n">
        <v>46088</v>
      </c>
      <c r="D308" t="inlineStr">
        <is>
          <t>KALMAR LÄN</t>
        </is>
      </c>
      <c r="E308" t="inlineStr">
        <is>
          <t>NYBRO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19522-2023</t>
        </is>
      </c>
      <c r="B309" s="1" t="n">
        <v>45049</v>
      </c>
      <c r="C309" s="1" t="n">
        <v>46088</v>
      </c>
      <c r="D309" t="inlineStr">
        <is>
          <t>KALMAR LÄN</t>
        </is>
      </c>
      <c r="E309" t="inlineStr">
        <is>
          <t>NYBRO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51582-2023</t>
        </is>
      </c>
      <c r="B310" s="1" t="n">
        <v>45222.46246527778</v>
      </c>
      <c r="C310" s="1" t="n">
        <v>46088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26730-2025</t>
        </is>
      </c>
      <c r="B311" s="1" t="n">
        <v>45810.50623842593</v>
      </c>
      <c r="C311" s="1" t="n">
        <v>46088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29737-2021</t>
        </is>
      </c>
      <c r="B312" s="1" t="n">
        <v>44362</v>
      </c>
      <c r="C312" s="1" t="n">
        <v>46088</v>
      </c>
      <c r="D312" t="inlineStr">
        <is>
          <t>KALMAR LÄN</t>
        </is>
      </c>
      <c r="E312" t="inlineStr">
        <is>
          <t>NYBRO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24710-2025</t>
        </is>
      </c>
      <c r="B313" s="1" t="n">
        <v>45798.87049768519</v>
      </c>
      <c r="C313" s="1" t="n">
        <v>46088</v>
      </c>
      <c r="D313" t="inlineStr">
        <is>
          <t>KALMAR LÄN</t>
        </is>
      </c>
      <c r="E313" t="inlineStr">
        <is>
          <t>NYBRO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32673-2023</t>
        </is>
      </c>
      <c r="B314" s="1" t="n">
        <v>45121</v>
      </c>
      <c r="C314" s="1" t="n">
        <v>46088</v>
      </c>
      <c r="D314" t="inlineStr">
        <is>
          <t>KALMAR LÄN</t>
        </is>
      </c>
      <c r="E314" t="inlineStr">
        <is>
          <t>NYBRO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10457-2024</t>
        </is>
      </c>
      <c r="B315" s="1" t="n">
        <v>45366.36186342593</v>
      </c>
      <c r="C315" s="1" t="n">
        <v>46088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27150-2025</t>
        </is>
      </c>
      <c r="B316" s="1" t="n">
        <v>45812.31928240741</v>
      </c>
      <c r="C316" s="1" t="n">
        <v>46088</v>
      </c>
      <c r="D316" t="inlineStr">
        <is>
          <t>KALMAR LÄN</t>
        </is>
      </c>
      <c r="E316" t="inlineStr">
        <is>
          <t>NYBRO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29420-2025</t>
        </is>
      </c>
      <c r="B317" s="1" t="n">
        <v>45824.63803240741</v>
      </c>
      <c r="C317" s="1" t="n">
        <v>46088</v>
      </c>
      <c r="D317" t="inlineStr">
        <is>
          <t>KALMAR LÄN</t>
        </is>
      </c>
      <c r="E317" t="inlineStr">
        <is>
          <t>NYBRO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60603-2023</t>
        </is>
      </c>
      <c r="B318" s="1" t="n">
        <v>45260</v>
      </c>
      <c r="C318" s="1" t="n">
        <v>46088</v>
      </c>
      <c r="D318" t="inlineStr">
        <is>
          <t>KALMAR LÄN</t>
        </is>
      </c>
      <c r="E318" t="inlineStr">
        <is>
          <t>NYBRO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27658-2025</t>
        </is>
      </c>
      <c r="B319" s="1" t="n">
        <v>45813.61375</v>
      </c>
      <c r="C319" s="1" t="n">
        <v>46088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52459-2023</t>
        </is>
      </c>
      <c r="B320" s="1" t="n">
        <v>45225</v>
      </c>
      <c r="C320" s="1" t="n">
        <v>46088</v>
      </c>
      <c r="D320" t="inlineStr">
        <is>
          <t>KALMAR LÄN</t>
        </is>
      </c>
      <c r="E320" t="inlineStr">
        <is>
          <t>NYBRO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8384-2026</t>
        </is>
      </c>
      <c r="B321" s="1" t="n">
        <v>46064.83010416666</v>
      </c>
      <c r="C321" s="1" t="n">
        <v>46088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27357-2021</t>
        </is>
      </c>
      <c r="B322" s="1" t="n">
        <v>44351</v>
      </c>
      <c r="C322" s="1" t="n">
        <v>46088</v>
      </c>
      <c r="D322" t="inlineStr">
        <is>
          <t>KALMAR LÄN</t>
        </is>
      </c>
      <c r="E322" t="inlineStr">
        <is>
          <t>NYBRO</t>
        </is>
      </c>
      <c r="G322" t="n">
        <v>16.5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41628-2025</t>
        </is>
      </c>
      <c r="B323" s="1" t="n">
        <v>45901.85667824074</v>
      </c>
      <c r="C323" s="1" t="n">
        <v>46088</v>
      </c>
      <c r="D323" t="inlineStr">
        <is>
          <t>KALMAR LÄN</t>
        </is>
      </c>
      <c r="E323" t="inlineStr">
        <is>
          <t>NYBRO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41630-2025</t>
        </is>
      </c>
      <c r="B324" s="1" t="n">
        <v>45901.8715625</v>
      </c>
      <c r="C324" s="1" t="n">
        <v>46088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27320-2025</t>
        </is>
      </c>
      <c r="B325" s="1" t="n">
        <v>45812.59289351852</v>
      </c>
      <c r="C325" s="1" t="n">
        <v>46088</v>
      </c>
      <c r="D325" t="inlineStr">
        <is>
          <t>KALMAR LÄN</t>
        </is>
      </c>
      <c r="E325" t="inlineStr">
        <is>
          <t>NYBRO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35134-2025</t>
        </is>
      </c>
      <c r="B326" s="1" t="n">
        <v>45852.64087962963</v>
      </c>
      <c r="C326" s="1" t="n">
        <v>46088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61237-2025</t>
        </is>
      </c>
      <c r="B327" s="1" t="n">
        <v>46000.64511574074</v>
      </c>
      <c r="C327" s="1" t="n">
        <v>46088</v>
      </c>
      <c r="D327" t="inlineStr">
        <is>
          <t>KALMAR LÄN</t>
        </is>
      </c>
      <c r="E327" t="inlineStr">
        <is>
          <t>NYBRO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7481-2024</t>
        </is>
      </c>
      <c r="B328" s="1" t="n">
        <v>45346.58555555555</v>
      </c>
      <c r="C328" s="1" t="n">
        <v>46088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11156-2023</t>
        </is>
      </c>
      <c r="B329" s="1" t="n">
        <v>44992.53199074074</v>
      </c>
      <c r="C329" s="1" t="n">
        <v>46088</v>
      </c>
      <c r="D329" t="inlineStr">
        <is>
          <t>KALMAR LÄN</t>
        </is>
      </c>
      <c r="E329" t="inlineStr">
        <is>
          <t>NYBRO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27663-2025</t>
        </is>
      </c>
      <c r="B330" s="1" t="n">
        <v>45813.61592592593</v>
      </c>
      <c r="C330" s="1" t="n">
        <v>46088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27664-2025</t>
        </is>
      </c>
      <c r="B331" s="1" t="n">
        <v>45813.61734953704</v>
      </c>
      <c r="C331" s="1" t="n">
        <v>46088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16720-2024</t>
        </is>
      </c>
      <c r="B332" s="1" t="n">
        <v>45409.28716435185</v>
      </c>
      <c r="C332" s="1" t="n">
        <v>46088</v>
      </c>
      <c r="D332" t="inlineStr">
        <is>
          <t>KALMAR LÄN</t>
        </is>
      </c>
      <c r="E332" t="inlineStr">
        <is>
          <t>NYBRO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42576-2025</t>
        </is>
      </c>
      <c r="B333" s="1" t="n">
        <v>45905.61746527778</v>
      </c>
      <c r="C333" s="1" t="n">
        <v>46088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42032-2024</t>
        </is>
      </c>
      <c r="B334" s="1" t="n">
        <v>45561</v>
      </c>
      <c r="C334" s="1" t="n">
        <v>46088</v>
      </c>
      <c r="D334" t="inlineStr">
        <is>
          <t>KALMAR LÄN</t>
        </is>
      </c>
      <c r="E334" t="inlineStr">
        <is>
          <t>NYBRO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42037-2024</t>
        </is>
      </c>
      <c r="B335" s="1" t="n">
        <v>45561</v>
      </c>
      <c r="C335" s="1" t="n">
        <v>46088</v>
      </c>
      <c r="D335" t="inlineStr">
        <is>
          <t>KALMAR LÄN</t>
        </is>
      </c>
      <c r="E335" t="inlineStr">
        <is>
          <t>NYBRO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42814-2025</t>
        </is>
      </c>
      <c r="B336" s="1" t="n">
        <v>45908.56230324074</v>
      </c>
      <c r="C336" s="1" t="n">
        <v>46088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42780-2025</t>
        </is>
      </c>
      <c r="B337" s="1" t="n">
        <v>45908.49853009259</v>
      </c>
      <c r="C337" s="1" t="n">
        <v>46088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191-2023</t>
        </is>
      </c>
      <c r="B338" s="1" t="n">
        <v>44928.58678240741</v>
      </c>
      <c r="C338" s="1" t="n">
        <v>46088</v>
      </c>
      <c r="D338" t="inlineStr">
        <is>
          <t>KALMAR LÄN</t>
        </is>
      </c>
      <c r="E338" t="inlineStr">
        <is>
          <t>NYBRO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28362-2025</t>
        </is>
      </c>
      <c r="B339" s="1" t="n">
        <v>45818</v>
      </c>
      <c r="C339" s="1" t="n">
        <v>46088</v>
      </c>
      <c r="D339" t="inlineStr">
        <is>
          <t>KALMAR LÄN</t>
        </is>
      </c>
      <c r="E339" t="inlineStr">
        <is>
          <t>NYBRO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18884-2022</t>
        </is>
      </c>
      <c r="B340" s="1" t="n">
        <v>44690.55664351852</v>
      </c>
      <c r="C340" s="1" t="n">
        <v>46088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28131-2025</t>
        </is>
      </c>
      <c r="B341" s="1" t="n">
        <v>45818.33222222222</v>
      </c>
      <c r="C341" s="1" t="n">
        <v>46088</v>
      </c>
      <c r="D341" t="inlineStr">
        <is>
          <t>KALMAR LÄN</t>
        </is>
      </c>
      <c r="E341" t="inlineStr">
        <is>
          <t>NYBRO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44014-2024</t>
        </is>
      </c>
      <c r="B342" s="1" t="n">
        <v>45572.55528935185</v>
      </c>
      <c r="C342" s="1" t="n">
        <v>46088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44064-2023</t>
        </is>
      </c>
      <c r="B343" s="1" t="n">
        <v>45188</v>
      </c>
      <c r="C343" s="1" t="n">
        <v>46088</v>
      </c>
      <c r="D343" t="inlineStr">
        <is>
          <t>KALMAR LÄN</t>
        </is>
      </c>
      <c r="E343" t="inlineStr">
        <is>
          <t>NYBRO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32048-2022</t>
        </is>
      </c>
      <c r="B344" s="1" t="n">
        <v>44778.47969907407</v>
      </c>
      <c r="C344" s="1" t="n">
        <v>46088</v>
      </c>
      <c r="D344" t="inlineStr">
        <is>
          <t>KALMAR LÄN</t>
        </is>
      </c>
      <c r="E344" t="inlineStr">
        <is>
          <t>NYBRO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33292-2025</t>
        </is>
      </c>
      <c r="B345" s="1" t="n">
        <v>45840.8866087963</v>
      </c>
      <c r="C345" s="1" t="n">
        <v>46088</v>
      </c>
      <c r="D345" t="inlineStr">
        <is>
          <t>KALMAR LÄN</t>
        </is>
      </c>
      <c r="E345" t="inlineStr">
        <is>
          <t>NYBRO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43412-2025</t>
        </is>
      </c>
      <c r="B346" s="1" t="n">
        <v>45911.40376157407</v>
      </c>
      <c r="C346" s="1" t="n">
        <v>46088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28754-2025</t>
        </is>
      </c>
      <c r="B347" s="1" t="n">
        <v>45820.40359953704</v>
      </c>
      <c r="C347" s="1" t="n">
        <v>46088</v>
      </c>
      <c r="D347" t="inlineStr">
        <is>
          <t>KALMAR LÄN</t>
        </is>
      </c>
      <c r="E347" t="inlineStr">
        <is>
          <t>NYBRO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489-2025</t>
        </is>
      </c>
      <c r="B348" s="1" t="n">
        <v>45664</v>
      </c>
      <c r="C348" s="1" t="n">
        <v>46088</v>
      </c>
      <c r="D348" t="inlineStr">
        <is>
          <t>KALMAR LÄN</t>
        </is>
      </c>
      <c r="E348" t="inlineStr">
        <is>
          <t>NYBRO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43106-2025</t>
        </is>
      </c>
      <c r="B349" s="1" t="n">
        <v>45909</v>
      </c>
      <c r="C349" s="1" t="n">
        <v>46088</v>
      </c>
      <c r="D349" t="inlineStr">
        <is>
          <t>KALMAR LÄN</t>
        </is>
      </c>
      <c r="E349" t="inlineStr">
        <is>
          <t>NYBRO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28756-2025</t>
        </is>
      </c>
      <c r="B350" s="1" t="n">
        <v>45820.4099537037</v>
      </c>
      <c r="C350" s="1" t="n">
        <v>46088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8382-2026</t>
        </is>
      </c>
      <c r="B351" s="1" t="n">
        <v>46064.82334490741</v>
      </c>
      <c r="C351" s="1" t="n">
        <v>46088</v>
      </c>
      <c r="D351" t="inlineStr">
        <is>
          <t>KALMAR LÄN</t>
        </is>
      </c>
      <c r="E351" t="inlineStr">
        <is>
          <t>NYBRO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50976-2022</t>
        </is>
      </c>
      <c r="B352" s="1" t="n">
        <v>44867.83100694444</v>
      </c>
      <c r="C352" s="1" t="n">
        <v>46088</v>
      </c>
      <c r="D352" t="inlineStr">
        <is>
          <t>KALMAR LÄN</t>
        </is>
      </c>
      <c r="E352" t="inlineStr">
        <is>
          <t>NYBRO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29059-2025</t>
        </is>
      </c>
      <c r="B353" s="1" t="n">
        <v>45821.48188657407</v>
      </c>
      <c r="C353" s="1" t="n">
        <v>46088</v>
      </c>
      <c r="D353" t="inlineStr">
        <is>
          <t>KALMAR LÄN</t>
        </is>
      </c>
      <c r="E353" t="inlineStr">
        <is>
          <t>NYBRO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6306-2024</t>
        </is>
      </c>
      <c r="B354" s="1" t="n">
        <v>45338.3546412037</v>
      </c>
      <c r="C354" s="1" t="n">
        <v>46088</v>
      </c>
      <c r="D354" t="inlineStr">
        <is>
          <t>KALMAR LÄN</t>
        </is>
      </c>
      <c r="E354" t="inlineStr">
        <is>
          <t>NYBRO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43338-2025</t>
        </is>
      </c>
      <c r="B355" s="1" t="n">
        <v>45910.73662037037</v>
      </c>
      <c r="C355" s="1" t="n">
        <v>46088</v>
      </c>
      <c r="D355" t="inlineStr">
        <is>
          <t>KALMAR LÄN</t>
        </is>
      </c>
      <c r="E355" t="inlineStr">
        <is>
          <t>NYBRO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29543-2024</t>
        </is>
      </c>
      <c r="B356" s="1" t="n">
        <v>45484.50075231482</v>
      </c>
      <c r="C356" s="1" t="n">
        <v>46088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28755-2025</t>
        </is>
      </c>
      <c r="B357" s="1" t="n">
        <v>45820.40600694445</v>
      </c>
      <c r="C357" s="1" t="n">
        <v>46088</v>
      </c>
      <c r="D357" t="inlineStr">
        <is>
          <t>KALMAR LÄN</t>
        </is>
      </c>
      <c r="E357" t="inlineStr">
        <is>
          <t>NYBRO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28767-2025</t>
        </is>
      </c>
      <c r="B358" s="1" t="n">
        <v>45820.43005787037</v>
      </c>
      <c r="C358" s="1" t="n">
        <v>46088</v>
      </c>
      <c r="D358" t="inlineStr">
        <is>
          <t>KALMAR LÄN</t>
        </is>
      </c>
      <c r="E358" t="inlineStr">
        <is>
          <t>NYBRO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16268-2024</t>
        </is>
      </c>
      <c r="B359" s="1" t="n">
        <v>45407.33482638889</v>
      </c>
      <c r="C359" s="1" t="n">
        <v>46088</v>
      </c>
      <c r="D359" t="inlineStr">
        <is>
          <t>KALMAR LÄN</t>
        </is>
      </c>
      <c r="E359" t="inlineStr">
        <is>
          <t>NYBRO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43432-2025</t>
        </is>
      </c>
      <c r="B360" s="1" t="n">
        <v>45911.42645833334</v>
      </c>
      <c r="C360" s="1" t="n">
        <v>46088</v>
      </c>
      <c r="D360" t="inlineStr">
        <is>
          <t>KALMAR LÄN</t>
        </is>
      </c>
      <c r="E360" t="inlineStr">
        <is>
          <t>NYBRO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28683-2024</t>
        </is>
      </c>
      <c r="B361" s="1" t="n">
        <v>45478</v>
      </c>
      <c r="C361" s="1" t="n">
        <v>46088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29586-2025</t>
        </is>
      </c>
      <c r="B362" s="1" t="n">
        <v>45825.38628472222</v>
      </c>
      <c r="C362" s="1" t="n">
        <v>46088</v>
      </c>
      <c r="D362" t="inlineStr">
        <is>
          <t>KALMAR LÄN</t>
        </is>
      </c>
      <c r="E362" t="inlineStr">
        <is>
          <t>NYBRO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5214-2023</t>
        </is>
      </c>
      <c r="B363" s="1" t="n">
        <v>44959</v>
      </c>
      <c r="C363" s="1" t="n">
        <v>46088</v>
      </c>
      <c r="D363" t="inlineStr">
        <is>
          <t>KALMAR LÄN</t>
        </is>
      </c>
      <c r="E363" t="inlineStr">
        <is>
          <t>NYBRO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29368-2025</t>
        </is>
      </c>
      <c r="B364" s="1" t="n">
        <v>45824.57248842593</v>
      </c>
      <c r="C364" s="1" t="n">
        <v>46088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43909-2025</t>
        </is>
      </c>
      <c r="B365" s="1" t="n">
        <v>45914.37706018519</v>
      </c>
      <c r="C365" s="1" t="n">
        <v>46088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43923-2025</t>
        </is>
      </c>
      <c r="B366" s="1" t="n">
        <v>45915.28944444445</v>
      </c>
      <c r="C366" s="1" t="n">
        <v>46088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29320-2025</t>
        </is>
      </c>
      <c r="B367" s="1" t="n">
        <v>45824.47503472222</v>
      </c>
      <c r="C367" s="1" t="n">
        <v>46088</v>
      </c>
      <c r="D367" t="inlineStr">
        <is>
          <t>KALMAR LÄN</t>
        </is>
      </c>
      <c r="E367" t="inlineStr">
        <is>
          <t>NYBRO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22316-2024</t>
        </is>
      </c>
      <c r="B368" s="1" t="n">
        <v>45446.57478009259</v>
      </c>
      <c r="C368" s="1" t="n">
        <v>46088</v>
      </c>
      <c r="D368" t="inlineStr">
        <is>
          <t>KALMAR LÄN</t>
        </is>
      </c>
      <c r="E368" t="inlineStr">
        <is>
          <t>NYBRO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43759-2025</t>
        </is>
      </c>
      <c r="B369" s="1" t="n">
        <v>45912.47719907408</v>
      </c>
      <c r="C369" s="1" t="n">
        <v>46088</v>
      </c>
      <c r="D369" t="inlineStr">
        <is>
          <t>KALMAR LÄN</t>
        </is>
      </c>
      <c r="E369" t="inlineStr">
        <is>
          <t>NYBRO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29361-2025</t>
        </is>
      </c>
      <c r="B370" s="1" t="n">
        <v>45824.56317129629</v>
      </c>
      <c r="C370" s="1" t="n">
        <v>46088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43766-2025</t>
        </is>
      </c>
      <c r="B371" s="1" t="n">
        <v>45912.49222222222</v>
      </c>
      <c r="C371" s="1" t="n">
        <v>46088</v>
      </c>
      <c r="D371" t="inlineStr">
        <is>
          <t>KALMAR LÄN</t>
        </is>
      </c>
      <c r="E371" t="inlineStr">
        <is>
          <t>NYBRO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3300-2023</t>
        </is>
      </c>
      <c r="B372" s="1" t="n">
        <v>44949.39141203704</v>
      </c>
      <c r="C372" s="1" t="n">
        <v>46088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44713-2025</t>
        </is>
      </c>
      <c r="B373" s="1" t="n">
        <v>45917.62305555555</v>
      </c>
      <c r="C373" s="1" t="n">
        <v>46088</v>
      </c>
      <c r="D373" t="inlineStr">
        <is>
          <t>KALMAR LÄN</t>
        </is>
      </c>
      <c r="E373" t="inlineStr">
        <is>
          <t>NYBRO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44724-2025</t>
        </is>
      </c>
      <c r="B374" s="1" t="n">
        <v>45917.64195601852</v>
      </c>
      <c r="C374" s="1" t="n">
        <v>46088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9009-2026</t>
        </is>
      </c>
      <c r="B375" s="1" t="n">
        <v>46069.48200231481</v>
      </c>
      <c r="C375" s="1" t="n">
        <v>46088</v>
      </c>
      <c r="D375" t="inlineStr">
        <is>
          <t>KALMAR LÄN</t>
        </is>
      </c>
      <c r="E375" t="inlineStr">
        <is>
          <t>NYBRO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21613-2023</t>
        </is>
      </c>
      <c r="B376" s="1" t="n">
        <v>45063</v>
      </c>
      <c r="C376" s="1" t="n">
        <v>46088</v>
      </c>
      <c r="D376" t="inlineStr">
        <is>
          <t>KALMAR LÄN</t>
        </is>
      </c>
      <c r="E376" t="inlineStr">
        <is>
          <t>NYBRO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44660-2025</t>
        </is>
      </c>
      <c r="B377" s="1" t="n">
        <v>45917.55601851852</v>
      </c>
      <c r="C377" s="1" t="n">
        <v>46088</v>
      </c>
      <c r="D377" t="inlineStr">
        <is>
          <t>KALMAR LÄN</t>
        </is>
      </c>
      <c r="E377" t="inlineStr">
        <is>
          <t>NYBRO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44661-2025</t>
        </is>
      </c>
      <c r="B378" s="1" t="n">
        <v>45917.55890046297</v>
      </c>
      <c r="C378" s="1" t="n">
        <v>46088</v>
      </c>
      <c r="D378" t="inlineStr">
        <is>
          <t>KALMAR LÄN</t>
        </is>
      </c>
      <c r="E378" t="inlineStr">
        <is>
          <t>NYBRO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59545-2023</t>
        </is>
      </c>
      <c r="B379" s="1" t="n">
        <v>45254.55388888889</v>
      </c>
      <c r="C379" s="1" t="n">
        <v>46088</v>
      </c>
      <c r="D379" t="inlineStr">
        <is>
          <t>KALMAR LÄN</t>
        </is>
      </c>
      <c r="E379" t="inlineStr">
        <is>
          <t>NYBRO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44609-2025</t>
        </is>
      </c>
      <c r="B380" s="1" t="n">
        <v>45917.45019675926</v>
      </c>
      <c r="C380" s="1" t="n">
        <v>46088</v>
      </c>
      <c r="D380" t="inlineStr">
        <is>
          <t>KALMAR LÄN</t>
        </is>
      </c>
      <c r="E380" t="inlineStr">
        <is>
          <t>NYBRO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5340-2023</t>
        </is>
      </c>
      <c r="B381" s="1" t="n">
        <v>44959.60054398148</v>
      </c>
      <c r="C381" s="1" t="n">
        <v>46088</v>
      </c>
      <c r="D381" t="inlineStr">
        <is>
          <t>KALMAR LÄN</t>
        </is>
      </c>
      <c r="E381" t="inlineStr">
        <is>
          <t>NYBRO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44368-2023</t>
        </is>
      </c>
      <c r="B382" s="1" t="n">
        <v>45188</v>
      </c>
      <c r="C382" s="1" t="n">
        <v>46088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18966-2021</t>
        </is>
      </c>
      <c r="B383" s="1" t="n">
        <v>44308</v>
      </c>
      <c r="C383" s="1" t="n">
        <v>46088</v>
      </c>
      <c r="D383" t="inlineStr">
        <is>
          <t>KALMAR LÄN</t>
        </is>
      </c>
      <c r="E383" t="inlineStr">
        <is>
          <t>NYBRO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44771-2025</t>
        </is>
      </c>
      <c r="B384" s="1" t="n">
        <v>45917.78599537037</v>
      </c>
      <c r="C384" s="1" t="n">
        <v>46088</v>
      </c>
      <c r="D384" t="inlineStr">
        <is>
          <t>KALMAR LÄN</t>
        </is>
      </c>
      <c r="E384" t="inlineStr">
        <is>
          <t>NYBRO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7238-2025</t>
        </is>
      </c>
      <c r="B385" s="1" t="n">
        <v>45702.52855324074</v>
      </c>
      <c r="C385" s="1" t="n">
        <v>46088</v>
      </c>
      <c r="D385" t="inlineStr">
        <is>
          <t>KALMAR LÄN</t>
        </is>
      </c>
      <c r="E385" t="inlineStr">
        <is>
          <t>NYBRO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44973-2025</t>
        </is>
      </c>
      <c r="B386" s="1" t="n">
        <v>45918.64011574074</v>
      </c>
      <c r="C386" s="1" t="n">
        <v>46088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30510-2025</t>
        </is>
      </c>
      <c r="B387" s="1" t="n">
        <v>45831.28561342593</v>
      </c>
      <c r="C387" s="1" t="n">
        <v>46088</v>
      </c>
      <c r="D387" t="inlineStr">
        <is>
          <t>KALMAR LÄN</t>
        </is>
      </c>
      <c r="E387" t="inlineStr">
        <is>
          <t>NYBRO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61316-2022</t>
        </is>
      </c>
      <c r="B388" s="1" t="n">
        <v>44915.64974537037</v>
      </c>
      <c r="C388" s="1" t="n">
        <v>46088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15100-2025</t>
        </is>
      </c>
      <c r="B389" s="1" t="n">
        <v>45744.34409722222</v>
      </c>
      <c r="C389" s="1" t="n">
        <v>46088</v>
      </c>
      <c r="D389" t="inlineStr">
        <is>
          <t>KALMAR LÄN</t>
        </is>
      </c>
      <c r="E389" t="inlineStr">
        <is>
          <t>NYBRO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31540-2025</t>
        </is>
      </c>
      <c r="B390" s="1" t="n">
        <v>45833.63016203704</v>
      </c>
      <c r="C390" s="1" t="n">
        <v>46088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14534-2024</t>
        </is>
      </c>
      <c r="B391" s="1" t="n">
        <v>45394.64731481481</v>
      </c>
      <c r="C391" s="1" t="n">
        <v>46088</v>
      </c>
      <c r="D391" t="inlineStr">
        <is>
          <t>KALMAR LÄN</t>
        </is>
      </c>
      <c r="E391" t="inlineStr">
        <is>
          <t>NYBRO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34345-2024</t>
        </is>
      </c>
      <c r="B392" s="1" t="n">
        <v>45525.33855324074</v>
      </c>
      <c r="C392" s="1" t="n">
        <v>46088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23607-2022</t>
        </is>
      </c>
      <c r="B393" s="1" t="n">
        <v>44721</v>
      </c>
      <c r="C393" s="1" t="n">
        <v>46088</v>
      </c>
      <c r="D393" t="inlineStr">
        <is>
          <t>KALMAR LÄN</t>
        </is>
      </c>
      <c r="E393" t="inlineStr">
        <is>
          <t>NYBRO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31223-2025</t>
        </is>
      </c>
      <c r="B394" s="1" t="n">
        <v>45832</v>
      </c>
      <c r="C394" s="1" t="n">
        <v>46088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58933-2022</t>
        </is>
      </c>
      <c r="B395" s="1" t="n">
        <v>44903.63063657407</v>
      </c>
      <c r="C395" s="1" t="n">
        <v>46088</v>
      </c>
      <c r="D395" t="inlineStr">
        <is>
          <t>KALMAR LÄN</t>
        </is>
      </c>
      <c r="E395" t="inlineStr">
        <is>
          <t>NYBRO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49051-2021</t>
        </is>
      </c>
      <c r="B396" s="1" t="n">
        <v>44453</v>
      </c>
      <c r="C396" s="1" t="n">
        <v>46088</v>
      </c>
      <c r="D396" t="inlineStr">
        <is>
          <t>KALMAR LÄN</t>
        </is>
      </c>
      <c r="E396" t="inlineStr">
        <is>
          <t>NYBRO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10654-2024</t>
        </is>
      </c>
      <c r="B397" s="1" t="n">
        <v>45368.71136574074</v>
      </c>
      <c r="C397" s="1" t="n">
        <v>46088</v>
      </c>
      <c r="D397" t="inlineStr">
        <is>
          <t>KALMAR LÄN</t>
        </is>
      </c>
      <c r="E397" t="inlineStr">
        <is>
          <t>NYBRO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10737-2024</t>
        </is>
      </c>
      <c r="B398" s="1" t="n">
        <v>45369.51261574074</v>
      </c>
      <c r="C398" s="1" t="n">
        <v>46088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20162-2025</t>
        </is>
      </c>
      <c r="B399" s="1" t="n">
        <v>45772.56983796296</v>
      </c>
      <c r="C399" s="1" t="n">
        <v>46088</v>
      </c>
      <c r="D399" t="inlineStr">
        <is>
          <t>KALMAR LÄN</t>
        </is>
      </c>
      <c r="E399" t="inlineStr">
        <is>
          <t>NYBRO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45301-2025</t>
        </is>
      </c>
      <c r="B400" s="1" t="n">
        <v>45921.35350694445</v>
      </c>
      <c r="C400" s="1" t="n">
        <v>46088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36383-2021</t>
        </is>
      </c>
      <c r="B401" s="1" t="n">
        <v>44390</v>
      </c>
      <c r="C401" s="1" t="n">
        <v>46088</v>
      </c>
      <c r="D401" t="inlineStr">
        <is>
          <t>KALMAR LÄN</t>
        </is>
      </c>
      <c r="E401" t="inlineStr">
        <is>
          <t>NYBRO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31076-2021</t>
        </is>
      </c>
      <c r="B402" s="1" t="n">
        <v>44368.47782407407</v>
      </c>
      <c r="C402" s="1" t="n">
        <v>46088</v>
      </c>
      <c r="D402" t="inlineStr">
        <is>
          <t>KALMAR LÄN</t>
        </is>
      </c>
      <c r="E402" t="inlineStr">
        <is>
          <t>NYBRO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31535-2025</t>
        </is>
      </c>
      <c r="B403" s="1" t="n">
        <v>45833.62319444444</v>
      </c>
      <c r="C403" s="1" t="n">
        <v>46088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31753-2025</t>
        </is>
      </c>
      <c r="B404" s="1" t="n">
        <v>45834.48547453704</v>
      </c>
      <c r="C404" s="1" t="n">
        <v>46088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46489-2025</t>
        </is>
      </c>
      <c r="B405" s="1" t="n">
        <v>45925.73370370371</v>
      </c>
      <c r="C405" s="1" t="n">
        <v>46088</v>
      </c>
      <c r="D405" t="inlineStr">
        <is>
          <t>KALMAR LÄN</t>
        </is>
      </c>
      <c r="E405" t="inlineStr">
        <is>
          <t>NYBRO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31747-2025</t>
        </is>
      </c>
      <c r="B406" s="1" t="n">
        <v>45834.48055555556</v>
      </c>
      <c r="C406" s="1" t="n">
        <v>46088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47435-2022</t>
        </is>
      </c>
      <c r="B407" s="1" t="n">
        <v>44853.58972222222</v>
      </c>
      <c r="C407" s="1" t="n">
        <v>46088</v>
      </c>
      <c r="D407" t="inlineStr">
        <is>
          <t>KALMAR LÄN</t>
        </is>
      </c>
      <c r="E407" t="inlineStr">
        <is>
          <t>NYBRO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46353-2025</t>
        </is>
      </c>
      <c r="B408" s="1" t="n">
        <v>45925.48741898148</v>
      </c>
      <c r="C408" s="1" t="n">
        <v>46088</v>
      </c>
      <c r="D408" t="inlineStr">
        <is>
          <t>KALMAR LÄN</t>
        </is>
      </c>
      <c r="E408" t="inlineStr">
        <is>
          <t>NYBRO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56215-2022</t>
        </is>
      </c>
      <c r="B409" s="1" t="n">
        <v>44890.45898148148</v>
      </c>
      <c r="C409" s="1" t="n">
        <v>46088</v>
      </c>
      <c r="D409" t="inlineStr">
        <is>
          <t>KALMAR LÄN</t>
        </is>
      </c>
      <c r="E409" t="inlineStr">
        <is>
          <t>NYBRO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23814-2023</t>
        </is>
      </c>
      <c r="B410" s="1" t="n">
        <v>45078</v>
      </c>
      <c r="C410" s="1" t="n">
        <v>46088</v>
      </c>
      <c r="D410" t="inlineStr">
        <is>
          <t>KALMAR LÄN</t>
        </is>
      </c>
      <c r="E410" t="inlineStr">
        <is>
          <t>NYBRO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31707-2025</t>
        </is>
      </c>
      <c r="B411" s="1" t="n">
        <v>45834.42243055555</v>
      </c>
      <c r="C411" s="1" t="n">
        <v>46088</v>
      </c>
      <c r="D411" t="inlineStr">
        <is>
          <t>KALMAR LÄN</t>
        </is>
      </c>
      <c r="E411" t="inlineStr">
        <is>
          <t>NYBRO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9001-2026</t>
        </is>
      </c>
      <c r="B412" s="1" t="n">
        <v>46069.47516203704</v>
      </c>
      <c r="C412" s="1" t="n">
        <v>46088</v>
      </c>
      <c r="D412" t="inlineStr">
        <is>
          <t>KALMAR LÄN</t>
        </is>
      </c>
      <c r="E412" t="inlineStr">
        <is>
          <t>NYBRO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3726-2023</t>
        </is>
      </c>
      <c r="B413" s="1" t="n">
        <v>44951.40828703704</v>
      </c>
      <c r="C413" s="1" t="n">
        <v>46088</v>
      </c>
      <c r="D413" t="inlineStr">
        <is>
          <t>KALMAR LÄN</t>
        </is>
      </c>
      <c r="E413" t="inlineStr">
        <is>
          <t>NYBRO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45911-2025</t>
        </is>
      </c>
      <c r="B414" s="1" t="n">
        <v>45923.75690972222</v>
      </c>
      <c r="C414" s="1" t="n">
        <v>46088</v>
      </c>
      <c r="D414" t="inlineStr">
        <is>
          <t>KALMAR LÄN</t>
        </is>
      </c>
      <c r="E414" t="inlineStr">
        <is>
          <t>NYBRO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31763-2025</t>
        </is>
      </c>
      <c r="B415" s="1" t="n">
        <v>45834.49290509259</v>
      </c>
      <c r="C415" s="1" t="n">
        <v>46088</v>
      </c>
      <c r="D415" t="inlineStr">
        <is>
          <t>KALMAR LÄN</t>
        </is>
      </c>
      <c r="E415" t="inlineStr">
        <is>
          <t>NYBRO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19363-2024</t>
        </is>
      </c>
      <c r="B416" s="1" t="n">
        <v>45429.32715277778</v>
      </c>
      <c r="C416" s="1" t="n">
        <v>46088</v>
      </c>
      <c r="D416" t="inlineStr">
        <is>
          <t>KALMAR LÄN</t>
        </is>
      </c>
      <c r="E416" t="inlineStr">
        <is>
          <t>NYBRO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5405-2024</t>
        </is>
      </c>
      <c r="B417" s="1" t="n">
        <v>45331.60153935185</v>
      </c>
      <c r="C417" s="1" t="n">
        <v>46088</v>
      </c>
      <c r="D417" t="inlineStr">
        <is>
          <t>KALMAR LÄN</t>
        </is>
      </c>
      <c r="E417" t="inlineStr">
        <is>
          <t>NYBRO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46673-2025</t>
        </is>
      </c>
      <c r="B418" s="1" t="n">
        <v>45926.54017361111</v>
      </c>
      <c r="C418" s="1" t="n">
        <v>46088</v>
      </c>
      <c r="D418" t="inlineStr">
        <is>
          <t>KALMAR LÄN</t>
        </is>
      </c>
      <c r="E418" t="inlineStr">
        <is>
          <t>NYBRO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46679-2025</t>
        </is>
      </c>
      <c r="B419" s="1" t="n">
        <v>45926.54600694445</v>
      </c>
      <c r="C419" s="1" t="n">
        <v>46088</v>
      </c>
      <c r="D419" t="inlineStr">
        <is>
          <t>KALMAR LÄN</t>
        </is>
      </c>
      <c r="E419" t="inlineStr">
        <is>
          <t>NYBRO</t>
        </is>
      </c>
      <c r="G419" t="n">
        <v>17.8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41974-2024</t>
        </is>
      </c>
      <c r="B420" s="1" t="n">
        <v>45561.61627314815</v>
      </c>
      <c r="C420" s="1" t="n">
        <v>46088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46698-2025</t>
        </is>
      </c>
      <c r="B421" s="1" t="n">
        <v>45926.56071759259</v>
      </c>
      <c r="C421" s="1" t="n">
        <v>46088</v>
      </c>
      <c r="D421" t="inlineStr">
        <is>
          <t>KALMAR LÄN</t>
        </is>
      </c>
      <c r="E421" t="inlineStr">
        <is>
          <t>NYBRO</t>
        </is>
      </c>
      <c r="G421" t="n">
        <v>17.3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53614-2023</t>
        </is>
      </c>
      <c r="B422" s="1" t="n">
        <v>45223</v>
      </c>
      <c r="C422" s="1" t="n">
        <v>46088</v>
      </c>
      <c r="D422" t="inlineStr">
        <is>
          <t>KALMAR LÄN</t>
        </is>
      </c>
      <c r="E422" t="inlineStr">
        <is>
          <t>NYBRO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46497-2025</t>
        </is>
      </c>
      <c r="B423" s="1" t="n">
        <v>45925.83987268519</v>
      </c>
      <c r="C423" s="1" t="n">
        <v>46088</v>
      </c>
      <c r="D423" t="inlineStr">
        <is>
          <t>KALMAR LÄN</t>
        </is>
      </c>
      <c r="E423" t="inlineStr">
        <is>
          <t>NYBRO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46671-2025</t>
        </is>
      </c>
      <c r="B424" s="1" t="n">
        <v>45926.53236111111</v>
      </c>
      <c r="C424" s="1" t="n">
        <v>46088</v>
      </c>
      <c r="D424" t="inlineStr">
        <is>
          <t>KALMAR LÄN</t>
        </is>
      </c>
      <c r="E424" t="inlineStr">
        <is>
          <t>NYBRO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46637-2025</t>
        </is>
      </c>
      <c r="B425" s="1" t="n">
        <v>45926.46402777778</v>
      </c>
      <c r="C425" s="1" t="n">
        <v>46088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46640-2025</t>
        </is>
      </c>
      <c r="B426" s="1" t="n">
        <v>45926.46829861111</v>
      </c>
      <c r="C426" s="1" t="n">
        <v>46088</v>
      </c>
      <c r="D426" t="inlineStr">
        <is>
          <t>KALMAR LÄN</t>
        </is>
      </c>
      <c r="E426" t="inlineStr">
        <is>
          <t>NYBRO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46650-2025</t>
        </is>
      </c>
      <c r="B427" s="1" t="n">
        <v>45926.48134259259</v>
      </c>
      <c r="C427" s="1" t="n">
        <v>46088</v>
      </c>
      <c r="D427" t="inlineStr">
        <is>
          <t>KALMAR LÄN</t>
        </is>
      </c>
      <c r="E427" t="inlineStr">
        <is>
          <t>NYBRO</t>
        </is>
      </c>
      <c r="G427" t="n">
        <v>13.3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13803-2021</t>
        </is>
      </c>
      <c r="B428" s="1" t="n">
        <v>44275.89116898148</v>
      </c>
      <c r="C428" s="1" t="n">
        <v>46088</v>
      </c>
      <c r="D428" t="inlineStr">
        <is>
          <t>KALMAR LÄN</t>
        </is>
      </c>
      <c r="E428" t="inlineStr">
        <is>
          <t>NYBRO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46819-2025</t>
        </is>
      </c>
      <c r="B429" s="1" t="n">
        <v>45926.72231481481</v>
      </c>
      <c r="C429" s="1" t="n">
        <v>46088</v>
      </c>
      <c r="D429" t="inlineStr">
        <is>
          <t>KALMAR LÄN</t>
        </is>
      </c>
      <c r="E429" t="inlineStr">
        <is>
          <t>NYBRO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46821-2025</t>
        </is>
      </c>
      <c r="B430" s="1" t="n">
        <v>45926.72728009259</v>
      </c>
      <c r="C430" s="1" t="n">
        <v>46088</v>
      </c>
      <c r="D430" t="inlineStr">
        <is>
          <t>KALMAR LÄN</t>
        </is>
      </c>
      <c r="E430" t="inlineStr">
        <is>
          <t>NYBRO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49104-2023</t>
        </is>
      </c>
      <c r="B431" s="1" t="n">
        <v>45210.43765046296</v>
      </c>
      <c r="C431" s="1" t="n">
        <v>46088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46820-2025</t>
        </is>
      </c>
      <c r="B432" s="1" t="n">
        <v>45926.72362268518</v>
      </c>
      <c r="C432" s="1" t="n">
        <v>46088</v>
      </c>
      <c r="D432" t="inlineStr">
        <is>
          <t>KALMAR LÄN</t>
        </is>
      </c>
      <c r="E432" t="inlineStr">
        <is>
          <t>NYBRO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46630-2025</t>
        </is>
      </c>
      <c r="B433" s="1" t="n">
        <v>45926.45481481482</v>
      </c>
      <c r="C433" s="1" t="n">
        <v>46088</v>
      </c>
      <c r="D433" t="inlineStr">
        <is>
          <t>KALMAR LÄN</t>
        </is>
      </c>
      <c r="E433" t="inlineStr">
        <is>
          <t>NYBRO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46633-2025</t>
        </is>
      </c>
      <c r="B434" s="1" t="n">
        <v>45926.45870370371</v>
      </c>
      <c r="C434" s="1" t="n">
        <v>46088</v>
      </c>
      <c r="D434" t="inlineStr">
        <is>
          <t>KALMAR LÄN</t>
        </is>
      </c>
      <c r="E434" t="inlineStr">
        <is>
          <t>NYBRO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32344-2025</t>
        </is>
      </c>
      <c r="B435" s="1" t="n">
        <v>45837.43159722222</v>
      </c>
      <c r="C435" s="1" t="n">
        <v>46088</v>
      </c>
      <c r="D435" t="inlineStr">
        <is>
          <t>KALMAR LÄN</t>
        </is>
      </c>
      <c r="E435" t="inlineStr">
        <is>
          <t>NYBRO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32347-2025</t>
        </is>
      </c>
      <c r="B436" s="1" t="n">
        <v>45837.45643518519</v>
      </c>
      <c r="C436" s="1" t="n">
        <v>46088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47632-2025</t>
        </is>
      </c>
      <c r="B437" s="1" t="n">
        <v>45931</v>
      </c>
      <c r="C437" s="1" t="n">
        <v>46088</v>
      </c>
      <c r="D437" t="inlineStr">
        <is>
          <t>KALMAR LÄN</t>
        </is>
      </c>
      <c r="E437" t="inlineStr">
        <is>
          <t>NYBRO</t>
        </is>
      </c>
      <c r="F437" t="inlineStr">
        <is>
          <t>Kyrkan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41846-2024</t>
        </is>
      </c>
      <c r="B438" s="1" t="n">
        <v>45561.42905092592</v>
      </c>
      <c r="C438" s="1" t="n">
        <v>46088</v>
      </c>
      <c r="D438" t="inlineStr">
        <is>
          <t>KALMAR LÄN</t>
        </is>
      </c>
      <c r="E438" t="inlineStr">
        <is>
          <t>NYBRO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47616-2025</t>
        </is>
      </c>
      <c r="B439" s="1" t="n">
        <v>45930</v>
      </c>
      <c r="C439" s="1" t="n">
        <v>46088</v>
      </c>
      <c r="D439" t="inlineStr">
        <is>
          <t>KALMAR LÄN</t>
        </is>
      </c>
      <c r="E439" t="inlineStr">
        <is>
          <t>NYBRO</t>
        </is>
      </c>
      <c r="F439" t="inlineStr">
        <is>
          <t>Kyrkan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33317-2025</t>
        </is>
      </c>
      <c r="B440" s="1" t="n">
        <v>45841.34291666667</v>
      </c>
      <c r="C440" s="1" t="n">
        <v>46088</v>
      </c>
      <c r="D440" t="inlineStr">
        <is>
          <t>KALMAR LÄN</t>
        </is>
      </c>
      <c r="E440" t="inlineStr">
        <is>
          <t>NYBRO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60794-2021</t>
        </is>
      </c>
      <c r="B441" s="1" t="n">
        <v>44497.23909722222</v>
      </c>
      <c r="C441" s="1" t="n">
        <v>46088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47751-2025</t>
        </is>
      </c>
      <c r="B442" s="1" t="n">
        <v>45930</v>
      </c>
      <c r="C442" s="1" t="n">
        <v>46088</v>
      </c>
      <c r="D442" t="inlineStr">
        <is>
          <t>KALMAR LÄN</t>
        </is>
      </c>
      <c r="E442" t="inlineStr">
        <is>
          <t>NYBRO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47620-2025</t>
        </is>
      </c>
      <c r="B443" s="1" t="n">
        <v>45931</v>
      </c>
      <c r="C443" s="1" t="n">
        <v>46088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47627-2025</t>
        </is>
      </c>
      <c r="B444" s="1" t="n">
        <v>45931</v>
      </c>
      <c r="C444" s="1" t="n">
        <v>46088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33010-2025</t>
        </is>
      </c>
      <c r="B445" s="1" t="n">
        <v>45840.36429398148</v>
      </c>
      <c r="C445" s="1" t="n">
        <v>46088</v>
      </c>
      <c r="D445" t="inlineStr">
        <is>
          <t>KALMAR LÄN</t>
        </is>
      </c>
      <c r="E445" t="inlineStr">
        <is>
          <t>NYBRO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17439-2025</t>
        </is>
      </c>
      <c r="B446" s="1" t="n">
        <v>45757.42518518519</v>
      </c>
      <c r="C446" s="1" t="n">
        <v>46088</v>
      </c>
      <c r="D446" t="inlineStr">
        <is>
          <t>KALMAR LÄN</t>
        </is>
      </c>
      <c r="E446" t="inlineStr">
        <is>
          <t>NYBRO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26125-2023</t>
        </is>
      </c>
      <c r="B447" s="1" t="n">
        <v>45091.44643518519</v>
      </c>
      <c r="C447" s="1" t="n">
        <v>46088</v>
      </c>
      <c r="D447" t="inlineStr">
        <is>
          <t>KALMAR LÄN</t>
        </is>
      </c>
      <c r="E447" t="inlineStr">
        <is>
          <t>NYBRO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47767-2025</t>
        </is>
      </c>
      <c r="B448" s="1" t="n">
        <v>45931.69703703704</v>
      </c>
      <c r="C448" s="1" t="n">
        <v>46088</v>
      </c>
      <c r="D448" t="inlineStr">
        <is>
          <t>KALMAR LÄN</t>
        </is>
      </c>
      <c r="E448" t="inlineStr">
        <is>
          <t>NYBRO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54249-2024</t>
        </is>
      </c>
      <c r="B449" s="1" t="n">
        <v>45616.69401620371</v>
      </c>
      <c r="C449" s="1" t="n">
        <v>46088</v>
      </c>
      <c r="D449" t="inlineStr">
        <is>
          <t>KALMAR LÄN</t>
        </is>
      </c>
      <c r="E449" t="inlineStr">
        <is>
          <t>NYBRO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48277-2025</t>
        </is>
      </c>
      <c r="B450" s="1" t="n">
        <v>45933.57952546296</v>
      </c>
      <c r="C450" s="1" t="n">
        <v>46088</v>
      </c>
      <c r="D450" t="inlineStr">
        <is>
          <t>KALMAR LÄN</t>
        </is>
      </c>
      <c r="E450" t="inlineStr">
        <is>
          <t>NYBRO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54245-2024</t>
        </is>
      </c>
      <c r="B451" s="1" t="n">
        <v>45616.68453703704</v>
      </c>
      <c r="C451" s="1" t="n">
        <v>46088</v>
      </c>
      <c r="D451" t="inlineStr">
        <is>
          <t>KALMAR LÄN</t>
        </is>
      </c>
      <c r="E451" t="inlineStr">
        <is>
          <t>NYBRO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33829-2025</t>
        </is>
      </c>
      <c r="B452" s="1" t="n">
        <v>45842.47361111111</v>
      </c>
      <c r="C452" s="1" t="n">
        <v>46088</v>
      </c>
      <c r="D452" t="inlineStr">
        <is>
          <t>KALMAR LÄN</t>
        </is>
      </c>
      <c r="E452" t="inlineStr">
        <is>
          <t>NYBRO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27930-2025</t>
        </is>
      </c>
      <c r="B453" s="1" t="n">
        <v>45817.4940625</v>
      </c>
      <c r="C453" s="1" t="n">
        <v>46088</v>
      </c>
      <c r="D453" t="inlineStr">
        <is>
          <t>KALMAR LÄN</t>
        </is>
      </c>
      <c r="E453" t="inlineStr">
        <is>
          <t>NYBRO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56069-2023</t>
        </is>
      </c>
      <c r="B454" s="1" t="n">
        <v>45240.48289351852</v>
      </c>
      <c r="C454" s="1" t="n">
        <v>46088</v>
      </c>
      <c r="D454" t="inlineStr">
        <is>
          <t>KALMAR LÄN</t>
        </is>
      </c>
      <c r="E454" t="inlineStr">
        <is>
          <t>NYBRO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60819-2022</t>
        </is>
      </c>
      <c r="B455" s="1" t="n">
        <v>44914.47359953704</v>
      </c>
      <c r="C455" s="1" t="n">
        <v>46088</v>
      </c>
      <c r="D455" t="inlineStr">
        <is>
          <t>KALMAR LÄN</t>
        </is>
      </c>
      <c r="E455" t="inlineStr">
        <is>
          <t>NYBRO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60896-2022</t>
        </is>
      </c>
      <c r="B456" s="1" t="n">
        <v>44914.5846875</v>
      </c>
      <c r="C456" s="1" t="n">
        <v>46088</v>
      </c>
      <c r="D456" t="inlineStr">
        <is>
          <t>KALMAR LÄN</t>
        </is>
      </c>
      <c r="E456" t="inlineStr">
        <is>
          <t>NYBRO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816-2023</t>
        </is>
      </c>
      <c r="B457" s="1" t="n">
        <v>44931.48902777778</v>
      </c>
      <c r="C457" s="1" t="n">
        <v>46088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48160-2025</t>
        </is>
      </c>
      <c r="B458" s="1" t="n">
        <v>45933.42581018519</v>
      </c>
      <c r="C458" s="1" t="n">
        <v>46088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28149-2023</t>
        </is>
      </c>
      <c r="B459" s="1" t="n">
        <v>45096</v>
      </c>
      <c r="C459" s="1" t="n">
        <v>46088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34346-2025</t>
        </is>
      </c>
      <c r="B460" s="1" t="n">
        <v>45846.46805555555</v>
      </c>
      <c r="C460" s="1" t="n">
        <v>46088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9519-2024</t>
        </is>
      </c>
      <c r="B461" s="1" t="n">
        <v>45359.64494212963</v>
      </c>
      <c r="C461" s="1" t="n">
        <v>46088</v>
      </c>
      <c r="D461" t="inlineStr">
        <is>
          <t>KALMAR LÄN</t>
        </is>
      </c>
      <c r="E461" t="inlineStr">
        <is>
          <t>NYBRO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34350-2025</t>
        </is>
      </c>
      <c r="B462" s="1" t="n">
        <v>45846.47327546297</v>
      </c>
      <c r="C462" s="1" t="n">
        <v>46088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64315-2023</t>
        </is>
      </c>
      <c r="B463" s="1" t="n">
        <v>45279</v>
      </c>
      <c r="C463" s="1" t="n">
        <v>46088</v>
      </c>
      <c r="D463" t="inlineStr">
        <is>
          <t>KALMAR LÄN</t>
        </is>
      </c>
      <c r="E463" t="inlineStr">
        <is>
          <t>NYBRO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48643-2025</t>
        </is>
      </c>
      <c r="B464" s="1" t="n">
        <v>45936.54049768519</v>
      </c>
      <c r="C464" s="1" t="n">
        <v>46088</v>
      </c>
      <c r="D464" t="inlineStr">
        <is>
          <t>KALMAR LÄN</t>
        </is>
      </c>
      <c r="E464" t="inlineStr">
        <is>
          <t>NYBRO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9010-2026</t>
        </is>
      </c>
      <c r="B465" s="1" t="n">
        <v>46069.48815972222</v>
      </c>
      <c r="C465" s="1" t="n">
        <v>46088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12072-2025</t>
        </is>
      </c>
      <c r="B466" s="1" t="n">
        <v>45728.71716435185</v>
      </c>
      <c r="C466" s="1" t="n">
        <v>46088</v>
      </c>
      <c r="D466" t="inlineStr">
        <is>
          <t>KALMAR LÄN</t>
        </is>
      </c>
      <c r="E466" t="inlineStr">
        <is>
          <t>NYBRO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33029-2024</t>
        </is>
      </c>
      <c r="B467" s="1" t="n">
        <v>45517.57674768518</v>
      </c>
      <c r="C467" s="1" t="n">
        <v>46088</v>
      </c>
      <c r="D467" t="inlineStr">
        <is>
          <t>KALMAR LÄN</t>
        </is>
      </c>
      <c r="E467" t="inlineStr">
        <is>
          <t>NYBRO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49265-2025</t>
        </is>
      </c>
      <c r="B468" s="1" t="n">
        <v>45938.50009259259</v>
      </c>
      <c r="C468" s="1" t="n">
        <v>46088</v>
      </c>
      <c r="D468" t="inlineStr">
        <is>
          <t>KALMAR LÄN</t>
        </is>
      </c>
      <c r="E468" t="inlineStr">
        <is>
          <t>NYBRO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49338-2025</t>
        </is>
      </c>
      <c r="B469" s="1" t="n">
        <v>45938.59039351852</v>
      </c>
      <c r="C469" s="1" t="n">
        <v>46088</v>
      </c>
      <c r="D469" t="inlineStr">
        <is>
          <t>KALMAR LÄN</t>
        </is>
      </c>
      <c r="E469" t="inlineStr">
        <is>
          <t>NYBRO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35147-2025</t>
        </is>
      </c>
      <c r="B470" s="1" t="n">
        <v>45852.67128472222</v>
      </c>
      <c r="C470" s="1" t="n">
        <v>46088</v>
      </c>
      <c r="D470" t="inlineStr">
        <is>
          <t>KALMAR LÄN</t>
        </is>
      </c>
      <c r="E470" t="inlineStr">
        <is>
          <t>NYBRO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31222-2025</t>
        </is>
      </c>
      <c r="B471" s="1" t="n">
        <v>45832</v>
      </c>
      <c r="C471" s="1" t="n">
        <v>46088</v>
      </c>
      <c r="D471" t="inlineStr">
        <is>
          <t>KALMAR LÄN</t>
        </is>
      </c>
      <c r="E471" t="inlineStr">
        <is>
          <t>NYBRO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9005-2026</t>
        </is>
      </c>
      <c r="B472" s="1" t="n">
        <v>46069.48002314815</v>
      </c>
      <c r="C472" s="1" t="n">
        <v>46088</v>
      </c>
      <c r="D472" t="inlineStr">
        <is>
          <t>KALMAR LÄN</t>
        </is>
      </c>
      <c r="E472" t="inlineStr">
        <is>
          <t>NYBRO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49266-2025</t>
        </is>
      </c>
      <c r="B473" s="1" t="n">
        <v>45938.50091435185</v>
      </c>
      <c r="C473" s="1" t="n">
        <v>46088</v>
      </c>
      <c r="D473" t="inlineStr">
        <is>
          <t>KALMAR LÄN</t>
        </is>
      </c>
      <c r="E473" t="inlineStr">
        <is>
          <t>NYBRO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49390-2025</t>
        </is>
      </c>
      <c r="B474" s="1" t="n">
        <v>45938.64991898148</v>
      </c>
      <c r="C474" s="1" t="n">
        <v>46088</v>
      </c>
      <c r="D474" t="inlineStr">
        <is>
          <t>KALMAR LÄN</t>
        </is>
      </c>
      <c r="E474" t="inlineStr">
        <is>
          <t>NYBRO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42740-2022</t>
        </is>
      </c>
      <c r="B475" s="1" t="n">
        <v>44832.45126157408</v>
      </c>
      <c r="C475" s="1" t="n">
        <v>46088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35529-2025</t>
        </is>
      </c>
      <c r="B476" s="1" t="n">
        <v>45856.43209490741</v>
      </c>
      <c r="C476" s="1" t="n">
        <v>46088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25717-2022</t>
        </is>
      </c>
      <c r="B477" s="1" t="n">
        <v>44733.39600694444</v>
      </c>
      <c r="C477" s="1" t="n">
        <v>46088</v>
      </c>
      <c r="D477" t="inlineStr">
        <is>
          <t>KALMAR LÄN</t>
        </is>
      </c>
      <c r="E477" t="inlineStr">
        <is>
          <t>NYBRO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35522-2025</t>
        </is>
      </c>
      <c r="B478" s="1" t="n">
        <v>45856.42729166667</v>
      </c>
      <c r="C478" s="1" t="n">
        <v>46088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35521-2025</t>
        </is>
      </c>
      <c r="B479" s="1" t="n">
        <v>45856.4249537037</v>
      </c>
      <c r="C479" s="1" t="n">
        <v>46088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34559-2021</t>
        </is>
      </c>
      <c r="B480" s="1" t="n">
        <v>44382</v>
      </c>
      <c r="C480" s="1" t="n">
        <v>46088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28636-2023</t>
        </is>
      </c>
      <c r="B481" s="1" t="n">
        <v>45103</v>
      </c>
      <c r="C481" s="1" t="n">
        <v>46088</v>
      </c>
      <c r="D481" t="inlineStr">
        <is>
          <t>KALMAR LÄN</t>
        </is>
      </c>
      <c r="E481" t="inlineStr">
        <is>
          <t>NYBRO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35635-2025</t>
        </is>
      </c>
      <c r="B482" s="1" t="n">
        <v>45859.46207175926</v>
      </c>
      <c r="C482" s="1" t="n">
        <v>46088</v>
      </c>
      <c r="D482" t="inlineStr">
        <is>
          <t>KALMAR LÄN</t>
        </is>
      </c>
      <c r="E482" t="inlineStr">
        <is>
          <t>NYBRO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5686-2025</t>
        </is>
      </c>
      <c r="B483" s="1" t="n">
        <v>45694.35719907407</v>
      </c>
      <c r="C483" s="1" t="n">
        <v>46088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49739-2025</t>
        </is>
      </c>
      <c r="B484" s="1" t="n">
        <v>45940.33195601852</v>
      </c>
      <c r="C484" s="1" t="n">
        <v>46088</v>
      </c>
      <c r="D484" t="inlineStr">
        <is>
          <t>KALMAR LÄN</t>
        </is>
      </c>
      <c r="E484" t="inlineStr">
        <is>
          <t>NYBRO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50202-2025</t>
        </is>
      </c>
      <c r="B485" s="1" t="n">
        <v>45943.655625</v>
      </c>
      <c r="C485" s="1" t="n">
        <v>46088</v>
      </c>
      <c r="D485" t="inlineStr">
        <is>
          <t>KALMAR LÄN</t>
        </is>
      </c>
      <c r="E485" t="inlineStr">
        <is>
          <t>NYBRO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9584-2026</t>
        </is>
      </c>
      <c r="B486" s="1" t="n">
        <v>46071.71821759259</v>
      </c>
      <c r="C486" s="1" t="n">
        <v>46088</v>
      </c>
      <c r="D486" t="inlineStr">
        <is>
          <t>KALMAR LÄN</t>
        </is>
      </c>
      <c r="E486" t="inlineStr">
        <is>
          <t>NYBRO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36309-2021</t>
        </is>
      </c>
      <c r="B487" s="1" t="n">
        <v>44390.44760416666</v>
      </c>
      <c r="C487" s="1" t="n">
        <v>46088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16678-2025</t>
        </is>
      </c>
      <c r="B488" s="1" t="n">
        <v>45754.4484375</v>
      </c>
      <c r="C488" s="1" t="n">
        <v>46088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12566-2021</t>
        </is>
      </c>
      <c r="B489" s="1" t="n">
        <v>44270</v>
      </c>
      <c r="C489" s="1" t="n">
        <v>46088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35931-2025</t>
        </is>
      </c>
      <c r="B490" s="1" t="n">
        <v>45862.61716435185</v>
      </c>
      <c r="C490" s="1" t="n">
        <v>46088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35932-2025</t>
        </is>
      </c>
      <c r="B491" s="1" t="n">
        <v>45862.62265046296</v>
      </c>
      <c r="C491" s="1" t="n">
        <v>46088</v>
      </c>
      <c r="D491" t="inlineStr">
        <is>
          <t>KALMAR LÄN</t>
        </is>
      </c>
      <c r="E491" t="inlineStr">
        <is>
          <t>NYBRO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49766-2025</t>
        </is>
      </c>
      <c r="B492" s="1" t="n">
        <v>45940.35447916666</v>
      </c>
      <c r="C492" s="1" t="n">
        <v>46088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49782-2025</t>
        </is>
      </c>
      <c r="B493" s="1" t="n">
        <v>45940.39543981481</v>
      </c>
      <c r="C493" s="1" t="n">
        <v>46088</v>
      </c>
      <c r="D493" t="inlineStr">
        <is>
          <t>KALMAR LÄN</t>
        </is>
      </c>
      <c r="E493" t="inlineStr">
        <is>
          <t>NYBRO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49821-2025</t>
        </is>
      </c>
      <c r="B494" s="1" t="n">
        <v>45940.44003472223</v>
      </c>
      <c r="C494" s="1" t="n">
        <v>46088</v>
      </c>
      <c r="D494" t="inlineStr">
        <is>
          <t>KALMAR LÄN</t>
        </is>
      </c>
      <c r="E494" t="inlineStr">
        <is>
          <t>NYBRO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50477-2025</t>
        </is>
      </c>
      <c r="B495" s="1" t="n">
        <v>45945.36599537037</v>
      </c>
      <c r="C495" s="1" t="n">
        <v>46088</v>
      </c>
      <c r="D495" t="inlineStr">
        <is>
          <t>KALMAR LÄN</t>
        </is>
      </c>
      <c r="E495" t="inlineStr">
        <is>
          <t>NYBRO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36023-2025</t>
        </is>
      </c>
      <c r="B496" s="1" t="n">
        <v>45863.79356481481</v>
      </c>
      <c r="C496" s="1" t="n">
        <v>46088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36022-2025</t>
        </is>
      </c>
      <c r="B497" s="1" t="n">
        <v>45863.78525462963</v>
      </c>
      <c r="C497" s="1" t="n">
        <v>46088</v>
      </c>
      <c r="D497" t="inlineStr">
        <is>
          <t>KALMAR LÄN</t>
        </is>
      </c>
      <c r="E497" t="inlineStr">
        <is>
          <t>NYBRO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45113-2023</t>
        </is>
      </c>
      <c r="B498" s="1" t="n">
        <v>45191.43909722222</v>
      </c>
      <c r="C498" s="1" t="n">
        <v>46088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28363-2025</t>
        </is>
      </c>
      <c r="B499" s="1" t="n">
        <v>45818</v>
      </c>
      <c r="C499" s="1" t="n">
        <v>46088</v>
      </c>
      <c r="D499" t="inlineStr">
        <is>
          <t>KALMAR LÄN</t>
        </is>
      </c>
      <c r="E499" t="inlineStr">
        <is>
          <t>NYBRO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36024-2025</t>
        </is>
      </c>
      <c r="B500" s="1" t="n">
        <v>45863.79833333333</v>
      </c>
      <c r="C500" s="1" t="n">
        <v>46088</v>
      </c>
      <c r="D500" t="inlineStr">
        <is>
          <t>KALMAR LÄN</t>
        </is>
      </c>
      <c r="E500" t="inlineStr">
        <is>
          <t>NYBRO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49929-2022</t>
        </is>
      </c>
      <c r="B501" s="1" t="n">
        <v>44865.32546296297</v>
      </c>
      <c r="C501" s="1" t="n">
        <v>46088</v>
      </c>
      <c r="D501" t="inlineStr">
        <is>
          <t>KALMAR LÄN</t>
        </is>
      </c>
      <c r="E501" t="inlineStr">
        <is>
          <t>NYBRO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44358-2022</t>
        </is>
      </c>
      <c r="B502" s="1" t="n">
        <v>44839</v>
      </c>
      <c r="C502" s="1" t="n">
        <v>46088</v>
      </c>
      <c r="D502" t="inlineStr">
        <is>
          <t>KALMAR LÄN</t>
        </is>
      </c>
      <c r="E502" t="inlineStr">
        <is>
          <t>NYBRO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54255-2024</t>
        </is>
      </c>
      <c r="B503" s="1" t="n">
        <v>45616.70280092592</v>
      </c>
      <c r="C503" s="1" t="n">
        <v>46088</v>
      </c>
      <c r="D503" t="inlineStr">
        <is>
          <t>KALMAR LÄN</t>
        </is>
      </c>
      <c r="E503" t="inlineStr">
        <is>
          <t>NYBRO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50783-2023</t>
        </is>
      </c>
      <c r="B504" s="1" t="n">
        <v>45217.64325231482</v>
      </c>
      <c r="C504" s="1" t="n">
        <v>46088</v>
      </c>
      <c r="D504" t="inlineStr">
        <is>
          <t>KALMAR LÄN</t>
        </is>
      </c>
      <c r="E504" t="inlineStr">
        <is>
          <t>NYBRO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675-2026</t>
        </is>
      </c>
      <c r="B505" s="1" t="n">
        <v>46029.59649305556</v>
      </c>
      <c r="C505" s="1" t="n">
        <v>46088</v>
      </c>
      <c r="D505" t="inlineStr">
        <is>
          <t>KALMAR LÄN</t>
        </is>
      </c>
      <c r="E505" t="inlineStr">
        <is>
          <t>NYBRO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678-2026</t>
        </is>
      </c>
      <c r="B506" s="1" t="n">
        <v>46029.59989583334</v>
      </c>
      <c r="C506" s="1" t="n">
        <v>46088</v>
      </c>
      <c r="D506" t="inlineStr">
        <is>
          <t>KALMAR LÄN</t>
        </is>
      </c>
      <c r="E506" t="inlineStr">
        <is>
          <t>NYBRO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1535-2025</t>
        </is>
      </c>
      <c r="B507" s="1" t="n">
        <v>45670.48837962963</v>
      </c>
      <c r="C507" s="1" t="n">
        <v>46088</v>
      </c>
      <c r="D507" t="inlineStr">
        <is>
          <t>KALMAR LÄN</t>
        </is>
      </c>
      <c r="E507" t="inlineStr">
        <is>
          <t>NYBRO</t>
        </is>
      </c>
      <c r="F507" t="inlineStr">
        <is>
          <t>Sveaskog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35129-2023</t>
        </is>
      </c>
      <c r="B508" s="1" t="n">
        <v>45145</v>
      </c>
      <c r="C508" s="1" t="n">
        <v>46088</v>
      </c>
      <c r="D508" t="inlineStr">
        <is>
          <t>KALMAR LÄN</t>
        </is>
      </c>
      <c r="E508" t="inlineStr">
        <is>
          <t>NYBRO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35165-2023</t>
        </is>
      </c>
      <c r="B509" s="1" t="n">
        <v>45145.57739583333</v>
      </c>
      <c r="C509" s="1" t="n">
        <v>46088</v>
      </c>
      <c r="D509" t="inlineStr">
        <is>
          <t>KALMAR LÄN</t>
        </is>
      </c>
      <c r="E509" t="inlineStr">
        <is>
          <t>NYBRO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20073-2024</t>
        </is>
      </c>
      <c r="B510" s="1" t="n">
        <v>45434.42591435185</v>
      </c>
      <c r="C510" s="1" t="n">
        <v>46088</v>
      </c>
      <c r="D510" t="inlineStr">
        <is>
          <t>KALMAR LÄN</t>
        </is>
      </c>
      <c r="E510" t="inlineStr">
        <is>
          <t>NYBRO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38844-2023</t>
        </is>
      </c>
      <c r="B511" s="1" t="n">
        <v>45163.48395833333</v>
      </c>
      <c r="C511" s="1" t="n">
        <v>46088</v>
      </c>
      <c r="D511" t="inlineStr">
        <is>
          <t>KALMAR LÄN</t>
        </is>
      </c>
      <c r="E511" t="inlineStr">
        <is>
          <t>NYBRO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42817-2023</t>
        </is>
      </c>
      <c r="B512" s="1" t="n">
        <v>45182</v>
      </c>
      <c r="C512" s="1" t="n">
        <v>46088</v>
      </c>
      <c r="D512" t="inlineStr">
        <is>
          <t>KALMAR LÄN</t>
        </is>
      </c>
      <c r="E512" t="inlineStr">
        <is>
          <t>NYBRO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36733-2025</t>
        </is>
      </c>
      <c r="B513" s="1" t="n">
        <v>45873.50734953704</v>
      </c>
      <c r="C513" s="1" t="n">
        <v>46088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51195-2025</t>
        </is>
      </c>
      <c r="B514" s="1" t="n">
        <v>45947.63015046297</v>
      </c>
      <c r="C514" s="1" t="n">
        <v>46088</v>
      </c>
      <c r="D514" t="inlineStr">
        <is>
          <t>KALMAR LÄN</t>
        </is>
      </c>
      <c r="E514" t="inlineStr">
        <is>
          <t>NYBRO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50965-2025</t>
        </is>
      </c>
      <c r="B515" s="1" t="n">
        <v>45946.88928240741</v>
      </c>
      <c r="C515" s="1" t="n">
        <v>46088</v>
      </c>
      <c r="D515" t="inlineStr">
        <is>
          <t>KALMAR LÄN</t>
        </is>
      </c>
      <c r="E515" t="inlineStr">
        <is>
          <t>NYBRO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39771-2022</t>
        </is>
      </c>
      <c r="B516" s="1" t="n">
        <v>44819</v>
      </c>
      <c r="C516" s="1" t="n">
        <v>46088</v>
      </c>
      <c r="D516" t="inlineStr">
        <is>
          <t>KALMAR LÄN</t>
        </is>
      </c>
      <c r="E516" t="inlineStr">
        <is>
          <t>NYBRO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50753-2025</t>
        </is>
      </c>
      <c r="B517" s="1" t="n">
        <v>45946.40403935185</v>
      </c>
      <c r="C517" s="1" t="n">
        <v>46088</v>
      </c>
      <c r="D517" t="inlineStr">
        <is>
          <t>KALMAR LÄN</t>
        </is>
      </c>
      <c r="E517" t="inlineStr">
        <is>
          <t>NYBRO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50964-2025</t>
        </is>
      </c>
      <c r="B518" s="1" t="n">
        <v>45946.88241898148</v>
      </c>
      <c r="C518" s="1" t="n">
        <v>46088</v>
      </c>
      <c r="D518" t="inlineStr">
        <is>
          <t>KALMAR LÄN</t>
        </is>
      </c>
      <c r="E518" t="inlineStr">
        <is>
          <t>NYBRO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50978-2022</t>
        </is>
      </c>
      <c r="B519" s="1" t="n">
        <v>44867</v>
      </c>
      <c r="C519" s="1" t="n">
        <v>46088</v>
      </c>
      <c r="D519" t="inlineStr">
        <is>
          <t>KALMAR LÄN</t>
        </is>
      </c>
      <c r="E519" t="inlineStr">
        <is>
          <t>NYBRO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68345-2021</t>
        </is>
      </c>
      <c r="B520" s="1" t="n">
        <v>44528.68445601852</v>
      </c>
      <c r="C520" s="1" t="n">
        <v>46088</v>
      </c>
      <c r="D520" t="inlineStr">
        <is>
          <t>KALMAR LÄN</t>
        </is>
      </c>
      <c r="E520" t="inlineStr">
        <is>
          <t>NYBRO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15222-2025</t>
        </is>
      </c>
      <c r="B521" s="1" t="n">
        <v>45744.58425925926</v>
      </c>
      <c r="C521" s="1" t="n">
        <v>46088</v>
      </c>
      <c r="D521" t="inlineStr">
        <is>
          <t>KALMAR LÄN</t>
        </is>
      </c>
      <c r="E521" t="inlineStr">
        <is>
          <t>NYBRO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26120-2023</t>
        </is>
      </c>
      <c r="B522" s="1" t="n">
        <v>45091.44322916667</v>
      </c>
      <c r="C522" s="1" t="n">
        <v>46088</v>
      </c>
      <c r="D522" t="inlineStr">
        <is>
          <t>KALMAR LÄN</t>
        </is>
      </c>
      <c r="E522" t="inlineStr">
        <is>
          <t>NYBRO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40335-2023</t>
        </is>
      </c>
      <c r="B523" s="1" t="n">
        <v>45169.62481481482</v>
      </c>
      <c r="C523" s="1" t="n">
        <v>46088</v>
      </c>
      <c r="D523" t="inlineStr">
        <is>
          <t>KALMAR LÄN</t>
        </is>
      </c>
      <c r="E523" t="inlineStr">
        <is>
          <t>NYBRO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54512-2023</t>
        </is>
      </c>
      <c r="B524" s="1" t="n">
        <v>45233</v>
      </c>
      <c r="C524" s="1" t="n">
        <v>46088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28479-2023</t>
        </is>
      </c>
      <c r="B525" s="1" t="n">
        <v>45103.42912037037</v>
      </c>
      <c r="C525" s="1" t="n">
        <v>46088</v>
      </c>
      <c r="D525" t="inlineStr">
        <is>
          <t>KALMAR LÄN</t>
        </is>
      </c>
      <c r="E525" t="inlineStr">
        <is>
          <t>NYBRO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28503-2023</t>
        </is>
      </c>
      <c r="B526" s="1" t="n">
        <v>45103.4578125</v>
      </c>
      <c r="C526" s="1" t="n">
        <v>46088</v>
      </c>
      <c r="D526" t="inlineStr">
        <is>
          <t>KALMAR LÄN</t>
        </is>
      </c>
      <c r="E526" t="inlineStr">
        <is>
          <t>NYBRO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51588-2025</t>
        </is>
      </c>
      <c r="B527" s="1" t="n">
        <v>45951.35694444444</v>
      </c>
      <c r="C527" s="1" t="n">
        <v>46088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51666-2025</t>
        </is>
      </c>
      <c r="B528" s="1" t="n">
        <v>45951.49403935186</v>
      </c>
      <c r="C528" s="1" t="n">
        <v>46088</v>
      </c>
      <c r="D528" t="inlineStr">
        <is>
          <t>KALMAR LÄN</t>
        </is>
      </c>
      <c r="E528" t="inlineStr">
        <is>
          <t>NYBRO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52510-2025</t>
        </is>
      </c>
      <c r="B529" s="1" t="n">
        <v>45953</v>
      </c>
      <c r="C529" s="1" t="n">
        <v>46088</v>
      </c>
      <c r="D529" t="inlineStr">
        <is>
          <t>KALMAR LÄN</t>
        </is>
      </c>
      <c r="E529" t="inlineStr">
        <is>
          <t>NYBRO</t>
        </is>
      </c>
      <c r="F529" t="inlineStr">
        <is>
          <t>Kyrkan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6895-2024</t>
        </is>
      </c>
      <c r="B530" s="1" t="n">
        <v>45342.93295138889</v>
      </c>
      <c r="C530" s="1" t="n">
        <v>46088</v>
      </c>
      <c r="D530" t="inlineStr">
        <is>
          <t>KALMAR LÄN</t>
        </is>
      </c>
      <c r="E530" t="inlineStr">
        <is>
          <t>NYBRO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52521-2025</t>
        </is>
      </c>
      <c r="B531" s="1" t="n">
        <v>45953</v>
      </c>
      <c r="C531" s="1" t="n">
        <v>46088</v>
      </c>
      <c r="D531" t="inlineStr">
        <is>
          <t>KALMAR LÄN</t>
        </is>
      </c>
      <c r="E531" t="inlineStr">
        <is>
          <t>NYBRO</t>
        </is>
      </c>
      <c r="F531" t="inlineStr">
        <is>
          <t>Kyrkan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37845-2025</t>
        </is>
      </c>
      <c r="B532" s="1" t="n">
        <v>45881.43982638889</v>
      </c>
      <c r="C532" s="1" t="n">
        <v>46088</v>
      </c>
      <c r="D532" t="inlineStr">
        <is>
          <t>KALMAR LÄN</t>
        </is>
      </c>
      <c r="E532" t="inlineStr">
        <is>
          <t>NYBRO</t>
        </is>
      </c>
      <c r="F532" t="inlineStr">
        <is>
          <t>Kommuner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3642-2024</t>
        </is>
      </c>
      <c r="B533" s="1" t="n">
        <v>45321.30368055555</v>
      </c>
      <c r="C533" s="1" t="n">
        <v>46088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61839-2024</t>
        </is>
      </c>
      <c r="B534" s="1" t="n">
        <v>45649.63702546297</v>
      </c>
      <c r="C534" s="1" t="n">
        <v>46088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37559-2025</t>
        </is>
      </c>
      <c r="B535" s="1" t="n">
        <v>45880.33408564814</v>
      </c>
      <c r="C535" s="1" t="n">
        <v>46088</v>
      </c>
      <c r="D535" t="inlineStr">
        <is>
          <t>KALMAR LÄN</t>
        </is>
      </c>
      <c r="E535" t="inlineStr">
        <is>
          <t>NYBRO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37556-2025</t>
        </is>
      </c>
      <c r="B536" s="1" t="n">
        <v>45880.32877314815</v>
      </c>
      <c r="C536" s="1" t="n">
        <v>46088</v>
      </c>
      <c r="D536" t="inlineStr">
        <is>
          <t>KALMAR LÄN</t>
        </is>
      </c>
      <c r="E536" t="inlineStr">
        <is>
          <t>NYBRO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49895-2023</t>
        </is>
      </c>
      <c r="B537" s="1" t="n">
        <v>45213.83515046296</v>
      </c>
      <c r="C537" s="1" t="n">
        <v>46088</v>
      </c>
      <c r="D537" t="inlineStr">
        <is>
          <t>KALMAR LÄN</t>
        </is>
      </c>
      <c r="E537" t="inlineStr">
        <is>
          <t>NYBRO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51082-2022</t>
        </is>
      </c>
      <c r="B538" s="1" t="n">
        <v>44868</v>
      </c>
      <c r="C538" s="1" t="n">
        <v>46088</v>
      </c>
      <c r="D538" t="inlineStr">
        <is>
          <t>KALMAR LÄN</t>
        </is>
      </c>
      <c r="E538" t="inlineStr">
        <is>
          <t>NYBRO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57224-2024</t>
        </is>
      </c>
      <c r="B539" s="1" t="n">
        <v>45629.52961805555</v>
      </c>
      <c r="C539" s="1" t="n">
        <v>46088</v>
      </c>
      <c r="D539" t="inlineStr">
        <is>
          <t>KALMAR LÄN</t>
        </is>
      </c>
      <c r="E539" t="inlineStr">
        <is>
          <t>NYBRO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34021-2023</t>
        </is>
      </c>
      <c r="B540" s="1" t="n">
        <v>45135</v>
      </c>
      <c r="C540" s="1" t="n">
        <v>46088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2884-2023</t>
        </is>
      </c>
      <c r="B541" s="1" t="n">
        <v>44945.47278935185</v>
      </c>
      <c r="C541" s="1" t="n">
        <v>46088</v>
      </c>
      <c r="D541" t="inlineStr">
        <is>
          <t>KALMAR LÄN</t>
        </is>
      </c>
      <c r="E541" t="inlineStr">
        <is>
          <t>NYBRO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23420-2021</t>
        </is>
      </c>
      <c r="B542" s="1" t="n">
        <v>44333.68109953704</v>
      </c>
      <c r="C542" s="1" t="n">
        <v>46088</v>
      </c>
      <c r="D542" t="inlineStr">
        <is>
          <t>KALMAR LÄN</t>
        </is>
      </c>
      <c r="E542" t="inlineStr">
        <is>
          <t>NYBRO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38202-2025</t>
        </is>
      </c>
      <c r="B543" s="1" t="n">
        <v>45882.68072916667</v>
      </c>
      <c r="C543" s="1" t="n">
        <v>46088</v>
      </c>
      <c r="D543" t="inlineStr">
        <is>
          <t>KALMAR LÄN</t>
        </is>
      </c>
      <c r="E543" t="inlineStr">
        <is>
          <t>NYBRO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38203-2025</t>
        </is>
      </c>
      <c r="B544" s="1" t="n">
        <v>45882.68247685185</v>
      </c>
      <c r="C544" s="1" t="n">
        <v>46088</v>
      </c>
      <c r="D544" t="inlineStr">
        <is>
          <t>KALMAR LÄN</t>
        </is>
      </c>
      <c r="E544" t="inlineStr">
        <is>
          <t>NYBRO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38399-2025</t>
        </is>
      </c>
      <c r="B545" s="1" t="n">
        <v>45883.58712962963</v>
      </c>
      <c r="C545" s="1" t="n">
        <v>46088</v>
      </c>
      <c r="D545" t="inlineStr">
        <is>
          <t>KALMAR LÄN</t>
        </is>
      </c>
      <c r="E545" t="inlineStr">
        <is>
          <t>NYBRO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53046-2025</t>
        </is>
      </c>
      <c r="B546" s="1" t="n">
        <v>45958.35737268518</v>
      </c>
      <c r="C546" s="1" t="n">
        <v>46088</v>
      </c>
      <c r="D546" t="inlineStr">
        <is>
          <t>KALMAR LÄN</t>
        </is>
      </c>
      <c r="E546" t="inlineStr">
        <is>
          <t>NYBRO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38413-2025</t>
        </is>
      </c>
      <c r="B547" s="1" t="n">
        <v>45883.60289351852</v>
      </c>
      <c r="C547" s="1" t="n">
        <v>46088</v>
      </c>
      <c r="D547" t="inlineStr">
        <is>
          <t>KALMAR LÄN</t>
        </is>
      </c>
      <c r="E547" t="inlineStr">
        <is>
          <t>NYBRO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53219-2025</t>
        </is>
      </c>
      <c r="B548" s="1" t="n">
        <v>45958.60134259259</v>
      </c>
      <c r="C548" s="1" t="n">
        <v>46088</v>
      </c>
      <c r="D548" t="inlineStr">
        <is>
          <t>KALMAR LÄN</t>
        </is>
      </c>
      <c r="E548" t="inlineStr">
        <is>
          <t>NYBRO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53070-2025</t>
        </is>
      </c>
      <c r="B549" s="1" t="n">
        <v>45958.37892361111</v>
      </c>
      <c r="C549" s="1" t="n">
        <v>46088</v>
      </c>
      <c r="D549" t="inlineStr">
        <is>
          <t>KALMAR LÄN</t>
        </is>
      </c>
      <c r="E549" t="inlineStr">
        <is>
          <t>NYBRO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49405-2023</t>
        </is>
      </c>
      <c r="B550" s="1" t="n">
        <v>45211.43076388889</v>
      </c>
      <c r="C550" s="1" t="n">
        <v>46088</v>
      </c>
      <c r="D550" t="inlineStr">
        <is>
          <t>KALMAR LÄN</t>
        </is>
      </c>
      <c r="E550" t="inlineStr">
        <is>
          <t>NYBRO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18323-2025</t>
        </is>
      </c>
      <c r="B551" s="1" t="n">
        <v>45762.47326388889</v>
      </c>
      <c r="C551" s="1" t="n">
        <v>46088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53068-2025</t>
        </is>
      </c>
      <c r="B552" s="1" t="n">
        <v>45958.37803240741</v>
      </c>
      <c r="C552" s="1" t="n">
        <v>46088</v>
      </c>
      <c r="D552" t="inlineStr">
        <is>
          <t>KALMAR LÄN</t>
        </is>
      </c>
      <c r="E552" t="inlineStr">
        <is>
          <t>NYBRO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53071-2025</t>
        </is>
      </c>
      <c r="B553" s="1" t="n">
        <v>45958.37961805556</v>
      </c>
      <c r="C553" s="1" t="n">
        <v>46088</v>
      </c>
      <c r="D553" t="inlineStr">
        <is>
          <t>KALMAR LÄN</t>
        </is>
      </c>
      <c r="E553" t="inlineStr">
        <is>
          <t>NYBRO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53066-2025</t>
        </is>
      </c>
      <c r="B554" s="1" t="n">
        <v>45958.37677083333</v>
      </c>
      <c r="C554" s="1" t="n">
        <v>46088</v>
      </c>
      <c r="D554" t="inlineStr">
        <is>
          <t>KALMAR LÄN</t>
        </is>
      </c>
      <c r="E554" t="inlineStr">
        <is>
          <t>NYBRO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33308-2021</t>
        </is>
      </c>
      <c r="B555" s="1" t="n">
        <v>44376</v>
      </c>
      <c r="C555" s="1" t="n">
        <v>46088</v>
      </c>
      <c r="D555" t="inlineStr">
        <is>
          <t>KALMAR LÄN</t>
        </is>
      </c>
      <c r="E555" t="inlineStr">
        <is>
          <t>NYBRO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13930-2025</t>
        </is>
      </c>
      <c r="B556" s="1" t="n">
        <v>45737.66959490741</v>
      </c>
      <c r="C556" s="1" t="n">
        <v>46088</v>
      </c>
      <c r="D556" t="inlineStr">
        <is>
          <t>KALMAR LÄN</t>
        </is>
      </c>
      <c r="E556" t="inlineStr">
        <is>
          <t>NYBRO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51449-2024</t>
        </is>
      </c>
      <c r="B557" s="1" t="n">
        <v>45603</v>
      </c>
      <c r="C557" s="1" t="n">
        <v>46088</v>
      </c>
      <c r="D557" t="inlineStr">
        <is>
          <t>KALMAR LÄN</t>
        </is>
      </c>
      <c r="E557" t="inlineStr">
        <is>
          <t>NYBRO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23883-2021</t>
        </is>
      </c>
      <c r="B558" s="1" t="n">
        <v>44335</v>
      </c>
      <c r="C558" s="1" t="n">
        <v>46088</v>
      </c>
      <c r="D558" t="inlineStr">
        <is>
          <t>KALMAR LÄN</t>
        </is>
      </c>
      <c r="E558" t="inlineStr">
        <is>
          <t>NYBRO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9679-2026</t>
        </is>
      </c>
      <c r="B559" s="1" t="n">
        <v>46072.38396990741</v>
      </c>
      <c r="C559" s="1" t="n">
        <v>46088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63260-2021</t>
        </is>
      </c>
      <c r="B560" s="1" t="n">
        <v>44505</v>
      </c>
      <c r="C560" s="1" t="n">
        <v>46088</v>
      </c>
      <c r="D560" t="inlineStr">
        <is>
          <t>KALMAR LÄN</t>
        </is>
      </c>
      <c r="E560" t="inlineStr">
        <is>
          <t>NYBRO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9728-2026</t>
        </is>
      </c>
      <c r="B561" s="1" t="n">
        <v>46072.47232638889</v>
      </c>
      <c r="C561" s="1" t="n">
        <v>46088</v>
      </c>
      <c r="D561" t="inlineStr">
        <is>
          <t>KALMAR LÄN</t>
        </is>
      </c>
      <c r="E561" t="inlineStr">
        <is>
          <t>NYBRO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59207-2024</t>
        </is>
      </c>
      <c r="B562" s="1" t="n">
        <v>45637.55811342593</v>
      </c>
      <c r="C562" s="1" t="n">
        <v>46088</v>
      </c>
      <c r="D562" t="inlineStr">
        <is>
          <t>KALMAR LÄN</t>
        </is>
      </c>
      <c r="E562" t="inlineStr">
        <is>
          <t>NYBRO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59837-2023</t>
        </is>
      </c>
      <c r="B563" s="1" t="n">
        <v>45253</v>
      </c>
      <c r="C563" s="1" t="n">
        <v>46088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37967-2022</t>
        </is>
      </c>
      <c r="B564" s="1" t="n">
        <v>44811.50899305556</v>
      </c>
      <c r="C564" s="1" t="n">
        <v>46088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51448-2024</t>
        </is>
      </c>
      <c r="B565" s="1" t="n">
        <v>45603</v>
      </c>
      <c r="C565" s="1" t="n">
        <v>46088</v>
      </c>
      <c r="D565" t="inlineStr">
        <is>
          <t>KALMAR LÄN</t>
        </is>
      </c>
      <c r="E565" t="inlineStr">
        <is>
          <t>NYBRO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50955-2024</t>
        </is>
      </c>
      <c r="B566" s="1" t="n">
        <v>45602</v>
      </c>
      <c r="C566" s="1" t="n">
        <v>46088</v>
      </c>
      <c r="D566" t="inlineStr">
        <is>
          <t>KALMAR LÄN</t>
        </is>
      </c>
      <c r="E566" t="inlineStr">
        <is>
          <t>NYBRO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48-2025</t>
        </is>
      </c>
      <c r="B567" s="1" t="n">
        <v>45648</v>
      </c>
      <c r="C567" s="1" t="n">
        <v>46088</v>
      </c>
      <c r="D567" t="inlineStr">
        <is>
          <t>KALMAR LÄN</t>
        </is>
      </c>
      <c r="E567" t="inlineStr">
        <is>
          <t>NYBRO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20459-2025</t>
        </is>
      </c>
      <c r="B568" s="1" t="n">
        <v>45775</v>
      </c>
      <c r="C568" s="1" t="n">
        <v>46088</v>
      </c>
      <c r="D568" t="inlineStr">
        <is>
          <t>KALMAR LÄN</t>
        </is>
      </c>
      <c r="E568" t="inlineStr">
        <is>
          <t>NYBRO</t>
        </is>
      </c>
      <c r="F568" t="inlineStr">
        <is>
          <t>Kommuner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9094-2025</t>
        </is>
      </c>
      <c r="B569" s="1" t="n">
        <v>45713.67922453704</v>
      </c>
      <c r="C569" s="1" t="n">
        <v>46088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9132-2025</t>
        </is>
      </c>
      <c r="B570" s="1" t="n">
        <v>45714.24815972222</v>
      </c>
      <c r="C570" s="1" t="n">
        <v>46088</v>
      </c>
      <c r="D570" t="inlineStr">
        <is>
          <t>KALMAR LÄN</t>
        </is>
      </c>
      <c r="E570" t="inlineStr">
        <is>
          <t>NYBRO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27340-2023</t>
        </is>
      </c>
      <c r="B571" s="1" t="n">
        <v>45096</v>
      </c>
      <c r="C571" s="1" t="n">
        <v>46088</v>
      </c>
      <c r="D571" t="inlineStr">
        <is>
          <t>KALMAR LÄN</t>
        </is>
      </c>
      <c r="E571" t="inlineStr">
        <is>
          <t>NYBRO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9687-2026</t>
        </is>
      </c>
      <c r="B572" s="1" t="n">
        <v>46072.404375</v>
      </c>
      <c r="C572" s="1" t="n">
        <v>46088</v>
      </c>
      <c r="D572" t="inlineStr">
        <is>
          <t>KALMAR LÄN</t>
        </is>
      </c>
      <c r="E572" t="inlineStr">
        <is>
          <t>NYBRO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9690-2026</t>
        </is>
      </c>
      <c r="B573" s="1" t="n">
        <v>46072.40601851852</v>
      </c>
      <c r="C573" s="1" t="n">
        <v>46088</v>
      </c>
      <c r="D573" t="inlineStr">
        <is>
          <t>KALMAR LÄN</t>
        </is>
      </c>
      <c r="E573" t="inlineStr">
        <is>
          <t>NYBRO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31084-2021</t>
        </is>
      </c>
      <c r="B574" s="1" t="n">
        <v>44368.48951388889</v>
      </c>
      <c r="C574" s="1" t="n">
        <v>46088</v>
      </c>
      <c r="D574" t="inlineStr">
        <is>
          <t>KALMAR LÄN</t>
        </is>
      </c>
      <c r="E574" t="inlineStr">
        <is>
          <t>NYBRO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54056-2025</t>
        </is>
      </c>
      <c r="B575" s="1" t="n">
        <v>45964.30596064815</v>
      </c>
      <c r="C575" s="1" t="n">
        <v>46088</v>
      </c>
      <c r="D575" t="inlineStr">
        <is>
          <t>KALMAR LÄN</t>
        </is>
      </c>
      <c r="E575" t="inlineStr">
        <is>
          <t>NYBRO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51908-2023</t>
        </is>
      </c>
      <c r="B576" s="1" t="n">
        <v>45216</v>
      </c>
      <c r="C576" s="1" t="n">
        <v>46088</v>
      </c>
      <c r="D576" t="inlineStr">
        <is>
          <t>KALMAR LÄN</t>
        </is>
      </c>
      <c r="E576" t="inlineStr">
        <is>
          <t>NYBRO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60026-2022</t>
        </is>
      </c>
      <c r="B577" s="1" t="n">
        <v>44909.49190972222</v>
      </c>
      <c r="C577" s="1" t="n">
        <v>46088</v>
      </c>
      <c r="D577" t="inlineStr">
        <is>
          <t>KALMAR LÄN</t>
        </is>
      </c>
      <c r="E577" t="inlineStr">
        <is>
          <t>NYBRO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10895-2023</t>
        </is>
      </c>
      <c r="B578" s="1" t="n">
        <v>44991.4569212963</v>
      </c>
      <c r="C578" s="1" t="n">
        <v>46088</v>
      </c>
      <c r="D578" t="inlineStr">
        <is>
          <t>KALMAR LÄN</t>
        </is>
      </c>
      <c r="E578" t="inlineStr">
        <is>
          <t>NYBRO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40347-2023</t>
        </is>
      </c>
      <c r="B579" s="1" t="n">
        <v>45169.63607638889</v>
      </c>
      <c r="C579" s="1" t="n">
        <v>46088</v>
      </c>
      <c r="D579" t="inlineStr">
        <is>
          <t>KALMAR LÄN</t>
        </is>
      </c>
      <c r="E579" t="inlineStr">
        <is>
          <t>NYBRO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30617-2021</t>
        </is>
      </c>
      <c r="B580" s="1" t="n">
        <v>44364</v>
      </c>
      <c r="C580" s="1" t="n">
        <v>46088</v>
      </c>
      <c r="D580" t="inlineStr">
        <is>
          <t>KALMAR LÄN</t>
        </is>
      </c>
      <c r="E580" t="inlineStr">
        <is>
          <t>NYBRO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39458-2023</t>
        </is>
      </c>
      <c r="B581" s="1" t="n">
        <v>45166.81506944444</v>
      </c>
      <c r="C581" s="1" t="n">
        <v>46088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22059-2023</t>
        </is>
      </c>
      <c r="B582" s="1" t="n">
        <v>45069.42486111111</v>
      </c>
      <c r="C582" s="1" t="n">
        <v>46088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3349-2025</t>
        </is>
      </c>
      <c r="B583" s="1" t="n">
        <v>45679</v>
      </c>
      <c r="C583" s="1" t="n">
        <v>46088</v>
      </c>
      <c r="D583" t="inlineStr">
        <is>
          <t>KALMAR LÄN</t>
        </is>
      </c>
      <c r="E583" t="inlineStr">
        <is>
          <t>NYBRO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7958-2023</t>
        </is>
      </c>
      <c r="B584" s="1" t="n">
        <v>44973.68408564815</v>
      </c>
      <c r="C584" s="1" t="n">
        <v>46088</v>
      </c>
      <c r="D584" t="inlineStr">
        <is>
          <t>KALMAR LÄN</t>
        </is>
      </c>
      <c r="E584" t="inlineStr">
        <is>
          <t>NYBRO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54616-2025</t>
        </is>
      </c>
      <c r="B585" s="1" t="n">
        <v>45966.34114583334</v>
      </c>
      <c r="C585" s="1" t="n">
        <v>46088</v>
      </c>
      <c r="D585" t="inlineStr">
        <is>
          <t>KALMAR LÄN</t>
        </is>
      </c>
      <c r="E585" t="inlineStr">
        <is>
          <t>NYBRO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18072-2022</t>
        </is>
      </c>
      <c r="B586" s="1" t="n">
        <v>44684.43402777778</v>
      </c>
      <c r="C586" s="1" t="n">
        <v>46088</v>
      </c>
      <c r="D586" t="inlineStr">
        <is>
          <t>KALMAR LÄN</t>
        </is>
      </c>
      <c r="E586" t="inlineStr">
        <is>
          <t>NYBRO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51305-2024</t>
        </is>
      </c>
      <c r="B587" s="1" t="n">
        <v>45603</v>
      </c>
      <c r="C587" s="1" t="n">
        <v>46088</v>
      </c>
      <c r="D587" t="inlineStr">
        <is>
          <t>KALMAR LÄN</t>
        </is>
      </c>
      <c r="E587" t="inlineStr">
        <is>
          <t>NYBRO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18947-2025</t>
        </is>
      </c>
      <c r="B588" s="1" t="n">
        <v>45764</v>
      </c>
      <c r="C588" s="1" t="n">
        <v>46088</v>
      </c>
      <c r="D588" t="inlineStr">
        <is>
          <t>KALMAR LÄN</t>
        </is>
      </c>
      <c r="E588" t="inlineStr">
        <is>
          <t>NYBRO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18948-2025</t>
        </is>
      </c>
      <c r="B589" s="1" t="n">
        <v>45764</v>
      </c>
      <c r="C589" s="1" t="n">
        <v>46088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8100-2023</t>
        </is>
      </c>
      <c r="B590" s="1" t="n">
        <v>44974.39552083334</v>
      </c>
      <c r="C590" s="1" t="n">
        <v>46088</v>
      </c>
      <c r="D590" t="inlineStr">
        <is>
          <t>KALMAR LÄN</t>
        </is>
      </c>
      <c r="E590" t="inlineStr">
        <is>
          <t>NYBRO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21175-2023</t>
        </is>
      </c>
      <c r="B591" s="1" t="n">
        <v>45057</v>
      </c>
      <c r="C591" s="1" t="n">
        <v>46088</v>
      </c>
      <c r="D591" t="inlineStr">
        <is>
          <t>KALMAR LÄN</t>
        </is>
      </c>
      <c r="E591" t="inlineStr">
        <is>
          <t>NYBRO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21180-2023</t>
        </is>
      </c>
      <c r="B592" s="1" t="n">
        <v>45057</v>
      </c>
      <c r="C592" s="1" t="n">
        <v>46088</v>
      </c>
      <c r="D592" t="inlineStr">
        <is>
          <t>KALMAR LÄN</t>
        </is>
      </c>
      <c r="E592" t="inlineStr">
        <is>
          <t>NYBRO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1410-2026</t>
        </is>
      </c>
      <c r="B593" s="1" t="n">
        <v>46031.66224537037</v>
      </c>
      <c r="C593" s="1" t="n">
        <v>46088</v>
      </c>
      <c r="D593" t="inlineStr">
        <is>
          <t>KALMAR LÄN</t>
        </is>
      </c>
      <c r="E593" t="inlineStr">
        <is>
          <t>NYBRO</t>
        </is>
      </c>
      <c r="F593" t="inlineStr">
        <is>
          <t>Kommuner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9929-2026</t>
        </is>
      </c>
      <c r="B594" s="1" t="n">
        <v>46073.4530787037</v>
      </c>
      <c r="C594" s="1" t="n">
        <v>46088</v>
      </c>
      <c r="D594" t="inlineStr">
        <is>
          <t>KALMAR LÄN</t>
        </is>
      </c>
      <c r="E594" t="inlineStr">
        <is>
          <t>NYBRO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54848-2025</t>
        </is>
      </c>
      <c r="B595" s="1" t="n">
        <v>45966.7106712963</v>
      </c>
      <c r="C595" s="1" t="n">
        <v>46088</v>
      </c>
      <c r="D595" t="inlineStr">
        <is>
          <t>KALMAR LÄN</t>
        </is>
      </c>
      <c r="E595" t="inlineStr">
        <is>
          <t>NYBRO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42965-2021</t>
        </is>
      </c>
      <c r="B596" s="1" t="n">
        <v>44431</v>
      </c>
      <c r="C596" s="1" t="n">
        <v>46088</v>
      </c>
      <c r="D596" t="inlineStr">
        <is>
          <t>KALMAR LÄN</t>
        </is>
      </c>
      <c r="E596" t="inlineStr">
        <is>
          <t>NYBRO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1249-2026</t>
        </is>
      </c>
      <c r="B597" s="1" t="n">
        <v>46031.4325462963</v>
      </c>
      <c r="C597" s="1" t="n">
        <v>46088</v>
      </c>
      <c r="D597" t="inlineStr">
        <is>
          <t>KALMAR LÄN</t>
        </is>
      </c>
      <c r="E597" t="inlineStr">
        <is>
          <t>NYBRO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7650-2023</t>
        </is>
      </c>
      <c r="B598" s="1" t="n">
        <v>44972</v>
      </c>
      <c r="C598" s="1" t="n">
        <v>46088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51652-2024</t>
        </is>
      </c>
      <c r="B599" s="1" t="n">
        <v>45606.57791666667</v>
      </c>
      <c r="C599" s="1" t="n">
        <v>46088</v>
      </c>
      <c r="D599" t="inlineStr">
        <is>
          <t>KALMAR LÄN</t>
        </is>
      </c>
      <c r="E599" t="inlineStr">
        <is>
          <t>NYBRO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56572-2025</t>
        </is>
      </c>
      <c r="B600" s="1" t="n">
        <v>45975.52554398148</v>
      </c>
      <c r="C600" s="1" t="n">
        <v>46088</v>
      </c>
      <c r="D600" t="inlineStr">
        <is>
          <t>KALMAR LÄN</t>
        </is>
      </c>
      <c r="E600" t="inlineStr">
        <is>
          <t>NYBRO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56602-2025</t>
        </is>
      </c>
      <c r="B601" s="1" t="n">
        <v>45975.57657407408</v>
      </c>
      <c r="C601" s="1" t="n">
        <v>46088</v>
      </c>
      <c r="D601" t="inlineStr">
        <is>
          <t>KALMAR LÄN</t>
        </is>
      </c>
      <c r="E601" t="inlineStr">
        <is>
          <t>NYBRO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56594-2025</t>
        </is>
      </c>
      <c r="B602" s="1" t="n">
        <v>45975.56870370371</v>
      </c>
      <c r="C602" s="1" t="n">
        <v>46088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56159-2025</t>
        </is>
      </c>
      <c r="B603" s="1" t="n">
        <v>45974.37464120371</v>
      </c>
      <c r="C603" s="1" t="n">
        <v>46088</v>
      </c>
      <c r="D603" t="inlineStr">
        <is>
          <t>KALMAR LÄN</t>
        </is>
      </c>
      <c r="E603" t="inlineStr">
        <is>
          <t>NYBRO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50662-2023</t>
        </is>
      </c>
      <c r="B604" s="1" t="n">
        <v>45217.49613425926</v>
      </c>
      <c r="C604" s="1" t="n">
        <v>46088</v>
      </c>
      <c r="D604" t="inlineStr">
        <is>
          <t>KALMAR LÄN</t>
        </is>
      </c>
      <c r="E604" t="inlineStr">
        <is>
          <t>NYBRO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56590-2025</t>
        </is>
      </c>
      <c r="B605" s="1" t="n">
        <v>45975.56442129629</v>
      </c>
      <c r="C605" s="1" t="n">
        <v>46088</v>
      </c>
      <c r="D605" t="inlineStr">
        <is>
          <t>KALMAR LÄN</t>
        </is>
      </c>
      <c r="E605" t="inlineStr">
        <is>
          <t>NYBRO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41161-2023</t>
        </is>
      </c>
      <c r="B606" s="1" t="n">
        <v>45174.32129629629</v>
      </c>
      <c r="C606" s="1" t="n">
        <v>46088</v>
      </c>
      <c r="D606" t="inlineStr">
        <is>
          <t>KALMAR LÄN</t>
        </is>
      </c>
      <c r="E606" t="inlineStr">
        <is>
          <t>NYBRO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56574-2025</t>
        </is>
      </c>
      <c r="B607" s="1" t="n">
        <v>45975.52761574074</v>
      </c>
      <c r="C607" s="1" t="n">
        <v>46088</v>
      </c>
      <c r="D607" t="inlineStr">
        <is>
          <t>KALMAR LÄN</t>
        </is>
      </c>
      <c r="E607" t="inlineStr">
        <is>
          <t>NYBRO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12943-2024</t>
        </is>
      </c>
      <c r="B608" s="1" t="n">
        <v>45385.47306712963</v>
      </c>
      <c r="C608" s="1" t="n">
        <v>46088</v>
      </c>
      <c r="D608" t="inlineStr">
        <is>
          <t>KALMAR LÄN</t>
        </is>
      </c>
      <c r="E608" t="inlineStr">
        <is>
          <t>NYBRO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56686-2025</t>
        </is>
      </c>
      <c r="B609" s="1" t="n">
        <v>45975.82456018519</v>
      </c>
      <c r="C609" s="1" t="n">
        <v>46088</v>
      </c>
      <c r="D609" t="inlineStr">
        <is>
          <t>KALMAR LÄN</t>
        </is>
      </c>
      <c r="E609" t="inlineStr">
        <is>
          <t>NYBRO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14299-2023</t>
        </is>
      </c>
      <c r="B610" s="1" t="n">
        <v>45011</v>
      </c>
      <c r="C610" s="1" t="n">
        <v>46088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13445-2022</t>
        </is>
      </c>
      <c r="B611" s="1" t="n">
        <v>44645.61398148148</v>
      </c>
      <c r="C611" s="1" t="n">
        <v>46088</v>
      </c>
      <c r="D611" t="inlineStr">
        <is>
          <t>KALMAR LÄN</t>
        </is>
      </c>
      <c r="E611" t="inlineStr">
        <is>
          <t>NYBRO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15332-2024</t>
        </is>
      </c>
      <c r="B612" s="1" t="n">
        <v>45400.70824074074</v>
      </c>
      <c r="C612" s="1" t="n">
        <v>46088</v>
      </c>
      <c r="D612" t="inlineStr">
        <is>
          <t>KALMAR LÄN</t>
        </is>
      </c>
      <c r="E612" t="inlineStr">
        <is>
          <t>NYBRO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1574-2026</t>
        </is>
      </c>
      <c r="B613" s="1" t="n">
        <v>46034.41659722223</v>
      </c>
      <c r="C613" s="1" t="n">
        <v>46088</v>
      </c>
      <c r="D613" t="inlineStr">
        <is>
          <t>KALMAR LÄN</t>
        </is>
      </c>
      <c r="E613" t="inlineStr">
        <is>
          <t>NYBRO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8883-2026</t>
        </is>
      </c>
      <c r="B614" s="1" t="n">
        <v>46067</v>
      </c>
      <c r="C614" s="1" t="n">
        <v>46088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52133-2021</t>
        </is>
      </c>
      <c r="B615" s="1" t="n">
        <v>44462</v>
      </c>
      <c r="C615" s="1" t="n">
        <v>46088</v>
      </c>
      <c r="D615" t="inlineStr">
        <is>
          <t>KALMAR LÄN</t>
        </is>
      </c>
      <c r="E615" t="inlineStr">
        <is>
          <t>NYBRO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52135-2021</t>
        </is>
      </c>
      <c r="B616" s="1" t="n">
        <v>44463.49251157408</v>
      </c>
      <c r="C616" s="1" t="n">
        <v>46088</v>
      </c>
      <c r="D616" t="inlineStr">
        <is>
          <t>KALMAR LÄN</t>
        </is>
      </c>
      <c r="E616" t="inlineStr">
        <is>
          <t>NYBRO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55255-2023</t>
        </is>
      </c>
      <c r="B617" s="1" t="n">
        <v>45231</v>
      </c>
      <c r="C617" s="1" t="n">
        <v>46088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52752-2024</t>
        </is>
      </c>
      <c r="B618" s="1" t="n">
        <v>45610.49638888889</v>
      </c>
      <c r="C618" s="1" t="n">
        <v>46088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57608-2025</t>
        </is>
      </c>
      <c r="B619" s="1" t="n">
        <v>45981.33762731482</v>
      </c>
      <c r="C619" s="1" t="n">
        <v>46088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57610-2025</t>
        </is>
      </c>
      <c r="B620" s="1" t="n">
        <v>45981.33881944444</v>
      </c>
      <c r="C620" s="1" t="n">
        <v>46088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57612-2025</t>
        </is>
      </c>
      <c r="B621" s="1" t="n">
        <v>45981.34174768518</v>
      </c>
      <c r="C621" s="1" t="n">
        <v>46088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57482-2025</t>
        </is>
      </c>
      <c r="B622" s="1" t="n">
        <v>45980.57716435185</v>
      </c>
      <c r="C622" s="1" t="n">
        <v>46088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57487-2025</t>
        </is>
      </c>
      <c r="B623" s="1" t="n">
        <v>45980.58033564815</v>
      </c>
      <c r="C623" s="1" t="n">
        <v>46088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57490-2025</t>
        </is>
      </c>
      <c r="B624" s="1" t="n">
        <v>45980.58306712963</v>
      </c>
      <c r="C624" s="1" t="n">
        <v>46088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57499-2025</t>
        </is>
      </c>
      <c r="B625" s="1" t="n">
        <v>45980.58913194444</v>
      </c>
      <c r="C625" s="1" t="n">
        <v>46088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20112-2023</t>
        </is>
      </c>
      <c r="B626" s="1" t="n">
        <v>45055.32497685185</v>
      </c>
      <c r="C626" s="1" t="n">
        <v>46088</v>
      </c>
      <c r="D626" t="inlineStr">
        <is>
          <t>KALMAR LÄN</t>
        </is>
      </c>
      <c r="E626" t="inlineStr">
        <is>
          <t>NYBRO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57497-2025</t>
        </is>
      </c>
      <c r="B627" s="1" t="n">
        <v>45980.58837962963</v>
      </c>
      <c r="C627" s="1" t="n">
        <v>46088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57611-2025</t>
        </is>
      </c>
      <c r="B628" s="1" t="n">
        <v>45981.34046296297</v>
      </c>
      <c r="C628" s="1" t="n">
        <v>46088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57492-2025</t>
        </is>
      </c>
      <c r="B629" s="1" t="n">
        <v>45980.58503472222</v>
      </c>
      <c r="C629" s="1" t="n">
        <v>46088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57496-2025</t>
        </is>
      </c>
      <c r="B630" s="1" t="n">
        <v>45980.58711805556</v>
      </c>
      <c r="C630" s="1" t="n">
        <v>46088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15200-2025</t>
        </is>
      </c>
      <c r="B631" s="1" t="n">
        <v>45744.56760416667</v>
      </c>
      <c r="C631" s="1" t="n">
        <v>46088</v>
      </c>
      <c r="D631" t="inlineStr">
        <is>
          <t>KALMAR LÄN</t>
        </is>
      </c>
      <c r="E631" t="inlineStr">
        <is>
          <t>NYBRO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9101-2025</t>
        </is>
      </c>
      <c r="B632" s="1" t="n">
        <v>45713</v>
      </c>
      <c r="C632" s="1" t="n">
        <v>46088</v>
      </c>
      <c r="D632" t="inlineStr">
        <is>
          <t>KALMAR LÄN</t>
        </is>
      </c>
      <c r="E632" t="inlineStr">
        <is>
          <t>NYBRO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9138-2025</t>
        </is>
      </c>
      <c r="B633" s="1" t="n">
        <v>45714.28113425926</v>
      </c>
      <c r="C633" s="1" t="n">
        <v>46088</v>
      </c>
      <c r="D633" t="inlineStr">
        <is>
          <t>KALMAR LÄN</t>
        </is>
      </c>
      <c r="E633" t="inlineStr">
        <is>
          <t>NYBRO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57489-2025</t>
        </is>
      </c>
      <c r="B634" s="1" t="n">
        <v>45980.58179398148</v>
      </c>
      <c r="C634" s="1" t="n">
        <v>46088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10742-2026</t>
        </is>
      </c>
      <c r="B635" s="1" t="n">
        <v>46078.51186342593</v>
      </c>
      <c r="C635" s="1" t="n">
        <v>46088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10745-2026</t>
        </is>
      </c>
      <c r="B636" s="1" t="n">
        <v>46078.51571759259</v>
      </c>
      <c r="C636" s="1" t="n">
        <v>46088</v>
      </c>
      <c r="D636" t="inlineStr">
        <is>
          <t>KALMAR LÄN</t>
        </is>
      </c>
      <c r="E636" t="inlineStr">
        <is>
          <t>NYBRO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57474-2025</t>
        </is>
      </c>
      <c r="B637" s="1" t="n">
        <v>45980.56716435185</v>
      </c>
      <c r="C637" s="1" t="n">
        <v>46088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57476-2025</t>
        </is>
      </c>
      <c r="B638" s="1" t="n">
        <v>45980.56981481481</v>
      </c>
      <c r="C638" s="1" t="n">
        <v>46088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682-2025</t>
        </is>
      </c>
      <c r="B639" s="1" t="n">
        <v>45664.89855324074</v>
      </c>
      <c r="C639" s="1" t="n">
        <v>46088</v>
      </c>
      <c r="D639" t="inlineStr">
        <is>
          <t>KALMAR LÄN</t>
        </is>
      </c>
      <c r="E639" t="inlineStr">
        <is>
          <t>NYBRO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59525-2023</t>
        </is>
      </c>
      <c r="B640" s="1" t="n">
        <v>45253</v>
      </c>
      <c r="C640" s="1" t="n">
        <v>46088</v>
      </c>
      <c r="D640" t="inlineStr">
        <is>
          <t>KALMAR LÄN</t>
        </is>
      </c>
      <c r="E640" t="inlineStr">
        <is>
          <t>NYBRO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16862-2024</t>
        </is>
      </c>
      <c r="B641" s="1" t="n">
        <v>45411.56006944444</v>
      </c>
      <c r="C641" s="1" t="n">
        <v>46088</v>
      </c>
      <c r="D641" t="inlineStr">
        <is>
          <t>KALMAR LÄN</t>
        </is>
      </c>
      <c r="E641" t="inlineStr">
        <is>
          <t>NYBRO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45074-2023</t>
        </is>
      </c>
      <c r="B642" s="1" t="n">
        <v>45191.39680555555</v>
      </c>
      <c r="C642" s="1" t="n">
        <v>46088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8605-2025</t>
        </is>
      </c>
      <c r="B643" s="1" t="n">
        <v>45710.35591435185</v>
      </c>
      <c r="C643" s="1" t="n">
        <v>46088</v>
      </c>
      <c r="D643" t="inlineStr">
        <is>
          <t>KALMAR LÄN</t>
        </is>
      </c>
      <c r="E643" t="inlineStr">
        <is>
          <t>NYBRO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58482-2025</t>
        </is>
      </c>
      <c r="B644" s="1" t="n">
        <v>45985.65287037037</v>
      </c>
      <c r="C644" s="1" t="n">
        <v>46088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10744-2026</t>
        </is>
      </c>
      <c r="B645" s="1" t="n">
        <v>46078.51290509259</v>
      </c>
      <c r="C645" s="1" t="n">
        <v>46088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27513-2024</t>
        </is>
      </c>
      <c r="B646" s="1" t="n">
        <v>45474.54547453704</v>
      </c>
      <c r="C646" s="1" t="n">
        <v>46088</v>
      </c>
      <c r="D646" t="inlineStr">
        <is>
          <t>KALMAR LÄN</t>
        </is>
      </c>
      <c r="E646" t="inlineStr">
        <is>
          <t>NYBRO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61807-2024</t>
        </is>
      </c>
      <c r="B647" s="1" t="n">
        <v>45649.57708333333</v>
      </c>
      <c r="C647" s="1" t="n">
        <v>46088</v>
      </c>
      <c r="D647" t="inlineStr">
        <is>
          <t>KALMAR LÄN</t>
        </is>
      </c>
      <c r="E647" t="inlineStr">
        <is>
          <t>NYBRO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61809-2024</t>
        </is>
      </c>
      <c r="B648" s="1" t="n">
        <v>45649.58368055556</v>
      </c>
      <c r="C648" s="1" t="n">
        <v>46088</v>
      </c>
      <c r="D648" t="inlineStr">
        <is>
          <t>KALMAR LÄN</t>
        </is>
      </c>
      <c r="E648" t="inlineStr">
        <is>
          <t>NYBRO</t>
        </is>
      </c>
      <c r="G648" t="n">
        <v>15.8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61835-2024</t>
        </is>
      </c>
      <c r="B649" s="1" t="n">
        <v>45649.63318287037</v>
      </c>
      <c r="C649" s="1" t="n">
        <v>46088</v>
      </c>
      <c r="D649" t="inlineStr">
        <is>
          <t>KALMAR LÄN</t>
        </is>
      </c>
      <c r="E649" t="inlineStr">
        <is>
          <t>NYBRO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58673-2025</t>
        </is>
      </c>
      <c r="B650" s="1" t="n">
        <v>45986.55488425926</v>
      </c>
      <c r="C650" s="1" t="n">
        <v>46088</v>
      </c>
      <c r="D650" t="inlineStr">
        <is>
          <t>KALMAR LÄN</t>
        </is>
      </c>
      <c r="E650" t="inlineStr">
        <is>
          <t>NYBRO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18288-2025</t>
        </is>
      </c>
      <c r="B651" s="1" t="n">
        <v>45762.406875</v>
      </c>
      <c r="C651" s="1" t="n">
        <v>46088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61780-2022</t>
        </is>
      </c>
      <c r="B652" s="1" t="n">
        <v>44917</v>
      </c>
      <c r="C652" s="1" t="n">
        <v>46088</v>
      </c>
      <c r="D652" t="inlineStr">
        <is>
          <t>KALMAR LÄN</t>
        </is>
      </c>
      <c r="E652" t="inlineStr">
        <is>
          <t>NYBRO</t>
        </is>
      </c>
      <c r="F652" t="inlineStr">
        <is>
          <t>Kommuner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1729-2023</t>
        </is>
      </c>
      <c r="B653" s="1" t="n">
        <v>44938.4812962963</v>
      </c>
      <c r="C653" s="1" t="n">
        <v>46088</v>
      </c>
      <c r="D653" t="inlineStr">
        <is>
          <t>KALMAR LÄN</t>
        </is>
      </c>
      <c r="E653" t="inlineStr">
        <is>
          <t>NYBRO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58663-2025</t>
        </is>
      </c>
      <c r="B654" s="1" t="n">
        <v>45986.53271990741</v>
      </c>
      <c r="C654" s="1" t="n">
        <v>46088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58680-2025</t>
        </is>
      </c>
      <c r="B655" s="1" t="n">
        <v>45986.56459490741</v>
      </c>
      <c r="C655" s="1" t="n">
        <v>46088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58614-2025</t>
        </is>
      </c>
      <c r="B656" s="1" t="n">
        <v>45986.46010416667</v>
      </c>
      <c r="C656" s="1" t="n">
        <v>46088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58988-2025</t>
        </is>
      </c>
      <c r="B657" s="1" t="n">
        <v>45987</v>
      </c>
      <c r="C657" s="1" t="n">
        <v>46088</v>
      </c>
      <c r="D657" t="inlineStr">
        <is>
          <t>KALMAR LÄN</t>
        </is>
      </c>
      <c r="E657" t="inlineStr">
        <is>
          <t>NYBRO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41679-2024</t>
        </is>
      </c>
      <c r="B658" s="1" t="n">
        <v>45560.66090277778</v>
      </c>
      <c r="C658" s="1" t="n">
        <v>46088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50938-2022</t>
        </is>
      </c>
      <c r="B659" s="1" t="n">
        <v>44867</v>
      </c>
      <c r="C659" s="1" t="n">
        <v>46088</v>
      </c>
      <c r="D659" t="inlineStr">
        <is>
          <t>KALMAR LÄN</t>
        </is>
      </c>
      <c r="E659" t="inlineStr">
        <is>
          <t>NYBRO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10739-2026</t>
        </is>
      </c>
      <c r="B660" s="1" t="n">
        <v>46078.51060185185</v>
      </c>
      <c r="C660" s="1" t="n">
        <v>46088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64453-2023</t>
        </is>
      </c>
      <c r="B661" s="1" t="n">
        <v>45280.75414351852</v>
      </c>
      <c r="C661" s="1" t="n">
        <v>46088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17741-2025</t>
        </is>
      </c>
      <c r="B662" s="1" t="n">
        <v>45758.47427083334</v>
      </c>
      <c r="C662" s="1" t="n">
        <v>46088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2580-2022</t>
        </is>
      </c>
      <c r="B663" s="1" t="n">
        <v>44580.39465277778</v>
      </c>
      <c r="C663" s="1" t="n">
        <v>46088</v>
      </c>
      <c r="D663" t="inlineStr">
        <is>
          <t>KALMAR LÄN</t>
        </is>
      </c>
      <c r="E663" t="inlineStr">
        <is>
          <t>NYBRO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59125-2025</t>
        </is>
      </c>
      <c r="B664" s="1" t="n">
        <v>45988.49348379629</v>
      </c>
      <c r="C664" s="1" t="n">
        <v>46088</v>
      </c>
      <c r="D664" t="inlineStr">
        <is>
          <t>KALMAR LÄN</t>
        </is>
      </c>
      <c r="E664" t="inlineStr">
        <is>
          <t>NYBRO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2216-2026</t>
        </is>
      </c>
      <c r="B665" s="1" t="n">
        <v>46036.49694444444</v>
      </c>
      <c r="C665" s="1" t="n">
        <v>46088</v>
      </c>
      <c r="D665" t="inlineStr">
        <is>
          <t>KALMAR LÄN</t>
        </is>
      </c>
      <c r="E665" t="inlineStr">
        <is>
          <t>NYBRO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48467-2024</t>
        </is>
      </c>
      <c r="B666" s="1" t="n">
        <v>45591.31592592593</v>
      </c>
      <c r="C666" s="1" t="n">
        <v>46088</v>
      </c>
      <c r="D666" t="inlineStr">
        <is>
          <t>KALMAR LÄN</t>
        </is>
      </c>
      <c r="E666" t="inlineStr">
        <is>
          <t>NYBRO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18571-2023</t>
        </is>
      </c>
      <c r="B667" s="1" t="n">
        <v>45043</v>
      </c>
      <c r="C667" s="1" t="n">
        <v>46088</v>
      </c>
      <c r="D667" t="inlineStr">
        <is>
          <t>KALMAR LÄN</t>
        </is>
      </c>
      <c r="E667" t="inlineStr">
        <is>
          <t>NYBRO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54252-2024</t>
        </is>
      </c>
      <c r="B668" s="1" t="n">
        <v>45616.69777777778</v>
      </c>
      <c r="C668" s="1" t="n">
        <v>46088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59978-2025</t>
        </is>
      </c>
      <c r="B669" s="1" t="n">
        <v>45993.52201388889</v>
      </c>
      <c r="C669" s="1" t="n">
        <v>46088</v>
      </c>
      <c r="D669" t="inlineStr">
        <is>
          <t>KALMAR LÄN</t>
        </is>
      </c>
      <c r="E669" t="inlineStr">
        <is>
          <t>NYBRO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18831-2024</t>
        </is>
      </c>
      <c r="B670" s="1" t="n">
        <v>45426.64987268519</v>
      </c>
      <c r="C670" s="1" t="n">
        <v>46088</v>
      </c>
      <c r="D670" t="inlineStr">
        <is>
          <t>KALMAR LÄN</t>
        </is>
      </c>
      <c r="E670" t="inlineStr">
        <is>
          <t>NYBRO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19539-2023</t>
        </is>
      </c>
      <c r="B671" s="1" t="n">
        <v>45050</v>
      </c>
      <c r="C671" s="1" t="n">
        <v>46088</v>
      </c>
      <c r="D671" t="inlineStr">
        <is>
          <t>KALMAR LÄN</t>
        </is>
      </c>
      <c r="E671" t="inlineStr">
        <is>
          <t>NYBRO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18420-2025</t>
        </is>
      </c>
      <c r="B672" s="1" t="n">
        <v>45762.6184375</v>
      </c>
      <c r="C672" s="1" t="n">
        <v>46088</v>
      </c>
      <c r="D672" t="inlineStr">
        <is>
          <t>KALMAR LÄN</t>
        </is>
      </c>
      <c r="E672" t="inlineStr">
        <is>
          <t>NYBRO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5242-2024</t>
        </is>
      </c>
      <c r="B673" s="1" t="n">
        <v>45330</v>
      </c>
      <c r="C673" s="1" t="n">
        <v>46088</v>
      </c>
      <c r="D673" t="inlineStr">
        <is>
          <t>KALMAR LÄN</t>
        </is>
      </c>
      <c r="E673" t="inlineStr">
        <is>
          <t>NYBRO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28522-2023</t>
        </is>
      </c>
      <c r="B674" s="1" t="n">
        <v>45103.4828125</v>
      </c>
      <c r="C674" s="1" t="n">
        <v>46088</v>
      </c>
      <c r="D674" t="inlineStr">
        <is>
          <t>KALMAR LÄN</t>
        </is>
      </c>
      <c r="E674" t="inlineStr">
        <is>
          <t>NYBRO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8069-2023</t>
        </is>
      </c>
      <c r="B675" s="1" t="n">
        <v>44974.3628125</v>
      </c>
      <c r="C675" s="1" t="n">
        <v>46088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19451-2022</t>
        </is>
      </c>
      <c r="B676" s="1" t="n">
        <v>44693.40193287037</v>
      </c>
      <c r="C676" s="1" t="n">
        <v>46088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26715-2022</t>
        </is>
      </c>
      <c r="B677" s="1" t="n">
        <v>44739</v>
      </c>
      <c r="C677" s="1" t="n">
        <v>46088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60758-2025</t>
        </is>
      </c>
      <c r="B678" s="1" t="n">
        <v>45999.38480324074</v>
      </c>
      <c r="C678" s="1" t="n">
        <v>46088</v>
      </c>
      <c r="D678" t="inlineStr">
        <is>
          <t>KALMAR LÄN</t>
        </is>
      </c>
      <c r="E678" t="inlineStr">
        <is>
          <t>NYBRO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681-2025</t>
        </is>
      </c>
      <c r="B679" s="1" t="n">
        <v>45664.88829861111</v>
      </c>
      <c r="C679" s="1" t="n">
        <v>46088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59689-2021</t>
        </is>
      </c>
      <c r="B680" s="1" t="n">
        <v>44494.39315972223</v>
      </c>
      <c r="C680" s="1" t="n">
        <v>46088</v>
      </c>
      <c r="D680" t="inlineStr">
        <is>
          <t>KALMAR LÄN</t>
        </is>
      </c>
      <c r="E680" t="inlineStr">
        <is>
          <t>NYBRO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443-2024</t>
        </is>
      </c>
      <c r="B681" s="1" t="n">
        <v>45296</v>
      </c>
      <c r="C681" s="1" t="n">
        <v>46088</v>
      </c>
      <c r="D681" t="inlineStr">
        <is>
          <t>KALMAR LÄN</t>
        </is>
      </c>
      <c r="E681" t="inlineStr">
        <is>
          <t>NYBRO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60936-2025</t>
        </is>
      </c>
      <c r="B682" s="1" t="n">
        <v>45999.64255787037</v>
      </c>
      <c r="C682" s="1" t="n">
        <v>46088</v>
      </c>
      <c r="D682" t="inlineStr">
        <is>
          <t>KALMAR LÄN</t>
        </is>
      </c>
      <c r="E682" t="inlineStr">
        <is>
          <t>NYBRO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43731-2023</t>
        </is>
      </c>
      <c r="B683" s="1" t="n">
        <v>45187.45348379629</v>
      </c>
      <c r="C683" s="1" t="n">
        <v>46088</v>
      </c>
      <c r="D683" t="inlineStr">
        <is>
          <t>KALMAR LÄN</t>
        </is>
      </c>
      <c r="E683" t="inlineStr">
        <is>
          <t>NYBRO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3612-2022</t>
        </is>
      </c>
      <c r="B684" s="1" t="n">
        <v>44586.39371527778</v>
      </c>
      <c r="C684" s="1" t="n">
        <v>46088</v>
      </c>
      <c r="D684" t="inlineStr">
        <is>
          <t>KALMAR LÄN</t>
        </is>
      </c>
      <c r="E684" t="inlineStr">
        <is>
          <t>NYBRO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11450-2026</t>
        </is>
      </c>
      <c r="B685" s="1" t="n">
        <v>46083.55041666667</v>
      </c>
      <c r="C685" s="1" t="n">
        <v>46088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59052-2022</t>
        </is>
      </c>
      <c r="B686" s="1" t="n">
        <v>44904</v>
      </c>
      <c r="C686" s="1" t="n">
        <v>46088</v>
      </c>
      <c r="D686" t="inlineStr">
        <is>
          <t>KALMAR LÄN</t>
        </is>
      </c>
      <c r="E686" t="inlineStr">
        <is>
          <t>NYBRO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61074-2025</t>
        </is>
      </c>
      <c r="B687" s="1" t="n">
        <v>46000.39462962963</v>
      </c>
      <c r="C687" s="1" t="n">
        <v>46088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26578-2021</t>
        </is>
      </c>
      <c r="B688" s="1" t="n">
        <v>44348</v>
      </c>
      <c r="C688" s="1" t="n">
        <v>46088</v>
      </c>
      <c r="D688" t="inlineStr">
        <is>
          <t>KALMAR LÄN</t>
        </is>
      </c>
      <c r="E688" t="inlineStr">
        <is>
          <t>NYBRO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11449-2026</t>
        </is>
      </c>
      <c r="B689" s="1" t="n">
        <v>46083.54435185185</v>
      </c>
      <c r="C689" s="1" t="n">
        <v>46088</v>
      </c>
      <c r="D689" t="inlineStr">
        <is>
          <t>KALMAR LÄN</t>
        </is>
      </c>
      <c r="E689" t="inlineStr">
        <is>
          <t>NYBRO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35371-2022</t>
        </is>
      </c>
      <c r="B690" s="1" t="n">
        <v>44798.56335648148</v>
      </c>
      <c r="C690" s="1" t="n">
        <v>46088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12785-2025</t>
        </is>
      </c>
      <c r="B691" s="1" t="n">
        <v>45733.60050925926</v>
      </c>
      <c r="C691" s="1" t="n">
        <v>46088</v>
      </c>
      <c r="D691" t="inlineStr">
        <is>
          <t>KALMAR LÄN</t>
        </is>
      </c>
      <c r="E691" t="inlineStr">
        <is>
          <t>NYBRO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12217-2021</t>
        </is>
      </c>
      <c r="B692" s="1" t="n">
        <v>44266.66663194444</v>
      </c>
      <c r="C692" s="1" t="n">
        <v>46088</v>
      </c>
      <c r="D692" t="inlineStr">
        <is>
          <t>KALMAR LÄN</t>
        </is>
      </c>
      <c r="E692" t="inlineStr">
        <is>
          <t>NYBRO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17432-2024</t>
        </is>
      </c>
      <c r="B693" s="1" t="n">
        <v>45415.32408564815</v>
      </c>
      <c r="C693" s="1" t="n">
        <v>46088</v>
      </c>
      <c r="D693" t="inlineStr">
        <is>
          <t>KALMAR LÄN</t>
        </is>
      </c>
      <c r="E693" t="inlineStr">
        <is>
          <t>NYBRO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8489-2023</t>
        </is>
      </c>
      <c r="B694" s="1" t="n">
        <v>44977</v>
      </c>
      <c r="C694" s="1" t="n">
        <v>46088</v>
      </c>
      <c r="D694" t="inlineStr">
        <is>
          <t>KALMAR LÄN</t>
        </is>
      </c>
      <c r="E694" t="inlineStr">
        <is>
          <t>NYBRO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8495-2023</t>
        </is>
      </c>
      <c r="B695" s="1" t="n">
        <v>44977.54047453704</v>
      </c>
      <c r="C695" s="1" t="n">
        <v>46088</v>
      </c>
      <c r="D695" t="inlineStr">
        <is>
          <t>KALMAR LÄN</t>
        </is>
      </c>
      <c r="E695" t="inlineStr">
        <is>
          <t>NYBRO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10643-2025</t>
        </is>
      </c>
      <c r="B696" s="1" t="n">
        <v>45721</v>
      </c>
      <c r="C696" s="1" t="n">
        <v>46088</v>
      </c>
      <c r="D696" t="inlineStr">
        <is>
          <t>KALMAR LÄN</t>
        </is>
      </c>
      <c r="E696" t="inlineStr">
        <is>
          <t>NYBRO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17605-2023</t>
        </is>
      </c>
      <c r="B697" s="1" t="n">
        <v>45035</v>
      </c>
      <c r="C697" s="1" t="n">
        <v>46088</v>
      </c>
      <c r="D697" t="inlineStr">
        <is>
          <t>KALMAR LÄN</t>
        </is>
      </c>
      <c r="E697" t="inlineStr">
        <is>
          <t>NYBRO</t>
        </is>
      </c>
      <c r="G697" t="n">
        <v>15.1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59940-2022</t>
        </is>
      </c>
      <c r="B698" s="1" t="n">
        <v>44909</v>
      </c>
      <c r="C698" s="1" t="n">
        <v>46088</v>
      </c>
      <c r="D698" t="inlineStr">
        <is>
          <t>KALMAR LÄN</t>
        </is>
      </c>
      <c r="E698" t="inlineStr">
        <is>
          <t>NYBRO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25816-2023</t>
        </is>
      </c>
      <c r="B699" s="1" t="n">
        <v>45090.53722222222</v>
      </c>
      <c r="C699" s="1" t="n">
        <v>46088</v>
      </c>
      <c r="D699" t="inlineStr">
        <is>
          <t>KALMAR LÄN</t>
        </is>
      </c>
      <c r="E699" t="inlineStr">
        <is>
          <t>NYBRO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10114-2022</t>
        </is>
      </c>
      <c r="B700" s="1" t="n">
        <v>44621</v>
      </c>
      <c r="C700" s="1" t="n">
        <v>46088</v>
      </c>
      <c r="D700" t="inlineStr">
        <is>
          <t>KALMAR LÄN</t>
        </is>
      </c>
      <c r="E700" t="inlineStr">
        <is>
          <t>NYBRO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2380-2022</t>
        </is>
      </c>
      <c r="B701" s="1" t="n">
        <v>44579.36934027778</v>
      </c>
      <c r="C701" s="1" t="n">
        <v>46088</v>
      </c>
      <c r="D701" t="inlineStr">
        <is>
          <t>KALMAR LÄN</t>
        </is>
      </c>
      <c r="E701" t="inlineStr">
        <is>
          <t>NYBRO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61613-2025</t>
        </is>
      </c>
      <c r="B702" s="1" t="n">
        <v>46002.38592592593</v>
      </c>
      <c r="C702" s="1" t="n">
        <v>46088</v>
      </c>
      <c r="D702" t="inlineStr">
        <is>
          <t>KALMAR LÄN</t>
        </is>
      </c>
      <c r="E702" t="inlineStr">
        <is>
          <t>NYBRO</t>
        </is>
      </c>
      <c r="G702" t="n">
        <v>12.2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14085-2024</t>
        </is>
      </c>
      <c r="B703" s="1" t="n">
        <v>45392.59135416667</v>
      </c>
      <c r="C703" s="1" t="n">
        <v>46088</v>
      </c>
      <c r="D703" t="inlineStr">
        <is>
          <t>KALMAR LÄN</t>
        </is>
      </c>
      <c r="E703" t="inlineStr">
        <is>
          <t>NYBRO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11352-2024</t>
        </is>
      </c>
      <c r="B704" s="1" t="n">
        <v>45372.34578703704</v>
      </c>
      <c r="C704" s="1" t="n">
        <v>46088</v>
      </c>
      <c r="D704" t="inlineStr">
        <is>
          <t>KALMAR LÄN</t>
        </is>
      </c>
      <c r="E704" t="inlineStr">
        <is>
          <t>NYBRO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4811-2026</t>
        </is>
      </c>
      <c r="B705" s="1" t="n">
        <v>46048.58149305556</v>
      </c>
      <c r="C705" s="1" t="n">
        <v>46088</v>
      </c>
      <c r="D705" t="inlineStr">
        <is>
          <t>KALMAR LÄN</t>
        </is>
      </c>
      <c r="E705" t="inlineStr">
        <is>
          <t>NYBRO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36247-2022</t>
        </is>
      </c>
      <c r="B706" s="1" t="n">
        <v>44803</v>
      </c>
      <c r="C706" s="1" t="n">
        <v>46088</v>
      </c>
      <c r="D706" t="inlineStr">
        <is>
          <t>KALMAR LÄN</t>
        </is>
      </c>
      <c r="E706" t="inlineStr">
        <is>
          <t>NYBRO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5025-2026</t>
        </is>
      </c>
      <c r="B707" s="1" t="n">
        <v>46049.44773148148</v>
      </c>
      <c r="C707" s="1" t="n">
        <v>46088</v>
      </c>
      <c r="D707" t="inlineStr">
        <is>
          <t>KALMAR LÄN</t>
        </is>
      </c>
      <c r="E707" t="inlineStr">
        <is>
          <t>NYBRO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59053-2022</t>
        </is>
      </c>
      <c r="B708" s="1" t="n">
        <v>44904</v>
      </c>
      <c r="C708" s="1" t="n">
        <v>46088</v>
      </c>
      <c r="D708" t="inlineStr">
        <is>
          <t>KALMAR LÄN</t>
        </is>
      </c>
      <c r="E708" t="inlineStr">
        <is>
          <t>NYBRO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59054-2022</t>
        </is>
      </c>
      <c r="B709" s="1" t="n">
        <v>44904</v>
      </c>
      <c r="C709" s="1" t="n">
        <v>46088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41674-2024</t>
        </is>
      </c>
      <c r="B710" s="1" t="n">
        <v>45560.65891203703</v>
      </c>
      <c r="C710" s="1" t="n">
        <v>46088</v>
      </c>
      <c r="D710" t="inlineStr">
        <is>
          <t>KALMAR LÄN</t>
        </is>
      </c>
      <c r="E710" t="inlineStr">
        <is>
          <t>NYBRO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24127-2023</t>
        </is>
      </c>
      <c r="B711" s="1" t="n">
        <v>45079.49798611111</v>
      </c>
      <c r="C711" s="1" t="n">
        <v>46088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18587-2025</t>
        </is>
      </c>
      <c r="B712" s="1" t="n">
        <v>45763</v>
      </c>
      <c r="C712" s="1" t="n">
        <v>46088</v>
      </c>
      <c r="D712" t="inlineStr">
        <is>
          <t>KALMAR LÄN</t>
        </is>
      </c>
      <c r="E712" t="inlineStr">
        <is>
          <t>NYBRO</t>
        </is>
      </c>
      <c r="G712" t="n">
        <v>30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46282-2023</t>
        </is>
      </c>
      <c r="B713" s="1" t="n">
        <v>45197</v>
      </c>
      <c r="C713" s="1" t="n">
        <v>46088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26442-2024</t>
        </is>
      </c>
      <c r="B714" s="1" t="n">
        <v>45469.49331018519</v>
      </c>
      <c r="C714" s="1" t="n">
        <v>46088</v>
      </c>
      <c r="D714" t="inlineStr">
        <is>
          <t>KALMAR LÄN</t>
        </is>
      </c>
      <c r="E714" t="inlineStr">
        <is>
          <t>NYBRO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39986-2021</t>
        </is>
      </c>
      <c r="B715" s="1" t="n">
        <v>44418</v>
      </c>
      <c r="C715" s="1" t="n">
        <v>46088</v>
      </c>
      <c r="D715" t="inlineStr">
        <is>
          <t>KALMAR LÄN</t>
        </is>
      </c>
      <c r="E715" t="inlineStr">
        <is>
          <t>NYBRO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5728-2026</t>
        </is>
      </c>
      <c r="B716" s="1" t="n">
        <v>46051.57055555555</v>
      </c>
      <c r="C716" s="1" t="n">
        <v>46088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28728-2024</t>
        </is>
      </c>
      <c r="B717" s="1" t="n">
        <v>45478.55826388889</v>
      </c>
      <c r="C717" s="1" t="n">
        <v>46088</v>
      </c>
      <c r="D717" t="inlineStr">
        <is>
          <t>KALMAR LÄN</t>
        </is>
      </c>
      <c r="E717" t="inlineStr">
        <is>
          <t>NYBRO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16765-2025</t>
        </is>
      </c>
      <c r="B718" s="1" t="n">
        <v>45754.57761574074</v>
      </c>
      <c r="C718" s="1" t="n">
        <v>46088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1965-2023</t>
        </is>
      </c>
      <c r="B719" s="1" t="n">
        <v>44939.46715277778</v>
      </c>
      <c r="C719" s="1" t="n">
        <v>46088</v>
      </c>
      <c r="D719" t="inlineStr">
        <is>
          <t>KALMAR LÄN</t>
        </is>
      </c>
      <c r="E719" t="inlineStr">
        <is>
          <t>NYBRO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16769-2025</t>
        </is>
      </c>
      <c r="B720" s="1" t="n">
        <v>45754.57903935185</v>
      </c>
      <c r="C720" s="1" t="n">
        <v>46088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6688-2023</t>
        </is>
      </c>
      <c r="B721" s="1" t="n">
        <v>44966.65418981481</v>
      </c>
      <c r="C721" s="1" t="n">
        <v>46088</v>
      </c>
      <c r="D721" t="inlineStr">
        <is>
          <t>KALMAR LÄN</t>
        </is>
      </c>
      <c r="E721" t="inlineStr">
        <is>
          <t>NYBRO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6691-2023</t>
        </is>
      </c>
      <c r="B722" s="1" t="n">
        <v>44966.65623842592</v>
      </c>
      <c r="C722" s="1" t="n">
        <v>46088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63335-2025</t>
        </is>
      </c>
      <c r="B723" s="1" t="n">
        <v>46010</v>
      </c>
      <c r="C723" s="1" t="n">
        <v>46088</v>
      </c>
      <c r="D723" t="inlineStr">
        <is>
          <t>KALMAR LÄN</t>
        </is>
      </c>
      <c r="E723" t="inlineStr">
        <is>
          <t>NYBRO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5909-2026</t>
        </is>
      </c>
      <c r="B724" s="1" t="n">
        <v>46052.44471064815</v>
      </c>
      <c r="C724" s="1" t="n">
        <v>46088</v>
      </c>
      <c r="D724" t="inlineStr">
        <is>
          <t>KALMAR LÄN</t>
        </is>
      </c>
      <c r="E724" t="inlineStr">
        <is>
          <t>NYBRO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6145-2026</t>
        </is>
      </c>
      <c r="B725" s="1" t="n">
        <v>46054.86493055556</v>
      </c>
      <c r="C725" s="1" t="n">
        <v>46088</v>
      </c>
      <c r="D725" t="inlineStr">
        <is>
          <t>KALMAR LÄN</t>
        </is>
      </c>
      <c r="E725" t="inlineStr">
        <is>
          <t>NYBRO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12236-2026</t>
        </is>
      </c>
      <c r="B726" s="1" t="n">
        <v>46087.41293981481</v>
      </c>
      <c r="C726" s="1" t="n">
        <v>46088</v>
      </c>
      <c r="D726" t="inlineStr">
        <is>
          <t>KALMAR LÄN</t>
        </is>
      </c>
      <c r="E726" t="inlineStr">
        <is>
          <t>NYBRO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29289-2023</t>
        </is>
      </c>
      <c r="B727" s="1" t="n">
        <v>45098</v>
      </c>
      <c r="C727" s="1" t="n">
        <v>46088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2529-2024</t>
        </is>
      </c>
      <c r="B728" s="1" t="n">
        <v>45313</v>
      </c>
      <c r="C728" s="1" t="n">
        <v>46088</v>
      </c>
      <c r="D728" t="inlineStr">
        <is>
          <t>KALMAR LÄN</t>
        </is>
      </c>
      <c r="E728" t="inlineStr">
        <is>
          <t>NYBRO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5906-2026</t>
        </is>
      </c>
      <c r="B729" s="1" t="n">
        <v>46052.44284722222</v>
      </c>
      <c r="C729" s="1" t="n">
        <v>46088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24188-2023</t>
        </is>
      </c>
      <c r="B730" s="1" t="n">
        <v>45079</v>
      </c>
      <c r="C730" s="1" t="n">
        <v>46088</v>
      </c>
      <c r="D730" t="inlineStr">
        <is>
          <t>KALMAR LÄN</t>
        </is>
      </c>
      <c r="E730" t="inlineStr">
        <is>
          <t>NYBRO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12595-2025</t>
        </is>
      </c>
      <c r="B731" s="1" t="n">
        <v>45733.27633101852</v>
      </c>
      <c r="C731" s="1" t="n">
        <v>46088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5907-2026</t>
        </is>
      </c>
      <c r="B732" s="1" t="n">
        <v>46052.44387731481</v>
      </c>
      <c r="C732" s="1" t="n">
        <v>46088</v>
      </c>
      <c r="D732" t="inlineStr">
        <is>
          <t>KALMAR LÄN</t>
        </is>
      </c>
      <c r="E732" t="inlineStr">
        <is>
          <t>NYBRO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7036-2026</t>
        </is>
      </c>
      <c r="B733" s="1" t="n">
        <v>46057.68822916667</v>
      </c>
      <c r="C733" s="1" t="n">
        <v>46088</v>
      </c>
      <c r="D733" t="inlineStr">
        <is>
          <t>KALMAR LÄN</t>
        </is>
      </c>
      <c r="E733" t="inlineStr">
        <is>
          <t>NYBRO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25798-2023</t>
        </is>
      </c>
      <c r="B734" s="1" t="n">
        <v>45090.50210648148</v>
      </c>
      <c r="C734" s="1" t="n">
        <v>46088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7037-2026</t>
        </is>
      </c>
      <c r="B735" s="1" t="n">
        <v>46057.68931712963</v>
      </c>
      <c r="C735" s="1" t="n">
        <v>46088</v>
      </c>
      <c r="D735" t="inlineStr">
        <is>
          <t>KALMAR LÄN</t>
        </is>
      </c>
      <c r="E735" t="inlineStr">
        <is>
          <t>NYBRO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17226-2025</t>
        </is>
      </c>
      <c r="B736" s="1" t="n">
        <v>45756.4618287037</v>
      </c>
      <c r="C736" s="1" t="n">
        <v>46088</v>
      </c>
      <c r="D736" t="inlineStr">
        <is>
          <t>KALMAR LÄN</t>
        </is>
      </c>
      <c r="E736" t="inlineStr">
        <is>
          <t>NYBRO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6811-2024</t>
        </is>
      </c>
      <c r="B737" s="1" t="n">
        <v>45342.58582175926</v>
      </c>
      <c r="C737" s="1" t="n">
        <v>46088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61136-2022</t>
        </is>
      </c>
      <c r="B738" s="1" t="n">
        <v>44908</v>
      </c>
      <c r="C738" s="1" t="n">
        <v>46088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42030-2024</t>
        </is>
      </c>
      <c r="B739" s="1" t="n">
        <v>45561</v>
      </c>
      <c r="C739" s="1" t="n">
        <v>46088</v>
      </c>
      <c r="D739" t="inlineStr">
        <is>
          <t>KALMAR LÄN</t>
        </is>
      </c>
      <c r="E739" t="inlineStr">
        <is>
          <t>NYBRO</t>
        </is>
      </c>
      <c r="F739" t="inlineStr">
        <is>
          <t>Kyrkan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42933-2023</t>
        </is>
      </c>
      <c r="B740" s="1" t="n">
        <v>45177</v>
      </c>
      <c r="C740" s="1" t="n">
        <v>46088</v>
      </c>
      <c r="D740" t="inlineStr">
        <is>
          <t>KALMAR LÄN</t>
        </is>
      </c>
      <c r="E740" t="inlineStr">
        <is>
          <t>NYBRO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4405-2024</t>
        </is>
      </c>
      <c r="B741" s="1" t="n">
        <v>45327</v>
      </c>
      <c r="C741" s="1" t="n">
        <v>46088</v>
      </c>
      <c r="D741" t="inlineStr">
        <is>
          <t>KALMAR LÄN</t>
        </is>
      </c>
      <c r="E741" t="inlineStr">
        <is>
          <t>NYBRO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12044-2026</t>
        </is>
      </c>
      <c r="B742" s="1" t="n">
        <v>46086.34309027778</v>
      </c>
      <c r="C742" s="1" t="n">
        <v>46088</v>
      </c>
      <c r="D742" t="inlineStr">
        <is>
          <t>KALMAR LÄN</t>
        </is>
      </c>
      <c r="E742" t="inlineStr">
        <is>
          <t>NYBRO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25838-2023</t>
        </is>
      </c>
      <c r="B743" s="1" t="n">
        <v>45090.57193287037</v>
      </c>
      <c r="C743" s="1" t="n">
        <v>46088</v>
      </c>
      <c r="D743" t="inlineStr">
        <is>
          <t>KALMAR LÄN</t>
        </is>
      </c>
      <c r="E743" t="inlineStr">
        <is>
          <t>NYBRO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32542-2023</t>
        </is>
      </c>
      <c r="B744" s="1" t="n">
        <v>45110</v>
      </c>
      <c r="C744" s="1" t="n">
        <v>46088</v>
      </c>
      <c r="D744" t="inlineStr">
        <is>
          <t>KALMAR LÄN</t>
        </is>
      </c>
      <c r="E744" t="inlineStr">
        <is>
          <t>NYBRO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10328-2025</t>
        </is>
      </c>
      <c r="B745" s="1" t="n">
        <v>45720.48189814815</v>
      </c>
      <c r="C745" s="1" t="n">
        <v>46088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23818-2023</t>
        </is>
      </c>
      <c r="B746" s="1" t="n">
        <v>45078</v>
      </c>
      <c r="C746" s="1" t="n">
        <v>46088</v>
      </c>
      <c r="D746" t="inlineStr">
        <is>
          <t>KALMAR LÄN</t>
        </is>
      </c>
      <c r="E746" t="inlineStr">
        <is>
          <t>NYBRO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14586-2023</t>
        </is>
      </c>
      <c r="B747" s="1" t="n">
        <v>45013.53428240741</v>
      </c>
      <c r="C747" s="1" t="n">
        <v>46088</v>
      </c>
      <c r="D747" t="inlineStr">
        <is>
          <t>KALMAR LÄN</t>
        </is>
      </c>
      <c r="E747" t="inlineStr">
        <is>
          <t>NYBRO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16779-2025</t>
        </is>
      </c>
      <c r="B748" s="1" t="n">
        <v>45754.58804398148</v>
      </c>
      <c r="C748" s="1" t="n">
        <v>46088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57980-2022</t>
        </is>
      </c>
      <c r="B749" s="1" t="n">
        <v>44900.47381944444</v>
      </c>
      <c r="C749" s="1" t="n">
        <v>46088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22812-2023</t>
        </is>
      </c>
      <c r="B750" s="1" t="n">
        <v>45072</v>
      </c>
      <c r="C750" s="1" t="n">
        <v>46088</v>
      </c>
      <c r="D750" t="inlineStr">
        <is>
          <t>KALMAR LÄN</t>
        </is>
      </c>
      <c r="E750" t="inlineStr">
        <is>
          <t>NYBRO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52367-2021</t>
        </is>
      </c>
      <c r="B751" s="1" t="n">
        <v>44465.45304398148</v>
      </c>
      <c r="C751" s="1" t="n">
        <v>46088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9106-2025</t>
        </is>
      </c>
      <c r="B752" s="1" t="n">
        <v>45713</v>
      </c>
      <c r="C752" s="1" t="n">
        <v>46088</v>
      </c>
      <c r="D752" t="inlineStr">
        <is>
          <t>KALMAR LÄN</t>
        </is>
      </c>
      <c r="E752" t="inlineStr">
        <is>
          <t>NYBRO</t>
        </is>
      </c>
      <c r="G752" t="n">
        <v>13.2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16354-2024</t>
        </is>
      </c>
      <c r="B753" s="1" t="n">
        <v>45407.58145833333</v>
      </c>
      <c r="C753" s="1" t="n">
        <v>46088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42886-2023</t>
        </is>
      </c>
      <c r="B754" s="1" t="n">
        <v>45177</v>
      </c>
      <c r="C754" s="1" t="n">
        <v>46088</v>
      </c>
      <c r="D754" t="inlineStr">
        <is>
          <t>KALMAR LÄN</t>
        </is>
      </c>
      <c r="E754" t="inlineStr">
        <is>
          <t>NYBRO</t>
        </is>
      </c>
      <c r="F754" t="inlineStr">
        <is>
          <t>Kyrkan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7308-2023</t>
        </is>
      </c>
      <c r="B755" s="1" t="n">
        <v>44970.82792824074</v>
      </c>
      <c r="C755" s="1" t="n">
        <v>46088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18586-2025</t>
        </is>
      </c>
      <c r="B756" s="1" t="n">
        <v>45763</v>
      </c>
      <c r="C756" s="1" t="n">
        <v>46088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28272-2024</t>
        </is>
      </c>
      <c r="B757" s="1" t="n">
        <v>45477.45034722222</v>
      </c>
      <c r="C757" s="1" t="n">
        <v>46088</v>
      </c>
      <c r="D757" t="inlineStr">
        <is>
          <t>KALMAR LÄN</t>
        </is>
      </c>
      <c r="E757" t="inlineStr">
        <is>
          <t>NYBRO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39351-2024</t>
        </is>
      </c>
      <c r="B758" s="1" t="n">
        <v>45551.45708333333</v>
      </c>
      <c r="C758" s="1" t="n">
        <v>46088</v>
      </c>
      <c r="D758" t="inlineStr">
        <is>
          <t>KALMAR LÄN</t>
        </is>
      </c>
      <c r="E758" t="inlineStr">
        <is>
          <t>NYBRO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51081-2022</t>
        </is>
      </c>
      <c r="B759" s="1" t="n">
        <v>44868.38045138889</v>
      </c>
      <c r="C759" s="1" t="n">
        <v>46088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11966-2025</t>
        </is>
      </c>
      <c r="B760" s="1" t="n">
        <v>45728.57760416667</v>
      </c>
      <c r="C760" s="1" t="n">
        <v>46088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50561-2022</t>
        </is>
      </c>
      <c r="B761" s="1" t="n">
        <v>44866.6291550926</v>
      </c>
      <c r="C761" s="1" t="n">
        <v>46088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15898-2023</t>
        </is>
      </c>
      <c r="B762" s="1" t="n">
        <v>45022.47684027778</v>
      </c>
      <c r="C762" s="1" t="n">
        <v>46088</v>
      </c>
      <c r="D762" t="inlineStr">
        <is>
          <t>KALMAR LÄN</t>
        </is>
      </c>
      <c r="E762" t="inlineStr">
        <is>
          <t>NYBRO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23577-2023</t>
        </is>
      </c>
      <c r="B763" s="1" t="n">
        <v>45077</v>
      </c>
      <c r="C763" s="1" t="n">
        <v>46088</v>
      </c>
      <c r="D763" t="inlineStr">
        <is>
          <t>KALMAR LÄN</t>
        </is>
      </c>
      <c r="E763" t="inlineStr">
        <is>
          <t>NYBRO</t>
        </is>
      </c>
      <c r="G763" t="n">
        <v>10.3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46024-2023</t>
        </is>
      </c>
      <c r="B764" s="1" t="n">
        <v>45196.41028935185</v>
      </c>
      <c r="C764" s="1" t="n">
        <v>46088</v>
      </c>
      <c r="D764" t="inlineStr">
        <is>
          <t>KALMAR LÄN</t>
        </is>
      </c>
      <c r="E764" t="inlineStr">
        <is>
          <t>NYBRO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44779-2023</t>
        </is>
      </c>
      <c r="B765" s="1" t="n">
        <v>45190</v>
      </c>
      <c r="C765" s="1" t="n">
        <v>46088</v>
      </c>
      <c r="D765" t="inlineStr">
        <is>
          <t>KALMAR LÄN</t>
        </is>
      </c>
      <c r="E765" t="inlineStr">
        <is>
          <t>NYBRO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16530-2024</t>
        </is>
      </c>
      <c r="B766" s="1" t="n">
        <v>45408.42273148148</v>
      </c>
      <c r="C766" s="1" t="n">
        <v>46088</v>
      </c>
      <c r="D766" t="inlineStr">
        <is>
          <t>KALMAR LÄN</t>
        </is>
      </c>
      <c r="E766" t="inlineStr">
        <is>
          <t>NYBRO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53987-2024</t>
        </is>
      </c>
      <c r="B767" s="1" t="n">
        <v>45615</v>
      </c>
      <c r="C767" s="1" t="n">
        <v>46088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31081-2021</t>
        </is>
      </c>
      <c r="B768" s="1" t="n">
        <v>44368.48412037037</v>
      </c>
      <c r="C768" s="1" t="n">
        <v>46088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22171-2023</t>
        </is>
      </c>
      <c r="B769" s="1" t="n">
        <v>45069.67789351852</v>
      </c>
      <c r="C769" s="1" t="n">
        <v>46088</v>
      </c>
      <c r="D769" t="inlineStr">
        <is>
          <t>KALMAR LÄN</t>
        </is>
      </c>
      <c r="E769" t="inlineStr">
        <is>
          <t>NYBRO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10758-2024</t>
        </is>
      </c>
      <c r="B770" s="1" t="n">
        <v>45369.55871527778</v>
      </c>
      <c r="C770" s="1" t="n">
        <v>46088</v>
      </c>
      <c r="D770" t="inlineStr">
        <is>
          <t>KALMAR LÄN</t>
        </is>
      </c>
      <c r="E770" t="inlineStr">
        <is>
          <t>NYBRO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4750-2023</t>
        </is>
      </c>
      <c r="B771" s="1" t="n">
        <v>44957</v>
      </c>
      <c r="C771" s="1" t="n">
        <v>46088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4751-2023</t>
        </is>
      </c>
      <c r="B772" s="1" t="n">
        <v>44957.56633101852</v>
      </c>
      <c r="C772" s="1" t="n">
        <v>46088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5928-2025</t>
        </is>
      </c>
      <c r="B773" s="1" t="n">
        <v>45695.44407407408</v>
      </c>
      <c r="C773" s="1" t="n">
        <v>46088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23398-2021</t>
        </is>
      </c>
      <c r="B774" s="1" t="n">
        <v>44333.63303240741</v>
      </c>
      <c r="C774" s="1" t="n">
        <v>46088</v>
      </c>
      <c r="D774" t="inlineStr">
        <is>
          <t>KALMAR LÄN</t>
        </is>
      </c>
      <c r="E774" t="inlineStr">
        <is>
          <t>NYBRO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14600-2023</t>
        </is>
      </c>
      <c r="B775" s="1" t="n">
        <v>45013.59971064814</v>
      </c>
      <c r="C775" s="1" t="n">
        <v>46088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39624-2024</t>
        </is>
      </c>
      <c r="B776" s="1" t="n">
        <v>45552.43833333333</v>
      </c>
      <c r="C776" s="1" t="n">
        <v>46088</v>
      </c>
      <c r="D776" t="inlineStr">
        <is>
          <t>KALMAR LÄN</t>
        </is>
      </c>
      <c r="E776" t="inlineStr">
        <is>
          <t>NYBRO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36108-2023</t>
        </is>
      </c>
      <c r="B777" s="1" t="n">
        <v>45149.53783564815</v>
      </c>
      <c r="C777" s="1" t="n">
        <v>46088</v>
      </c>
      <c r="D777" t="inlineStr">
        <is>
          <t>KALMAR LÄN</t>
        </is>
      </c>
      <c r="E777" t="inlineStr">
        <is>
          <t>NYBRO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21388-2024</t>
        </is>
      </c>
      <c r="B778" s="1" t="n">
        <v>45440</v>
      </c>
      <c r="C778" s="1" t="n">
        <v>46088</v>
      </c>
      <c r="D778" t="inlineStr">
        <is>
          <t>KALMAR LÄN</t>
        </is>
      </c>
      <c r="E778" t="inlineStr">
        <is>
          <t>NYBRO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24452-2023</t>
        </is>
      </c>
      <c r="B779" s="1" t="n">
        <v>45082</v>
      </c>
      <c r="C779" s="1" t="n">
        <v>46088</v>
      </c>
      <c r="D779" t="inlineStr">
        <is>
          <t>KALMAR LÄN</t>
        </is>
      </c>
      <c r="E779" t="inlineStr">
        <is>
          <t>NYBRO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7848-2023</t>
        </is>
      </c>
      <c r="B780" s="1" t="n">
        <v>44973</v>
      </c>
      <c r="C780" s="1" t="n">
        <v>46088</v>
      </c>
      <c r="D780" t="inlineStr">
        <is>
          <t>KALMAR LÄN</t>
        </is>
      </c>
      <c r="E780" t="inlineStr">
        <is>
          <t>NYBRO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26422-2023</t>
        </is>
      </c>
      <c r="B781" s="1" t="n">
        <v>45092.3869675926</v>
      </c>
      <c r="C781" s="1" t="n">
        <v>46088</v>
      </c>
      <c r="D781" t="inlineStr">
        <is>
          <t>KALMAR LÄN</t>
        </is>
      </c>
      <c r="E781" t="inlineStr">
        <is>
          <t>NYBRO</t>
        </is>
      </c>
      <c r="F781" t="inlineStr">
        <is>
          <t>Kommuner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12407-2023</t>
        </is>
      </c>
      <c r="B782" s="1" t="n">
        <v>44999</v>
      </c>
      <c r="C782" s="1" t="n">
        <v>46088</v>
      </c>
      <c r="D782" t="inlineStr">
        <is>
          <t>KALMAR LÄN</t>
        </is>
      </c>
      <c r="E782" t="inlineStr">
        <is>
          <t>NYBRO</t>
        </is>
      </c>
      <c r="G782" t="n">
        <v>16.5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5712-2022</t>
        </is>
      </c>
      <c r="B783" s="1" t="n">
        <v>44596.39430555556</v>
      </c>
      <c r="C783" s="1" t="n">
        <v>46088</v>
      </c>
      <c r="D783" t="inlineStr">
        <is>
          <t>KALMAR LÄN</t>
        </is>
      </c>
      <c r="E783" t="inlineStr">
        <is>
          <t>NYBRO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44801-2022</t>
        </is>
      </c>
      <c r="B784" s="1" t="n">
        <v>44841</v>
      </c>
      <c r="C784" s="1" t="n">
        <v>46088</v>
      </c>
      <c r="D784" t="inlineStr">
        <is>
          <t>KALMAR LÄN</t>
        </is>
      </c>
      <c r="E784" t="inlineStr">
        <is>
          <t>NYBRO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32681-2023</t>
        </is>
      </c>
      <c r="B785" s="1" t="n">
        <v>45121</v>
      </c>
      <c r="C785" s="1" t="n">
        <v>46088</v>
      </c>
      <c r="D785" t="inlineStr">
        <is>
          <t>KALMAR LÄN</t>
        </is>
      </c>
      <c r="E785" t="inlineStr">
        <is>
          <t>NYBRO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44920-2024</t>
        </is>
      </c>
      <c r="B786" s="1" t="n">
        <v>45575.40405092593</v>
      </c>
      <c r="C786" s="1" t="n">
        <v>46088</v>
      </c>
      <c r="D786" t="inlineStr">
        <is>
          <t>KALMAR LÄN</t>
        </is>
      </c>
      <c r="E786" t="inlineStr">
        <is>
          <t>NYBRO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22873-2023</t>
        </is>
      </c>
      <c r="B787" s="1" t="n">
        <v>45072.49364583333</v>
      </c>
      <c r="C787" s="1" t="n">
        <v>46088</v>
      </c>
      <c r="D787" t="inlineStr">
        <is>
          <t>KALMAR LÄN</t>
        </is>
      </c>
      <c r="E787" t="inlineStr">
        <is>
          <t>NYBRO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15830-2023</t>
        </is>
      </c>
      <c r="B788" s="1" t="n">
        <v>45022</v>
      </c>
      <c r="C788" s="1" t="n">
        <v>46088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26893-2024</t>
        </is>
      </c>
      <c r="B789" s="1" t="n">
        <v>45470.66217592593</v>
      </c>
      <c r="C789" s="1" t="n">
        <v>46088</v>
      </c>
      <c r="D789" t="inlineStr">
        <is>
          <t>KALMAR LÄN</t>
        </is>
      </c>
      <c r="E789" t="inlineStr">
        <is>
          <t>NYBRO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5257-2023</t>
        </is>
      </c>
      <c r="B790" s="1" t="n">
        <v>44959</v>
      </c>
      <c r="C790" s="1" t="n">
        <v>46088</v>
      </c>
      <c r="D790" t="inlineStr">
        <is>
          <t>KALMAR LÄN</t>
        </is>
      </c>
      <c r="E790" t="inlineStr">
        <is>
          <t>NYBRO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44395-2022</t>
        </is>
      </c>
      <c r="B791" s="1" t="n">
        <v>44839</v>
      </c>
      <c r="C791" s="1" t="n">
        <v>46088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10739-2024</t>
        </is>
      </c>
      <c r="B792" s="1" t="n">
        <v>45369.51451388889</v>
      </c>
      <c r="C792" s="1" t="n">
        <v>46088</v>
      </c>
      <c r="D792" t="inlineStr">
        <is>
          <t>KALMAR LÄN</t>
        </is>
      </c>
      <c r="E792" t="inlineStr">
        <is>
          <t>NYBRO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26729-2023</t>
        </is>
      </c>
      <c r="B793" s="1" t="n">
        <v>45093.41260416667</v>
      </c>
      <c r="C793" s="1" t="n">
        <v>46088</v>
      </c>
      <c r="D793" t="inlineStr">
        <is>
          <t>KALMAR LÄN</t>
        </is>
      </c>
      <c r="E793" t="inlineStr">
        <is>
          <t>NYBRO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25547-2024</t>
        </is>
      </c>
      <c r="B794" s="1" t="n">
        <v>45463</v>
      </c>
      <c r="C794" s="1" t="n">
        <v>46088</v>
      </c>
      <c r="D794" t="inlineStr">
        <is>
          <t>KALMAR LÄN</t>
        </is>
      </c>
      <c r="E794" t="inlineStr">
        <is>
          <t>NYBRO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26863-2023</t>
        </is>
      </c>
      <c r="B795" s="1" t="n">
        <v>45093</v>
      </c>
      <c r="C795" s="1" t="n">
        <v>46088</v>
      </c>
      <c r="D795" t="inlineStr">
        <is>
          <t>KALMAR LÄN</t>
        </is>
      </c>
      <c r="E795" t="inlineStr">
        <is>
          <t>NYBRO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32660-2023</t>
        </is>
      </c>
      <c r="B796" s="1" t="n">
        <v>45121.62556712963</v>
      </c>
      <c r="C796" s="1" t="n">
        <v>46088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41992-2024</t>
        </is>
      </c>
      <c r="B797" s="1" t="n">
        <v>45561</v>
      </c>
      <c r="C797" s="1" t="n">
        <v>46088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41993-2024</t>
        </is>
      </c>
      <c r="B798" s="1" t="n">
        <v>45561</v>
      </c>
      <c r="C798" s="1" t="n">
        <v>46088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28145-2022</t>
        </is>
      </c>
      <c r="B799" s="1" t="n">
        <v>44746.52041666667</v>
      </c>
      <c r="C799" s="1" t="n">
        <v>46088</v>
      </c>
      <c r="D799" t="inlineStr">
        <is>
          <t>KALMAR LÄN</t>
        </is>
      </c>
      <c r="E799" t="inlineStr">
        <is>
          <t>NYBRO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20952-2024</t>
        </is>
      </c>
      <c r="B800" s="1" t="n">
        <v>45439.56545138889</v>
      </c>
      <c r="C800" s="1" t="n">
        <v>46088</v>
      </c>
      <c r="D800" t="inlineStr">
        <is>
          <t>KALMAR LÄN</t>
        </is>
      </c>
      <c r="E800" t="inlineStr">
        <is>
          <t>NYBRO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36162-2024</t>
        </is>
      </c>
      <c r="B801" s="1" t="n">
        <v>45534.39119212963</v>
      </c>
      <c r="C801" s="1" t="n">
        <v>46088</v>
      </c>
      <c r="D801" t="inlineStr">
        <is>
          <t>KALMAR LÄN</t>
        </is>
      </c>
      <c r="E801" t="inlineStr">
        <is>
          <t>NYBRO</t>
        </is>
      </c>
      <c r="G801" t="n">
        <v>13.2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54314-2022</t>
        </is>
      </c>
      <c r="B802" s="1" t="n">
        <v>44882</v>
      </c>
      <c r="C802" s="1" t="n">
        <v>46088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23926-2023</t>
        </is>
      </c>
      <c r="B803" s="1" t="n">
        <v>45075</v>
      </c>
      <c r="C803" s="1" t="n">
        <v>46088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22429-2023</t>
        </is>
      </c>
      <c r="B804" s="1" t="n">
        <v>45070</v>
      </c>
      <c r="C804" s="1" t="n">
        <v>46088</v>
      </c>
      <c r="D804" t="inlineStr">
        <is>
          <t>KALMAR LÄN</t>
        </is>
      </c>
      <c r="E804" t="inlineStr">
        <is>
          <t>NYBRO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57818-2023</t>
        </is>
      </c>
      <c r="B805" s="1" t="n">
        <v>45244</v>
      </c>
      <c r="C805" s="1" t="n">
        <v>46088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54051-2022</t>
        </is>
      </c>
      <c r="B806" s="1" t="n">
        <v>44881.47697916667</v>
      </c>
      <c r="C806" s="1" t="n">
        <v>46088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28676-2024</t>
        </is>
      </c>
      <c r="B807" s="1" t="n">
        <v>45478.47974537037</v>
      </c>
      <c r="C807" s="1" t="n">
        <v>46088</v>
      </c>
      <c r="D807" t="inlineStr">
        <is>
          <t>KALMAR LÄN</t>
        </is>
      </c>
      <c r="E807" t="inlineStr">
        <is>
          <t>NYBRO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14223-2025</t>
        </is>
      </c>
      <c r="B808" s="1" t="n">
        <v>45740.58935185185</v>
      </c>
      <c r="C808" s="1" t="n">
        <v>46088</v>
      </c>
      <c r="D808" t="inlineStr">
        <is>
          <t>KALMAR LÄN</t>
        </is>
      </c>
      <c r="E808" t="inlineStr">
        <is>
          <t>NYBRO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51406-2022</t>
        </is>
      </c>
      <c r="B809" s="1" t="n">
        <v>44869.44665509259</v>
      </c>
      <c r="C809" s="1" t="n">
        <v>46088</v>
      </c>
      <c r="D809" t="inlineStr">
        <is>
          <t>KALMAR LÄN</t>
        </is>
      </c>
      <c r="E809" t="inlineStr">
        <is>
          <t>NYBRO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36825-2023</t>
        </is>
      </c>
      <c r="B810" s="1" t="n">
        <v>45154.46340277778</v>
      </c>
      <c r="C810" s="1" t="n">
        <v>46088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20.3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52311-2022</t>
        </is>
      </c>
      <c r="B811" s="1" t="n">
        <v>44873.78972222222</v>
      </c>
      <c r="C811" s="1" t="n">
        <v>46088</v>
      </c>
      <c r="D811" t="inlineStr">
        <is>
          <t>KALMAR LÄN</t>
        </is>
      </c>
      <c r="E811" t="inlineStr">
        <is>
          <t>NYBRO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61140-2022</t>
        </is>
      </c>
      <c r="B812" s="1" t="n">
        <v>44908</v>
      </c>
      <c r="C812" s="1" t="n">
        <v>46088</v>
      </c>
      <c r="D812" t="inlineStr">
        <is>
          <t>KALMAR LÄN</t>
        </is>
      </c>
      <c r="E812" t="inlineStr">
        <is>
          <t>NYBRO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37016-2023</t>
        </is>
      </c>
      <c r="B813" s="1" t="n">
        <v>45155</v>
      </c>
      <c r="C813" s="1" t="n">
        <v>46088</v>
      </c>
      <c r="D813" t="inlineStr">
        <is>
          <t>KALMAR LÄN</t>
        </is>
      </c>
      <c r="E813" t="inlineStr">
        <is>
          <t>NYBRO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24689-2023</t>
        </is>
      </c>
      <c r="B814" s="1" t="n">
        <v>45084.52010416667</v>
      </c>
      <c r="C814" s="1" t="n">
        <v>46088</v>
      </c>
      <c r="D814" t="inlineStr">
        <is>
          <t>KALMAR LÄN</t>
        </is>
      </c>
      <c r="E814" t="inlineStr">
        <is>
          <t>NYBRO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7956-2023</t>
        </is>
      </c>
      <c r="B815" s="1" t="n">
        <v>44973.68172453704</v>
      </c>
      <c r="C815" s="1" t="n">
        <v>46088</v>
      </c>
      <c r="D815" t="inlineStr">
        <is>
          <t>KALMAR LÄN</t>
        </is>
      </c>
      <c r="E815" t="inlineStr">
        <is>
          <t>NYBRO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21695-2024</t>
        </is>
      </c>
      <c r="B816" s="1" t="n">
        <v>45442.44923611111</v>
      </c>
      <c r="C816" s="1" t="n">
        <v>46088</v>
      </c>
      <c r="D816" t="inlineStr">
        <is>
          <t>KALMAR LÄN</t>
        </is>
      </c>
      <c r="E816" t="inlineStr">
        <is>
          <t>NYBRO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5944-2024</t>
        </is>
      </c>
      <c r="B817" s="1" t="n">
        <v>45336</v>
      </c>
      <c r="C817" s="1" t="n">
        <v>46088</v>
      </c>
      <c r="D817" t="inlineStr">
        <is>
          <t>KALMAR LÄN</t>
        </is>
      </c>
      <c r="E817" t="inlineStr">
        <is>
          <t>NYBRO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45412-2022</t>
        </is>
      </c>
      <c r="B818" s="1" t="n">
        <v>44844</v>
      </c>
      <c r="C818" s="1" t="n">
        <v>46088</v>
      </c>
      <c r="D818" t="inlineStr">
        <is>
          <t>KALMAR LÄN</t>
        </is>
      </c>
      <c r="E818" t="inlineStr">
        <is>
          <t>NYBRO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24111-2023</t>
        </is>
      </c>
      <c r="B819" s="1" t="n">
        <v>45079.47167824074</v>
      </c>
      <c r="C819" s="1" t="n">
        <v>46088</v>
      </c>
      <c r="D819" t="inlineStr">
        <is>
          <t>KALMAR LÄN</t>
        </is>
      </c>
      <c r="E819" t="inlineStr">
        <is>
          <t>NYBRO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2958-2024</t>
        </is>
      </c>
      <c r="B820" s="1" t="n">
        <v>45315</v>
      </c>
      <c r="C820" s="1" t="n">
        <v>46088</v>
      </c>
      <c r="D820" t="inlineStr">
        <is>
          <t>KALMAR LÄN</t>
        </is>
      </c>
      <c r="E820" t="inlineStr">
        <is>
          <t>NYBRO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6544-2024</t>
        </is>
      </c>
      <c r="B821" s="1" t="n">
        <v>45341.43773148148</v>
      </c>
      <c r="C821" s="1" t="n">
        <v>46088</v>
      </c>
      <c r="D821" t="inlineStr">
        <is>
          <t>KALMAR LÄN</t>
        </is>
      </c>
      <c r="E821" t="inlineStr">
        <is>
          <t>NYBRO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31870-2024</t>
        </is>
      </c>
      <c r="B822" s="1" t="n">
        <v>45509.84324074074</v>
      </c>
      <c r="C822" s="1" t="n">
        <v>46088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31917-2024</t>
        </is>
      </c>
      <c r="B823" s="1" t="n">
        <v>45510.39084490741</v>
      </c>
      <c r="C823" s="1" t="n">
        <v>46088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22488-2022</t>
        </is>
      </c>
      <c r="B824" s="1" t="n">
        <v>44713.63434027778</v>
      </c>
      <c r="C824" s="1" t="n">
        <v>46088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10630-2024</t>
        </is>
      </c>
      <c r="B825" s="1" t="n">
        <v>45367.29472222222</v>
      </c>
      <c r="C825" s="1" t="n">
        <v>46088</v>
      </c>
      <c r="D825" t="inlineStr">
        <is>
          <t>KALMAR LÄN</t>
        </is>
      </c>
      <c r="E825" t="inlineStr">
        <is>
          <t>NYBRO</t>
        </is>
      </c>
      <c r="G825" t="n">
        <v>10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58551-2024</t>
        </is>
      </c>
      <c r="B826" s="1" t="n">
        <v>45635.46313657407</v>
      </c>
      <c r="C826" s="1" t="n">
        <v>46088</v>
      </c>
      <c r="D826" t="inlineStr">
        <is>
          <t>KALMAR LÄN</t>
        </is>
      </c>
      <c r="E826" t="inlineStr">
        <is>
          <t>NYBRO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27873-2024</t>
        </is>
      </c>
      <c r="B827" s="1" t="n">
        <v>45475.72082175926</v>
      </c>
      <c r="C827" s="1" t="n">
        <v>46088</v>
      </c>
      <c r="D827" t="inlineStr">
        <is>
          <t>KALMAR LÄN</t>
        </is>
      </c>
      <c r="E827" t="inlineStr">
        <is>
          <t>NYBRO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27881-2024</t>
        </is>
      </c>
      <c r="B828" s="1" t="n">
        <v>45475.76681712963</v>
      </c>
      <c r="C828" s="1" t="n">
        <v>46088</v>
      </c>
      <c r="D828" t="inlineStr">
        <is>
          <t>KALMAR LÄN</t>
        </is>
      </c>
      <c r="E828" t="inlineStr">
        <is>
          <t>NYBRO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40902-2022</t>
        </is>
      </c>
      <c r="B829" s="1" t="n">
        <v>44825.37355324074</v>
      </c>
      <c r="C829" s="1" t="n">
        <v>46088</v>
      </c>
      <c r="D829" t="inlineStr">
        <is>
          <t>KALMAR LÄN</t>
        </is>
      </c>
      <c r="E829" t="inlineStr">
        <is>
          <t>NYBRO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980-2025</t>
        </is>
      </c>
      <c r="B830" s="1" t="n">
        <v>45666.41087962963</v>
      </c>
      <c r="C830" s="1" t="n">
        <v>46088</v>
      </c>
      <c r="D830" t="inlineStr">
        <is>
          <t>KALMAR LÄN</t>
        </is>
      </c>
      <c r="E830" t="inlineStr">
        <is>
          <t>NYBRO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61060-2021</t>
        </is>
      </c>
      <c r="B831" s="1" t="n">
        <v>44497</v>
      </c>
      <c r="C831" s="1" t="n">
        <v>46088</v>
      </c>
      <c r="D831" t="inlineStr">
        <is>
          <t>KALMAR LÄN</t>
        </is>
      </c>
      <c r="E831" t="inlineStr">
        <is>
          <t>NYBRO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40131-2024</t>
        </is>
      </c>
      <c r="B832" s="1" t="n">
        <v>45554</v>
      </c>
      <c r="C832" s="1" t="n">
        <v>46088</v>
      </c>
      <c r="D832" t="inlineStr">
        <is>
          <t>KALMAR LÄN</t>
        </is>
      </c>
      <c r="E832" t="inlineStr">
        <is>
          <t>NYBRO</t>
        </is>
      </c>
      <c r="F832" t="inlineStr">
        <is>
          <t>Kyrkan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18511-2025</t>
        </is>
      </c>
      <c r="B833" s="1" t="n">
        <v>45763.38137731481</v>
      </c>
      <c r="C833" s="1" t="n">
        <v>46088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10005-2024</t>
        </is>
      </c>
      <c r="B834" s="1" t="n">
        <v>45363.79693287037</v>
      </c>
      <c r="C834" s="1" t="n">
        <v>46088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23255-2023</t>
        </is>
      </c>
      <c r="B835" s="1" t="n">
        <v>45071</v>
      </c>
      <c r="C835" s="1" t="n">
        <v>46088</v>
      </c>
      <c r="D835" t="inlineStr">
        <is>
          <t>KALMAR LÄN</t>
        </is>
      </c>
      <c r="E835" t="inlineStr">
        <is>
          <t>NYBRO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31612-2023</t>
        </is>
      </c>
      <c r="B836" s="1" t="n">
        <v>45117.52946759259</v>
      </c>
      <c r="C836" s="1" t="n">
        <v>46088</v>
      </c>
      <c r="D836" t="inlineStr">
        <is>
          <t>KALMAR LÄN</t>
        </is>
      </c>
      <c r="E836" t="inlineStr">
        <is>
          <t>NYBRO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8697-2024</t>
        </is>
      </c>
      <c r="B837" s="1" t="n">
        <v>45356.37466435185</v>
      </c>
      <c r="C837" s="1" t="n">
        <v>46088</v>
      </c>
      <c r="D837" t="inlineStr">
        <is>
          <t>KALMAR LÄN</t>
        </is>
      </c>
      <c r="E837" t="inlineStr">
        <is>
          <t>NYBRO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41632-2023</t>
        </is>
      </c>
      <c r="B838" s="1" t="n">
        <v>45175.79483796296</v>
      </c>
      <c r="C838" s="1" t="n">
        <v>46088</v>
      </c>
      <c r="D838" t="inlineStr">
        <is>
          <t>KALMAR LÄN</t>
        </is>
      </c>
      <c r="E838" t="inlineStr">
        <is>
          <t>NYBRO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4172-2023</t>
        </is>
      </c>
      <c r="B839" s="1" t="n">
        <v>44953</v>
      </c>
      <c r="C839" s="1" t="n">
        <v>46088</v>
      </c>
      <c r="D839" t="inlineStr">
        <is>
          <t>KALMAR LÄN</t>
        </is>
      </c>
      <c r="E839" t="inlineStr">
        <is>
          <t>NYBRO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5766-2024</t>
        </is>
      </c>
      <c r="B840" s="1" t="n">
        <v>45335</v>
      </c>
      <c r="C840" s="1" t="n">
        <v>46088</v>
      </c>
      <c r="D840" t="inlineStr">
        <is>
          <t>KALMAR LÄN</t>
        </is>
      </c>
      <c r="E840" t="inlineStr">
        <is>
          <t>NYBRO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5803-2024</t>
        </is>
      </c>
      <c r="B841" s="1" t="n">
        <v>45335</v>
      </c>
      <c r="C841" s="1" t="n">
        <v>46088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50905-2023</t>
        </is>
      </c>
      <c r="B842" s="1" t="n">
        <v>45218.41752314815</v>
      </c>
      <c r="C842" s="1" t="n">
        <v>46088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26859-2023</t>
        </is>
      </c>
      <c r="B843" s="1" t="n">
        <v>45093</v>
      </c>
      <c r="C843" s="1" t="n">
        <v>46088</v>
      </c>
      <c r="D843" t="inlineStr">
        <is>
          <t>KALMAR LÄN</t>
        </is>
      </c>
      <c r="E843" t="inlineStr">
        <is>
          <t>NYBRO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23824-2023</t>
        </is>
      </c>
      <c r="B844" s="1" t="n">
        <v>45078</v>
      </c>
      <c r="C844" s="1" t="n">
        <v>46088</v>
      </c>
      <c r="D844" t="inlineStr">
        <is>
          <t>KALMAR LÄN</t>
        </is>
      </c>
      <c r="E844" t="inlineStr">
        <is>
          <t>NYBRO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38814-2022</t>
        </is>
      </c>
      <c r="B845" s="1" t="n">
        <v>44816</v>
      </c>
      <c r="C845" s="1" t="n">
        <v>46088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175-2023</t>
        </is>
      </c>
      <c r="B846" s="1" t="n">
        <v>44928</v>
      </c>
      <c r="C846" s="1" t="n">
        <v>46088</v>
      </c>
      <c r="D846" t="inlineStr">
        <is>
          <t>KALMAR LÄN</t>
        </is>
      </c>
      <c r="E846" t="inlineStr">
        <is>
          <t>NYBRO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17409-2024</t>
        </is>
      </c>
      <c r="B847" s="1" t="n">
        <v>45414.88950231481</v>
      </c>
      <c r="C847" s="1" t="n">
        <v>46088</v>
      </c>
      <c r="D847" t="inlineStr">
        <is>
          <t>KALMAR LÄN</t>
        </is>
      </c>
      <c r="E847" t="inlineStr">
        <is>
          <t>NYBRO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18727-2021</t>
        </is>
      </c>
      <c r="B848" s="1" t="n">
        <v>44307.41146990741</v>
      </c>
      <c r="C848" s="1" t="n">
        <v>46088</v>
      </c>
      <c r="D848" t="inlineStr">
        <is>
          <t>KALMAR LÄN</t>
        </is>
      </c>
      <c r="E848" t="inlineStr">
        <is>
          <t>NYBRO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61982-2024</t>
        </is>
      </c>
      <c r="B849" s="1" t="n">
        <v>45653.66523148148</v>
      </c>
      <c r="C849" s="1" t="n">
        <v>46088</v>
      </c>
      <c r="D849" t="inlineStr">
        <is>
          <t>KALMAR LÄN</t>
        </is>
      </c>
      <c r="E849" t="inlineStr">
        <is>
          <t>NYBRO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22489-2022</t>
        </is>
      </c>
      <c r="B850" s="1" t="n">
        <v>44713.6349537037</v>
      </c>
      <c r="C850" s="1" t="n">
        <v>46088</v>
      </c>
      <c r="D850" t="inlineStr">
        <is>
          <t>KALMAR LÄN</t>
        </is>
      </c>
      <c r="E850" t="inlineStr">
        <is>
          <t>NYBRO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38265-2024</t>
        </is>
      </c>
      <c r="B851" s="1" t="n">
        <v>45545</v>
      </c>
      <c r="C851" s="1" t="n">
        <v>46088</v>
      </c>
      <c r="D851" t="inlineStr">
        <is>
          <t>KALMAR LÄN</t>
        </is>
      </c>
      <c r="E851" t="inlineStr">
        <is>
          <t>NYBRO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12997-2025</t>
        </is>
      </c>
      <c r="B852" s="1" t="n">
        <v>45734.48820601852</v>
      </c>
      <c r="C852" s="1" t="n">
        <v>46088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13058-2024</t>
        </is>
      </c>
      <c r="B853" s="1" t="n">
        <v>45385</v>
      </c>
      <c r="C853" s="1" t="n">
        <v>46088</v>
      </c>
      <c r="D853" t="inlineStr">
        <is>
          <t>KALMAR LÄN</t>
        </is>
      </c>
      <c r="E853" t="inlineStr">
        <is>
          <t>NYBRO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1422-2025</t>
        </is>
      </c>
      <c r="B854" s="1" t="n">
        <v>45668.61670138889</v>
      </c>
      <c r="C854" s="1" t="n">
        <v>46088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56143-2022</t>
        </is>
      </c>
      <c r="B855" s="1" t="n">
        <v>44889</v>
      </c>
      <c r="C855" s="1" t="n">
        <v>46088</v>
      </c>
      <c r="D855" t="inlineStr">
        <is>
          <t>KALMAR LÄN</t>
        </is>
      </c>
      <c r="E855" t="inlineStr">
        <is>
          <t>NYBRO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16777-2025</t>
        </is>
      </c>
      <c r="B856" s="1" t="n">
        <v>45754.58637731482</v>
      </c>
      <c r="C856" s="1" t="n">
        <v>46088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30442-2023</t>
        </is>
      </c>
      <c r="B857" s="1" t="n">
        <v>45111.56173611111</v>
      </c>
      <c r="C857" s="1" t="n">
        <v>46088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33472-2023</t>
        </is>
      </c>
      <c r="B858" s="1" t="n">
        <v>45131</v>
      </c>
      <c r="C858" s="1" t="n">
        <v>46088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29847-2022</t>
        </is>
      </c>
      <c r="B859" s="1" t="n">
        <v>44756</v>
      </c>
      <c r="C859" s="1" t="n">
        <v>46088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21433-2023</t>
        </is>
      </c>
      <c r="B860" s="1" t="n">
        <v>45063.42767361111</v>
      </c>
      <c r="C860" s="1" t="n">
        <v>46088</v>
      </c>
      <c r="D860" t="inlineStr">
        <is>
          <t>KALMAR LÄN</t>
        </is>
      </c>
      <c r="E860" t="inlineStr">
        <is>
          <t>NYBRO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52382-2022</t>
        </is>
      </c>
      <c r="B861" s="1" t="n">
        <v>44874.3702662037</v>
      </c>
      <c r="C861" s="1" t="n">
        <v>46088</v>
      </c>
      <c r="D861" t="inlineStr">
        <is>
          <t>KALMAR LÄN</t>
        </is>
      </c>
      <c r="E861" t="inlineStr">
        <is>
          <t>NYBRO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31948-2023</t>
        </is>
      </c>
      <c r="B862" s="1" t="n">
        <v>45119.35530092593</v>
      </c>
      <c r="C862" s="1" t="n">
        <v>46088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28880-2023</t>
        </is>
      </c>
      <c r="B863" s="1" t="n">
        <v>45104.47891203704</v>
      </c>
      <c r="C863" s="1" t="n">
        <v>46088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31107-2021</t>
        </is>
      </c>
      <c r="B864" s="1" t="n">
        <v>44368</v>
      </c>
      <c r="C864" s="1" t="n">
        <v>46088</v>
      </c>
      <c r="D864" t="inlineStr">
        <is>
          <t>KALMAR LÄN</t>
        </is>
      </c>
      <c r="E864" t="inlineStr">
        <is>
          <t>NYBRO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17157-2022</t>
        </is>
      </c>
      <c r="B865" s="1" t="n">
        <v>44677</v>
      </c>
      <c r="C865" s="1" t="n">
        <v>46088</v>
      </c>
      <c r="D865" t="inlineStr">
        <is>
          <t>KALMAR LÄN</t>
        </is>
      </c>
      <c r="E865" t="inlineStr">
        <is>
          <t>NYBRO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46684-2023</t>
        </is>
      </c>
      <c r="B866" s="1" t="n">
        <v>45198.49947916667</v>
      </c>
      <c r="C866" s="1" t="n">
        <v>46088</v>
      </c>
      <c r="D866" t="inlineStr">
        <is>
          <t>KALMAR LÄN</t>
        </is>
      </c>
      <c r="E866" t="inlineStr">
        <is>
          <t>NYBRO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45711-2024</t>
        </is>
      </c>
      <c r="B867" s="1" t="n">
        <v>45579</v>
      </c>
      <c r="C867" s="1" t="n">
        <v>46088</v>
      </c>
      <c r="D867" t="inlineStr">
        <is>
          <t>KALMAR LÄN</t>
        </is>
      </c>
      <c r="E867" t="inlineStr">
        <is>
          <t>NYBRO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866-2024</t>
        </is>
      </c>
      <c r="B868" s="1" t="n">
        <v>45301.31474537037</v>
      </c>
      <c r="C868" s="1" t="n">
        <v>46088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867-2024</t>
        </is>
      </c>
      <c r="B869" s="1" t="n">
        <v>45301.32008101852</v>
      </c>
      <c r="C869" s="1" t="n">
        <v>46088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61800-2024</t>
        </is>
      </c>
      <c r="B870" s="1" t="n">
        <v>45649.56231481482</v>
      </c>
      <c r="C870" s="1" t="n">
        <v>46088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61803-2024</t>
        </is>
      </c>
      <c r="B871" s="1" t="n">
        <v>45649.56582175926</v>
      </c>
      <c r="C871" s="1" t="n">
        <v>46088</v>
      </c>
      <c r="D871" t="inlineStr">
        <is>
          <t>KALMAR LÄN</t>
        </is>
      </c>
      <c r="E871" t="inlineStr">
        <is>
          <t>NYBRO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32264-2024</t>
        </is>
      </c>
      <c r="B872" s="1" t="n">
        <v>45512.32738425926</v>
      </c>
      <c r="C872" s="1" t="n">
        <v>46088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27419-2022</t>
        </is>
      </c>
      <c r="B873" s="1" t="n">
        <v>44742</v>
      </c>
      <c r="C873" s="1" t="n">
        <v>46088</v>
      </c>
      <c r="D873" t="inlineStr">
        <is>
          <t>KALMAR LÄN</t>
        </is>
      </c>
      <c r="E873" t="inlineStr">
        <is>
          <t>NYBRO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24640-2021</t>
        </is>
      </c>
      <c r="B874" s="1" t="n">
        <v>44340.37858796296</v>
      </c>
      <c r="C874" s="1" t="n">
        <v>46088</v>
      </c>
      <c r="D874" t="inlineStr">
        <is>
          <t>KALMAR LÄN</t>
        </is>
      </c>
      <c r="E874" t="inlineStr">
        <is>
          <t>NYBRO</t>
        </is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9520-2024</t>
        </is>
      </c>
      <c r="B875" s="1" t="n">
        <v>45359.64686342593</v>
      </c>
      <c r="C875" s="1" t="n">
        <v>46088</v>
      </c>
      <c r="D875" t="inlineStr">
        <is>
          <t>KALMAR LÄN</t>
        </is>
      </c>
      <c r="E875" t="inlineStr">
        <is>
          <t>NYBRO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22487-2022</t>
        </is>
      </c>
      <c r="B876" s="1" t="n">
        <v>44713.63319444445</v>
      </c>
      <c r="C876" s="1" t="n">
        <v>46088</v>
      </c>
      <c r="D876" t="inlineStr">
        <is>
          <t>KALMAR LÄN</t>
        </is>
      </c>
      <c r="E876" t="inlineStr">
        <is>
          <t>NYBRO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61777-2022</t>
        </is>
      </c>
      <c r="B877" s="1" t="n">
        <v>44917.52387731482</v>
      </c>
      <c r="C877" s="1" t="n">
        <v>46088</v>
      </c>
      <c r="D877" t="inlineStr">
        <is>
          <t>KALMAR LÄN</t>
        </is>
      </c>
      <c r="E877" t="inlineStr">
        <is>
          <t>NYBRO</t>
        </is>
      </c>
      <c r="F877" t="inlineStr">
        <is>
          <t>Kommuner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27101-2023</t>
        </is>
      </c>
      <c r="B878" s="1" t="n">
        <v>45096</v>
      </c>
      <c r="C878" s="1" t="n">
        <v>46088</v>
      </c>
      <c r="D878" t="inlineStr">
        <is>
          <t>KALMAR LÄN</t>
        </is>
      </c>
      <c r="E878" t="inlineStr">
        <is>
          <t>NYBRO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48312-2024</t>
        </is>
      </c>
      <c r="B879" s="1" t="n">
        <v>45590.48756944444</v>
      </c>
      <c r="C879" s="1" t="n">
        <v>46088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35406-2022</t>
        </is>
      </c>
      <c r="B880" s="1" t="n">
        <v>44798</v>
      </c>
      <c r="C880" s="1" t="n">
        <v>46088</v>
      </c>
      <c r="D880" t="inlineStr">
        <is>
          <t>KALMAR LÄN</t>
        </is>
      </c>
      <c r="E880" t="inlineStr">
        <is>
          <t>NYBRO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4863-2022</t>
        </is>
      </c>
      <c r="B881" s="1" t="n">
        <v>44593</v>
      </c>
      <c r="C881" s="1" t="n">
        <v>46088</v>
      </c>
      <c r="D881" t="inlineStr">
        <is>
          <t>KALMAR LÄN</t>
        </is>
      </c>
      <c r="E881" t="inlineStr">
        <is>
          <t>NYBRO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27997-2023</t>
        </is>
      </c>
      <c r="B882" s="1" t="n">
        <v>45098</v>
      </c>
      <c r="C882" s="1" t="n">
        <v>46088</v>
      </c>
      <c r="D882" t="inlineStr">
        <is>
          <t>KALMAR LÄN</t>
        </is>
      </c>
      <c r="E882" t="inlineStr">
        <is>
          <t>NYBRO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14057-2024</t>
        </is>
      </c>
      <c r="B883" s="1" t="n">
        <v>45392.56177083333</v>
      </c>
      <c r="C883" s="1" t="n">
        <v>46088</v>
      </c>
      <c r="D883" t="inlineStr">
        <is>
          <t>KALMAR LÄN</t>
        </is>
      </c>
      <c r="E883" t="inlineStr">
        <is>
          <t>NYBRO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28164-2022</t>
        </is>
      </c>
      <c r="B884" s="1" t="n">
        <v>44746.56648148148</v>
      </c>
      <c r="C884" s="1" t="n">
        <v>46088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20386-2023</t>
        </is>
      </c>
      <c r="B885" s="1" t="n">
        <v>45056</v>
      </c>
      <c r="C885" s="1" t="n">
        <v>46088</v>
      </c>
      <c r="D885" t="inlineStr">
        <is>
          <t>KALMAR LÄN</t>
        </is>
      </c>
      <c r="E885" t="inlineStr">
        <is>
          <t>NYBRO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31861-2023</t>
        </is>
      </c>
      <c r="B886" s="1" t="n">
        <v>45118</v>
      </c>
      <c r="C886" s="1" t="n">
        <v>46088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31799-2023</t>
        </is>
      </c>
      <c r="B887" s="1" t="n">
        <v>45118.44516203704</v>
      </c>
      <c r="C887" s="1" t="n">
        <v>46088</v>
      </c>
      <c r="D887" t="inlineStr">
        <is>
          <t>KALMAR LÄN</t>
        </is>
      </c>
      <c r="E887" t="inlineStr">
        <is>
          <t>NYBRO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45712-2024</t>
        </is>
      </c>
      <c r="B888" s="1" t="n">
        <v>45579</v>
      </c>
      <c r="C888" s="1" t="n">
        <v>46088</v>
      </c>
      <c r="D888" t="inlineStr">
        <is>
          <t>KALMAR LÄN</t>
        </is>
      </c>
      <c r="E888" t="inlineStr">
        <is>
          <t>NYBRO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20434-2023</t>
        </is>
      </c>
      <c r="B889" s="1" t="n">
        <v>45056.72038194445</v>
      </c>
      <c r="C889" s="1" t="n">
        <v>46088</v>
      </c>
      <c r="D889" t="inlineStr">
        <is>
          <t>KALMAR LÄN</t>
        </is>
      </c>
      <c r="E889" t="inlineStr">
        <is>
          <t>NYBRO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38059-2024</t>
        </is>
      </c>
      <c r="B890" s="1" t="n">
        <v>45544.7580787037</v>
      </c>
      <c r="C890" s="1" t="n">
        <v>46088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41649-2022</t>
        </is>
      </c>
      <c r="B891" s="1" t="n">
        <v>44827</v>
      </c>
      <c r="C891" s="1" t="n">
        <v>46088</v>
      </c>
      <c r="D891" t="inlineStr">
        <is>
          <t>KALMAR LÄN</t>
        </is>
      </c>
      <c r="E891" t="inlineStr">
        <is>
          <t>NYBRO</t>
        </is>
      </c>
      <c r="G891" t="n">
        <v>12.1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7725-2023</t>
        </is>
      </c>
      <c r="B892" s="1" t="n">
        <v>44973.28375</v>
      </c>
      <c r="C892" s="1" t="n">
        <v>46088</v>
      </c>
      <c r="D892" t="inlineStr">
        <is>
          <t>KALMAR LÄN</t>
        </is>
      </c>
      <c r="E892" t="inlineStr">
        <is>
          <t>NYBRO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38442-2021</t>
        </is>
      </c>
      <c r="B893" s="1" t="n">
        <v>44407.33692129629</v>
      </c>
      <c r="C893" s="1" t="n">
        <v>46088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15116-2023</t>
        </is>
      </c>
      <c r="B894" s="1" t="n">
        <v>45016.44748842593</v>
      </c>
      <c r="C894" s="1" t="n">
        <v>46088</v>
      </c>
      <c r="D894" t="inlineStr">
        <is>
          <t>KALMAR LÄN</t>
        </is>
      </c>
      <c r="E894" t="inlineStr">
        <is>
          <t>NYBRO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41060-2022</t>
        </is>
      </c>
      <c r="B895" s="1" t="n">
        <v>44825</v>
      </c>
      <c r="C895" s="1" t="n">
        <v>46088</v>
      </c>
      <c r="D895" t="inlineStr">
        <is>
          <t>KALMAR LÄN</t>
        </is>
      </c>
      <c r="E895" t="inlineStr">
        <is>
          <t>NYBRO</t>
        </is>
      </c>
      <c r="G895" t="n">
        <v>18.6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61987-2024</t>
        </is>
      </c>
      <c r="B896" s="1" t="n">
        <v>45653.6771875</v>
      </c>
      <c r="C896" s="1" t="n">
        <v>46088</v>
      </c>
      <c r="D896" t="inlineStr">
        <is>
          <t>KALMAR LÄN</t>
        </is>
      </c>
      <c r="E896" t="inlineStr">
        <is>
          <t>NYBRO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27027-2023</t>
        </is>
      </c>
      <c r="B897" s="1" t="n">
        <v>45095</v>
      </c>
      <c r="C897" s="1" t="n">
        <v>46088</v>
      </c>
      <c r="D897" t="inlineStr">
        <is>
          <t>KALMAR LÄN</t>
        </is>
      </c>
      <c r="E897" t="inlineStr">
        <is>
          <t>NYBRO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57823-2023</t>
        </is>
      </c>
      <c r="B898" s="1" t="n">
        <v>45244</v>
      </c>
      <c r="C898" s="1" t="n">
        <v>46088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15098-2025</t>
        </is>
      </c>
      <c r="B899" s="1" t="n">
        <v>45744.33675925926</v>
      </c>
      <c r="C899" s="1" t="n">
        <v>46088</v>
      </c>
      <c r="D899" t="inlineStr">
        <is>
          <t>KALMAR LÄN</t>
        </is>
      </c>
      <c r="E899" t="inlineStr">
        <is>
          <t>NYBRO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49340-2023</t>
        </is>
      </c>
      <c r="B900" s="1" t="n">
        <v>45211</v>
      </c>
      <c r="C900" s="1" t="n">
        <v>46088</v>
      </c>
      <c r="D900" t="inlineStr">
        <is>
          <t>KALMAR LÄN</t>
        </is>
      </c>
      <c r="E900" t="inlineStr">
        <is>
          <t>NYBRO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10632-2024</t>
        </is>
      </c>
      <c r="B901" s="1" t="n">
        <v>45367.31642361111</v>
      </c>
      <c r="C901" s="1" t="n">
        <v>46088</v>
      </c>
      <c r="D901" t="inlineStr">
        <is>
          <t>KALMAR LÄN</t>
        </is>
      </c>
      <c r="E901" t="inlineStr">
        <is>
          <t>NYBRO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20387-2025</t>
        </is>
      </c>
      <c r="B902" s="1" t="n">
        <v>45773</v>
      </c>
      <c r="C902" s="1" t="n">
        <v>46088</v>
      </c>
      <c r="D902" t="inlineStr">
        <is>
          <t>KALMAR LÄN</t>
        </is>
      </c>
      <c r="E902" t="inlineStr">
        <is>
          <t>NYBRO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22877-2023</t>
        </is>
      </c>
      <c r="B903" s="1" t="n">
        <v>45072.49809027778</v>
      </c>
      <c r="C903" s="1" t="n">
        <v>46088</v>
      </c>
      <c r="D903" t="inlineStr">
        <is>
          <t>KALMAR LÄN</t>
        </is>
      </c>
      <c r="E903" t="inlineStr">
        <is>
          <t>NYBRO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57809-2023</t>
        </is>
      </c>
      <c r="B904" s="1" t="n">
        <v>45244</v>
      </c>
      <c r="C904" s="1" t="n">
        <v>46088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12410-2023</t>
        </is>
      </c>
      <c r="B905" s="1" t="n">
        <v>44999.51451388889</v>
      </c>
      <c r="C905" s="1" t="n">
        <v>46088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44030-2023</t>
        </is>
      </c>
      <c r="B906" s="1" t="n">
        <v>45188.35988425926</v>
      </c>
      <c r="C906" s="1" t="n">
        <v>46088</v>
      </c>
      <c r="D906" t="inlineStr">
        <is>
          <t>KALMAR LÄN</t>
        </is>
      </c>
      <c r="E906" t="inlineStr">
        <is>
          <t>NYBRO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60706-2024</t>
        </is>
      </c>
      <c r="B907" s="1" t="n">
        <v>45644.49726851852</v>
      </c>
      <c r="C907" s="1" t="n">
        <v>46088</v>
      </c>
      <c r="D907" t="inlineStr">
        <is>
          <t>KALMAR LÄN</t>
        </is>
      </c>
      <c r="E907" t="inlineStr">
        <is>
          <t>NYBRO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42955-2021</t>
        </is>
      </c>
      <c r="B908" s="1" t="n">
        <v>44431</v>
      </c>
      <c r="C908" s="1" t="n">
        <v>46088</v>
      </c>
      <c r="D908" t="inlineStr">
        <is>
          <t>KALMAR LÄN</t>
        </is>
      </c>
      <c r="E908" t="inlineStr">
        <is>
          <t>NYBRO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6896-2024</t>
        </is>
      </c>
      <c r="B909" s="1" t="n">
        <v>45342.93903935186</v>
      </c>
      <c r="C909" s="1" t="n">
        <v>46088</v>
      </c>
      <c r="D909" t="inlineStr">
        <is>
          <t>KALMAR LÄN</t>
        </is>
      </c>
      <c r="E909" t="inlineStr">
        <is>
          <t>NYBRO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61499-2022</t>
        </is>
      </c>
      <c r="B910" s="1" t="n">
        <v>44910</v>
      </c>
      <c r="C910" s="1" t="n">
        <v>46088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37462-2023</t>
        </is>
      </c>
      <c r="B911" s="1" t="n">
        <v>45156.75122685185</v>
      </c>
      <c r="C911" s="1" t="n">
        <v>46088</v>
      </c>
      <c r="D911" t="inlineStr">
        <is>
          <t>KALMAR LÄN</t>
        </is>
      </c>
      <c r="E911" t="inlineStr">
        <is>
          <t>NYBRO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494-2022</t>
        </is>
      </c>
      <c r="B912" s="1" t="n">
        <v>44566</v>
      </c>
      <c r="C912" s="1" t="n">
        <v>46088</v>
      </c>
      <c r="D912" t="inlineStr">
        <is>
          <t>KALMAR LÄN</t>
        </is>
      </c>
      <c r="E912" t="inlineStr">
        <is>
          <t>NYBRO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11645-2024</t>
        </is>
      </c>
      <c r="B913" s="1" t="n">
        <v>45373.4965625</v>
      </c>
      <c r="C913" s="1" t="n">
        <v>46088</v>
      </c>
      <c r="D913" t="inlineStr">
        <is>
          <t>KALMAR LÄN</t>
        </is>
      </c>
      <c r="E913" t="inlineStr">
        <is>
          <t>NYBRO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19457-2025</t>
        </is>
      </c>
      <c r="B914" s="1" t="n">
        <v>45770.36494212963</v>
      </c>
      <c r="C914" s="1" t="n">
        <v>46088</v>
      </c>
      <c r="D914" t="inlineStr">
        <is>
          <t>KALMAR LÄN</t>
        </is>
      </c>
      <c r="E914" t="inlineStr">
        <is>
          <t>NYBRO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50723-2023</t>
        </is>
      </c>
      <c r="B915" s="1" t="n">
        <v>45210</v>
      </c>
      <c r="C915" s="1" t="n">
        <v>46088</v>
      </c>
      <c r="D915" t="inlineStr">
        <is>
          <t>KALMAR LÄN</t>
        </is>
      </c>
      <c r="E915" t="inlineStr">
        <is>
          <t>NYBRO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60030-2022</t>
        </is>
      </c>
      <c r="B916" s="1" t="n">
        <v>44909</v>
      </c>
      <c r="C916" s="1" t="n">
        <v>46088</v>
      </c>
      <c r="D916" t="inlineStr">
        <is>
          <t>KALMAR LÄN</t>
        </is>
      </c>
      <c r="E916" t="inlineStr">
        <is>
          <t>NYBRO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60041-2022</t>
        </is>
      </c>
      <c r="B917" s="1" t="n">
        <v>44909.51342592593</v>
      </c>
      <c r="C917" s="1" t="n">
        <v>46088</v>
      </c>
      <c r="D917" t="inlineStr">
        <is>
          <t>KALMAR LÄN</t>
        </is>
      </c>
      <c r="E917" t="inlineStr">
        <is>
          <t>NYBRO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55721-2024</t>
        </is>
      </c>
      <c r="B918" s="1" t="n">
        <v>45622.7463425926</v>
      </c>
      <c r="C918" s="1" t="n">
        <v>46088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1419-2025</t>
        </is>
      </c>
      <c r="B919" s="1" t="n">
        <v>45668.48770833333</v>
      </c>
      <c r="C919" s="1" t="n">
        <v>46088</v>
      </c>
      <c r="D919" t="inlineStr">
        <is>
          <t>KALMAR LÄN</t>
        </is>
      </c>
      <c r="E919" t="inlineStr">
        <is>
          <t>NYBRO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7280-2025</t>
        </is>
      </c>
      <c r="B920" s="1" t="n">
        <v>45702.63559027778</v>
      </c>
      <c r="C920" s="1" t="n">
        <v>46088</v>
      </c>
      <c r="D920" t="inlineStr">
        <is>
          <t>KALMAR LÄN</t>
        </is>
      </c>
      <c r="E920" t="inlineStr">
        <is>
          <t>NYBRO</t>
        </is>
      </c>
      <c r="F920" t="inlineStr">
        <is>
          <t>Sveaskog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27526-2021</t>
        </is>
      </c>
      <c r="B921" s="1" t="n">
        <v>44351.66695601852</v>
      </c>
      <c r="C921" s="1" t="n">
        <v>46088</v>
      </c>
      <c r="D921" t="inlineStr">
        <is>
          <t>KALMAR LÄN</t>
        </is>
      </c>
      <c r="E921" t="inlineStr">
        <is>
          <t>NYBRO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37461-2023</t>
        </is>
      </c>
      <c r="B922" s="1" t="n">
        <v>45156.74657407407</v>
      </c>
      <c r="C922" s="1" t="n">
        <v>46088</v>
      </c>
      <c r="D922" t="inlineStr">
        <is>
          <t>KALMAR LÄN</t>
        </is>
      </c>
      <c r="E922" t="inlineStr">
        <is>
          <t>NYBRO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50556-2022</t>
        </is>
      </c>
      <c r="B923" s="1" t="n">
        <v>44866.62503472222</v>
      </c>
      <c r="C923" s="1" t="n">
        <v>46088</v>
      </c>
      <c r="D923" t="inlineStr">
        <is>
          <t>KALMAR LÄN</t>
        </is>
      </c>
      <c r="E923" t="inlineStr">
        <is>
          <t>NYBRO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29715-2022</t>
        </is>
      </c>
      <c r="B924" s="1" t="n">
        <v>44755</v>
      </c>
      <c r="C924" s="1" t="n">
        <v>46088</v>
      </c>
      <c r="D924" t="inlineStr">
        <is>
          <t>KALMAR LÄN</t>
        </is>
      </c>
      <c r="E924" t="inlineStr">
        <is>
          <t>NYBRO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5150-2022</t>
        </is>
      </c>
      <c r="B925" s="1" t="n">
        <v>44594.37378472222</v>
      </c>
      <c r="C925" s="1" t="n">
        <v>46088</v>
      </c>
      <c r="D925" t="inlineStr">
        <is>
          <t>KALMAR LÄN</t>
        </is>
      </c>
      <c r="E925" t="inlineStr">
        <is>
          <t>NYBRO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11155-2023</t>
        </is>
      </c>
      <c r="B926" s="1" t="n">
        <v>44992.52833333334</v>
      </c>
      <c r="C926" s="1" t="n">
        <v>46088</v>
      </c>
      <c r="D926" t="inlineStr">
        <is>
          <t>KALMAR LÄN</t>
        </is>
      </c>
      <c r="E926" t="inlineStr">
        <is>
          <t>NYBRO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11621-2024</t>
        </is>
      </c>
      <c r="B927" s="1" t="n">
        <v>45373.43667824074</v>
      </c>
      <c r="C927" s="1" t="n">
        <v>46088</v>
      </c>
      <c r="D927" t="inlineStr">
        <is>
          <t>KALMAR LÄN</t>
        </is>
      </c>
      <c r="E927" t="inlineStr">
        <is>
          <t>NYBRO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24941-2023</t>
        </is>
      </c>
      <c r="B928" s="1" t="n">
        <v>45085.55108796297</v>
      </c>
      <c r="C928" s="1" t="n">
        <v>46088</v>
      </c>
      <c r="D928" t="inlineStr">
        <is>
          <t>KALMAR LÄN</t>
        </is>
      </c>
      <c r="E928" t="inlineStr">
        <is>
          <t>NYBRO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7423-2025</t>
        </is>
      </c>
      <c r="B929" s="1" t="n">
        <v>45705.37840277778</v>
      </c>
      <c r="C929" s="1" t="n">
        <v>46088</v>
      </c>
      <c r="D929" t="inlineStr">
        <is>
          <t>KALMAR LÄN</t>
        </is>
      </c>
      <c r="E929" t="inlineStr">
        <is>
          <t>NYBRO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39354-2024</t>
        </is>
      </c>
      <c r="B930" s="1" t="n">
        <v>45551.45940972222</v>
      </c>
      <c r="C930" s="1" t="n">
        <v>46088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42896-2023</t>
        </is>
      </c>
      <c r="B931" s="1" t="n">
        <v>45177</v>
      </c>
      <c r="C931" s="1" t="n">
        <v>46088</v>
      </c>
      <c r="D931" t="inlineStr">
        <is>
          <t>KALMAR LÄN</t>
        </is>
      </c>
      <c r="E931" t="inlineStr">
        <is>
          <t>NYBRO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27870-2024</t>
        </is>
      </c>
      <c r="B932" s="1" t="n">
        <v>45475.70619212963</v>
      </c>
      <c r="C932" s="1" t="n">
        <v>46088</v>
      </c>
      <c r="D932" t="inlineStr">
        <is>
          <t>KALMAR LÄN</t>
        </is>
      </c>
      <c r="E932" t="inlineStr">
        <is>
          <t>NYBRO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35752-2021</t>
        </is>
      </c>
      <c r="B933" s="1" t="n">
        <v>44386.57552083334</v>
      </c>
      <c r="C933" s="1" t="n">
        <v>46088</v>
      </c>
      <c r="D933" t="inlineStr">
        <is>
          <t>KALMAR LÄN</t>
        </is>
      </c>
      <c r="E933" t="inlineStr">
        <is>
          <t>NYBRO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60366-2022</t>
        </is>
      </c>
      <c r="B934" s="1" t="n">
        <v>44910</v>
      </c>
      <c r="C934" s="1" t="n">
        <v>46088</v>
      </c>
      <c r="D934" t="inlineStr">
        <is>
          <t>KALMAR LÄN</t>
        </is>
      </c>
      <c r="E934" t="inlineStr">
        <is>
          <t>NYBRO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48102-2023</t>
        </is>
      </c>
      <c r="B935" s="1" t="n">
        <v>45205.32967592592</v>
      </c>
      <c r="C935" s="1" t="n">
        <v>46088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52137-2021</t>
        </is>
      </c>
      <c r="B936" s="1" t="n">
        <v>44463.49472222223</v>
      </c>
      <c r="C936" s="1" t="n">
        <v>46088</v>
      </c>
      <c r="D936" t="inlineStr">
        <is>
          <t>KALMAR LÄN</t>
        </is>
      </c>
      <c r="E936" t="inlineStr">
        <is>
          <t>NYBRO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15584-2024</t>
        </is>
      </c>
      <c r="B937" s="1" t="n">
        <v>45401.70074074074</v>
      </c>
      <c r="C937" s="1" t="n">
        <v>46088</v>
      </c>
      <c r="D937" t="inlineStr">
        <is>
          <t>KALMAR LÄN</t>
        </is>
      </c>
      <c r="E937" t="inlineStr">
        <is>
          <t>NYBRO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55723-2023</t>
        </is>
      </c>
      <c r="B938" s="1" t="n">
        <v>45239</v>
      </c>
      <c r="C938" s="1" t="n">
        <v>46088</v>
      </c>
      <c r="D938" t="inlineStr">
        <is>
          <t>KALMAR LÄN</t>
        </is>
      </c>
      <c r="E938" t="inlineStr">
        <is>
          <t>NYBRO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25382-2023</t>
        </is>
      </c>
      <c r="B939" s="1" t="n">
        <v>45089</v>
      </c>
      <c r="C939" s="1" t="n">
        <v>46088</v>
      </c>
      <c r="D939" t="inlineStr">
        <is>
          <t>KALMAR LÄN</t>
        </is>
      </c>
      <c r="E939" t="inlineStr">
        <is>
          <t>NYBRO</t>
        </is>
      </c>
      <c r="F939" t="inlineStr">
        <is>
          <t>Kommuner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24183-2023</t>
        </is>
      </c>
      <c r="B940" s="1" t="n">
        <v>45079</v>
      </c>
      <c r="C940" s="1" t="n">
        <v>46088</v>
      </c>
      <c r="D940" t="inlineStr">
        <is>
          <t>KALMAR LÄN</t>
        </is>
      </c>
      <c r="E940" t="inlineStr">
        <is>
          <t>NYBRO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19461-2024</t>
        </is>
      </c>
      <c r="B941" s="1" t="n">
        <v>45429.49690972222</v>
      </c>
      <c r="C941" s="1" t="n">
        <v>46088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35388-2022</t>
        </is>
      </c>
      <c r="B942" s="1" t="n">
        <v>44798</v>
      </c>
      <c r="C942" s="1" t="n">
        <v>46088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12323-2025</t>
        </is>
      </c>
      <c r="B943" s="1" t="n">
        <v>45730.29663194445</v>
      </c>
      <c r="C943" s="1" t="n">
        <v>46088</v>
      </c>
      <c r="D943" t="inlineStr">
        <is>
          <t>KALMAR LÄN</t>
        </is>
      </c>
      <c r="E943" t="inlineStr">
        <is>
          <t>NYBRO</t>
        </is>
      </c>
      <c r="G943" t="n">
        <v>14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18427-2025</t>
        </is>
      </c>
      <c r="B944" s="1" t="n">
        <v>45762.62880787037</v>
      </c>
      <c r="C944" s="1" t="n">
        <v>46088</v>
      </c>
      <c r="D944" t="inlineStr">
        <is>
          <t>KALMAR LÄN</t>
        </is>
      </c>
      <c r="E944" t="inlineStr">
        <is>
          <t>NYBRO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33035-2022</t>
        </is>
      </c>
      <c r="B945" s="1" t="n">
        <v>44785.36618055555</v>
      </c>
      <c r="C945" s="1" t="n">
        <v>46088</v>
      </c>
      <c r="D945" t="inlineStr">
        <is>
          <t>KALMAR LÄN</t>
        </is>
      </c>
      <c r="E945" t="inlineStr">
        <is>
          <t>NYBRO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31060-2023</t>
        </is>
      </c>
      <c r="B946" s="1" t="n">
        <v>45113</v>
      </c>
      <c r="C946" s="1" t="n">
        <v>46088</v>
      </c>
      <c r="D946" t="inlineStr">
        <is>
          <t>KALMAR LÄN</t>
        </is>
      </c>
      <c r="E946" t="inlineStr">
        <is>
          <t>NYBRO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53681-2022</t>
        </is>
      </c>
      <c r="B947" s="1" t="n">
        <v>44880.27605324074</v>
      </c>
      <c r="C947" s="1" t="n">
        <v>46088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58455-2021</t>
        </is>
      </c>
      <c r="B948" s="1" t="n">
        <v>44488</v>
      </c>
      <c r="C948" s="1" t="n">
        <v>46088</v>
      </c>
      <c r="D948" t="inlineStr">
        <is>
          <t>KALMAR LÄN</t>
        </is>
      </c>
      <c r="E948" t="inlineStr">
        <is>
          <t>NYBRO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42917-2023</t>
        </is>
      </c>
      <c r="B949" s="1" t="n">
        <v>45177</v>
      </c>
      <c r="C949" s="1" t="n">
        <v>46088</v>
      </c>
      <c r="D949" t="inlineStr">
        <is>
          <t>KALMAR LÄN</t>
        </is>
      </c>
      <c r="E949" t="inlineStr">
        <is>
          <t>NYBRO</t>
        </is>
      </c>
      <c r="F949" t="inlineStr">
        <is>
          <t>Kyrkan</t>
        </is>
      </c>
      <c r="G949" t="n">
        <v>6.8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25472-2023</t>
        </is>
      </c>
      <c r="B950" s="1" t="n">
        <v>45089.45716435185</v>
      </c>
      <c r="C950" s="1" t="n">
        <v>46088</v>
      </c>
      <c r="D950" t="inlineStr">
        <is>
          <t>KALMAR LÄN</t>
        </is>
      </c>
      <c r="E950" t="inlineStr">
        <is>
          <t>NYBRO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48732-2023</t>
        </is>
      </c>
      <c r="B951" s="1" t="n">
        <v>45208</v>
      </c>
      <c r="C951" s="1" t="n">
        <v>46088</v>
      </c>
      <c r="D951" t="inlineStr">
        <is>
          <t>KALMAR LÄN</t>
        </is>
      </c>
      <c r="E951" t="inlineStr">
        <is>
          <t>NYBRO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36366-2024</t>
        </is>
      </c>
      <c r="B952" s="1" t="n">
        <v>45534.65803240741</v>
      </c>
      <c r="C952" s="1" t="n">
        <v>46088</v>
      </c>
      <c r="D952" t="inlineStr">
        <is>
          <t>KALMAR LÄN</t>
        </is>
      </c>
      <c r="E952" t="inlineStr">
        <is>
          <t>NYBRO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7285-2025</t>
        </is>
      </c>
      <c r="B953" s="1" t="n">
        <v>45702.63752314815</v>
      </c>
      <c r="C953" s="1" t="n">
        <v>46088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6810-2024</t>
        </is>
      </c>
      <c r="B954" s="1" t="n">
        <v>45342.58545138889</v>
      </c>
      <c r="C954" s="1" t="n">
        <v>46088</v>
      </c>
      <c r="D954" t="inlineStr">
        <is>
          <t>KALMAR LÄN</t>
        </is>
      </c>
      <c r="E954" t="inlineStr">
        <is>
          <t>NYBRO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29544-2024</t>
        </is>
      </c>
      <c r="B955" s="1" t="n">
        <v>45484.50256944444</v>
      </c>
      <c r="C955" s="1" t="n">
        <v>46088</v>
      </c>
      <c r="D955" t="inlineStr">
        <is>
          <t>KALMAR LÄN</t>
        </is>
      </c>
      <c r="E955" t="inlineStr">
        <is>
          <t>NYBRO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7789-2025</t>
        </is>
      </c>
      <c r="B956" s="1" t="n">
        <v>45706.59305555555</v>
      </c>
      <c r="C956" s="1" t="n">
        <v>46088</v>
      </c>
      <c r="D956" t="inlineStr">
        <is>
          <t>KALMAR LÄN</t>
        </is>
      </c>
      <c r="E956" t="inlineStr">
        <is>
          <t>NYBRO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43982-2024</t>
        </is>
      </c>
      <c r="B957" s="1" t="n">
        <v>45572.49996527778</v>
      </c>
      <c r="C957" s="1" t="n">
        <v>46088</v>
      </c>
      <c r="D957" t="inlineStr">
        <is>
          <t>KALMAR LÄN</t>
        </is>
      </c>
      <c r="E957" t="inlineStr">
        <is>
          <t>NYBRO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17229-2025</t>
        </is>
      </c>
      <c r="B958" s="1" t="n">
        <v>45756.46728009259</v>
      </c>
      <c r="C958" s="1" t="n">
        <v>46088</v>
      </c>
      <c r="D958" t="inlineStr">
        <is>
          <t>KALMAR LÄN</t>
        </is>
      </c>
      <c r="E958" t="inlineStr">
        <is>
          <t>NYBRO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20621-2022</t>
        </is>
      </c>
      <c r="B959" s="1" t="n">
        <v>44700.52403935185</v>
      </c>
      <c r="C959" s="1" t="n">
        <v>46088</v>
      </c>
      <c r="D959" t="inlineStr">
        <is>
          <t>KALMAR LÄN</t>
        </is>
      </c>
      <c r="E959" t="inlineStr">
        <is>
          <t>NYBRO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10289-2022</t>
        </is>
      </c>
      <c r="B960" s="1" t="n">
        <v>44622</v>
      </c>
      <c r="C960" s="1" t="n">
        <v>46088</v>
      </c>
      <c r="D960" t="inlineStr">
        <is>
          <t>KALMAR LÄN</t>
        </is>
      </c>
      <c r="E960" t="inlineStr">
        <is>
          <t>NYBRO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56103-2023</t>
        </is>
      </c>
      <c r="B961" s="1" t="n">
        <v>45240.54020833333</v>
      </c>
      <c r="C961" s="1" t="n">
        <v>46088</v>
      </c>
      <c r="D961" t="inlineStr">
        <is>
          <t>KALMAR LÄN</t>
        </is>
      </c>
      <c r="E961" t="inlineStr">
        <is>
          <t>NYBRO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40375-2021</t>
        </is>
      </c>
      <c r="B962" s="1" t="n">
        <v>44419</v>
      </c>
      <c r="C962" s="1" t="n">
        <v>46088</v>
      </c>
      <c r="D962" t="inlineStr">
        <is>
          <t>KALMAR LÄN</t>
        </is>
      </c>
      <c r="E962" t="inlineStr">
        <is>
          <t>NYBRO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49912-2022</t>
        </is>
      </c>
      <c r="B963" s="1" t="n">
        <v>44865</v>
      </c>
      <c r="C963" s="1" t="n">
        <v>46088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15109-2025</t>
        </is>
      </c>
      <c r="B964" s="1" t="n">
        <v>45744.35152777778</v>
      </c>
      <c r="C964" s="1" t="n">
        <v>46088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18219-2025</t>
        </is>
      </c>
      <c r="B965" s="1" t="n">
        <v>45761.7169212963</v>
      </c>
      <c r="C965" s="1" t="n">
        <v>46088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18271-2025</t>
        </is>
      </c>
      <c r="B966" s="1" t="n">
        <v>45762.37043981482</v>
      </c>
      <c r="C966" s="1" t="n">
        <v>46088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28795-2022</t>
        </is>
      </c>
      <c r="B967" s="1" t="n">
        <v>44749</v>
      </c>
      <c r="C967" s="1" t="n">
        <v>46088</v>
      </c>
      <c r="D967" t="inlineStr">
        <is>
          <t>KALMAR LÄN</t>
        </is>
      </c>
      <c r="E967" t="inlineStr">
        <is>
          <t>NYBRO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8000-2023</t>
        </is>
      </c>
      <c r="B968" s="1" t="n">
        <v>44973.8353125</v>
      </c>
      <c r="C968" s="1" t="n">
        <v>46088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42277-2023</t>
        </is>
      </c>
      <c r="B969" s="1" t="n">
        <v>45175</v>
      </c>
      <c r="C969" s="1" t="n">
        <v>46088</v>
      </c>
      <c r="D969" t="inlineStr">
        <is>
          <t>KALMAR LÄN</t>
        </is>
      </c>
      <c r="E969" t="inlineStr">
        <is>
          <t>NYBRO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1928-2024</t>
        </is>
      </c>
      <c r="B970" s="1" t="n">
        <v>45308.45605324074</v>
      </c>
      <c r="C970" s="1" t="n">
        <v>46088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36100-2023</t>
        </is>
      </c>
      <c r="B971" s="1" t="n">
        <v>45149.52997685185</v>
      </c>
      <c r="C971" s="1" t="n">
        <v>46088</v>
      </c>
      <c r="D971" t="inlineStr">
        <is>
          <t>KALMAR LÄN</t>
        </is>
      </c>
      <c r="E971" t="inlineStr">
        <is>
          <t>NYBRO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49096-2023</t>
        </is>
      </c>
      <c r="B972" s="1" t="n">
        <v>45210</v>
      </c>
      <c r="C972" s="1" t="n">
        <v>46088</v>
      </c>
      <c r="D972" t="inlineStr">
        <is>
          <t>KALMAR LÄN</t>
        </is>
      </c>
      <c r="E972" t="inlineStr">
        <is>
          <t>NYBRO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53999-2022</t>
        </is>
      </c>
      <c r="B973" s="1" t="n">
        <v>44881</v>
      </c>
      <c r="C973" s="1" t="n">
        <v>46088</v>
      </c>
      <c r="D973" t="inlineStr">
        <is>
          <t>KALMAR LÄN</t>
        </is>
      </c>
      <c r="E973" t="inlineStr">
        <is>
          <t>NYBRO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31410-2021</t>
        </is>
      </c>
      <c r="B974" s="1" t="n">
        <v>44369</v>
      </c>
      <c r="C974" s="1" t="n">
        <v>46088</v>
      </c>
      <c r="D974" t="inlineStr">
        <is>
          <t>KALMAR LÄN</t>
        </is>
      </c>
      <c r="E974" t="inlineStr">
        <is>
          <t>NYBRO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41635-2023</t>
        </is>
      </c>
      <c r="B975" s="1" t="n">
        <v>45175.80216435185</v>
      </c>
      <c r="C975" s="1" t="n">
        <v>46088</v>
      </c>
      <c r="D975" t="inlineStr">
        <is>
          <t>KALMAR LÄN</t>
        </is>
      </c>
      <c r="E975" t="inlineStr">
        <is>
          <t>NYBRO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12073-2025</t>
        </is>
      </c>
      <c r="B976" s="1" t="n">
        <v>45728.71802083333</v>
      </c>
      <c r="C976" s="1" t="n">
        <v>46088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11150-2024</t>
        </is>
      </c>
      <c r="B977" s="1" t="n">
        <v>45371.47248842593</v>
      </c>
      <c r="C977" s="1" t="n">
        <v>46088</v>
      </c>
      <c r="D977" t="inlineStr">
        <is>
          <t>KALMAR LÄN</t>
        </is>
      </c>
      <c r="E977" t="inlineStr">
        <is>
          <t>NYBRO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27610-2022</t>
        </is>
      </c>
      <c r="B978" s="1" t="n">
        <v>44743</v>
      </c>
      <c r="C978" s="1" t="n">
        <v>46088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5355-2022</t>
        </is>
      </c>
      <c r="B979" s="1" t="n">
        <v>44594</v>
      </c>
      <c r="C979" s="1" t="n">
        <v>46088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3428-2024</t>
        </is>
      </c>
      <c r="B980" s="1" t="n">
        <v>45320.32636574074</v>
      </c>
      <c r="C980" s="1" t="n">
        <v>46088</v>
      </c>
      <c r="D980" t="inlineStr">
        <is>
          <t>KALMAR LÄN</t>
        </is>
      </c>
      <c r="E980" t="inlineStr">
        <is>
          <t>NYBRO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14371-2025</t>
        </is>
      </c>
      <c r="B981" s="1" t="n">
        <v>45741.39699074074</v>
      </c>
      <c r="C981" s="1" t="n">
        <v>46088</v>
      </c>
      <c r="D981" t="inlineStr">
        <is>
          <t>KALMAR LÄN</t>
        </is>
      </c>
      <c r="E981" t="inlineStr">
        <is>
          <t>NYBRO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17099-2021</t>
        </is>
      </c>
      <c r="B982" s="1" t="n">
        <v>44298.33628472222</v>
      </c>
      <c r="C982" s="1" t="n">
        <v>46088</v>
      </c>
      <c r="D982" t="inlineStr">
        <is>
          <t>KALMAR LÄN</t>
        </is>
      </c>
      <c r="E982" t="inlineStr">
        <is>
          <t>NYBRO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3632-2025</t>
        </is>
      </c>
      <c r="B983" s="1" t="n">
        <v>45681</v>
      </c>
      <c r="C983" s="1" t="n">
        <v>46088</v>
      </c>
      <c r="D983" t="inlineStr">
        <is>
          <t>KALMAR LÄN</t>
        </is>
      </c>
      <c r="E983" t="inlineStr">
        <is>
          <t>NYBRO</t>
        </is>
      </c>
      <c r="F983" t="inlineStr">
        <is>
          <t>Kyrkan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54341-2022</t>
        </is>
      </c>
      <c r="B984" s="1" t="n">
        <v>44882</v>
      </c>
      <c r="C984" s="1" t="n">
        <v>46088</v>
      </c>
      <c r="D984" t="inlineStr">
        <is>
          <t>KALMAR LÄN</t>
        </is>
      </c>
      <c r="E984" t="inlineStr">
        <is>
          <t>NYBRO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3344-2025</t>
        </is>
      </c>
      <c r="B985" s="1" t="n">
        <v>45679</v>
      </c>
      <c r="C985" s="1" t="n">
        <v>46088</v>
      </c>
      <c r="D985" t="inlineStr">
        <is>
          <t>KALMAR LÄN</t>
        </is>
      </c>
      <c r="E985" t="inlineStr">
        <is>
          <t>NYBRO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47270-2024</t>
        </is>
      </c>
      <c r="B986" s="1" t="n">
        <v>45586</v>
      </c>
      <c r="C986" s="1" t="n">
        <v>46088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7424-2022</t>
        </is>
      </c>
      <c r="B987" s="1" t="n">
        <v>44606.73197916667</v>
      </c>
      <c r="C987" s="1" t="n">
        <v>46088</v>
      </c>
      <c r="D987" t="inlineStr">
        <is>
          <t>KALMAR LÄN</t>
        </is>
      </c>
      <c r="E987" t="inlineStr">
        <is>
          <t>NYBRO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38170-2024</t>
        </is>
      </c>
      <c r="B988" s="1" t="n">
        <v>45545.46103009259</v>
      </c>
      <c r="C988" s="1" t="n">
        <v>46088</v>
      </c>
      <c r="D988" t="inlineStr">
        <is>
          <t>KALMAR LÄN</t>
        </is>
      </c>
      <c r="E988" t="inlineStr">
        <is>
          <t>NYBRO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22974-2024</t>
        </is>
      </c>
      <c r="B989" s="1" t="n">
        <v>45449.73532407408</v>
      </c>
      <c r="C989" s="1" t="n">
        <v>46088</v>
      </c>
      <c r="D989" t="inlineStr">
        <is>
          <t>KALMAR LÄN</t>
        </is>
      </c>
      <c r="E989" t="inlineStr">
        <is>
          <t>NYBRO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22435-2023</t>
        </is>
      </c>
      <c r="B990" s="1" t="n">
        <v>45070</v>
      </c>
      <c r="C990" s="1" t="n">
        <v>46088</v>
      </c>
      <c r="D990" t="inlineStr">
        <is>
          <t>KALMAR LÄN</t>
        </is>
      </c>
      <c r="E990" t="inlineStr">
        <is>
          <t>NYBRO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50586-2024</t>
        </is>
      </c>
      <c r="B991" s="1" t="n">
        <v>45601.6175</v>
      </c>
      <c r="C991" s="1" t="n">
        <v>46088</v>
      </c>
      <c r="D991" t="inlineStr">
        <is>
          <t>KALMAR LÄN</t>
        </is>
      </c>
      <c r="E991" t="inlineStr">
        <is>
          <t>NYBRO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13997-2021</t>
        </is>
      </c>
      <c r="B992" s="1" t="n">
        <v>44277</v>
      </c>
      <c r="C992" s="1" t="n">
        <v>46088</v>
      </c>
      <c r="D992" t="inlineStr">
        <is>
          <t>KALMAR LÄN</t>
        </is>
      </c>
      <c r="E992" t="inlineStr">
        <is>
          <t>NYBRO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27966-2024</t>
        </is>
      </c>
      <c r="B993" s="1" t="n">
        <v>45476.37739583333</v>
      </c>
      <c r="C993" s="1" t="n">
        <v>46088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30173-2024</t>
        </is>
      </c>
      <c r="B994" s="1" t="n">
        <v>45489.67844907408</v>
      </c>
      <c r="C994" s="1" t="n">
        <v>46088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47335-2024</t>
        </is>
      </c>
      <c r="B995" s="1" t="n">
        <v>45587.39587962963</v>
      </c>
      <c r="C995" s="1" t="n">
        <v>46088</v>
      </c>
      <c r="D995" t="inlineStr">
        <is>
          <t>KALMAR LÄN</t>
        </is>
      </c>
      <c r="E995" t="inlineStr">
        <is>
          <t>NYBRO</t>
        </is>
      </c>
      <c r="G995" t="n">
        <v>8.699999999999999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22153-2025</t>
        </is>
      </c>
      <c r="B996" s="1" t="n">
        <v>45785.57039351852</v>
      </c>
      <c r="C996" s="1" t="n">
        <v>46088</v>
      </c>
      <c r="D996" t="inlineStr">
        <is>
          <t>KALMAR LÄN</t>
        </is>
      </c>
      <c r="E996" t="inlineStr">
        <is>
          <t>NYBRO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22042-2025</t>
        </is>
      </c>
      <c r="B997" s="1" t="n">
        <v>45785.33315972222</v>
      </c>
      <c r="C997" s="1" t="n">
        <v>46088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22151-2025</t>
        </is>
      </c>
      <c r="B998" s="1" t="n">
        <v>45785.5658912037</v>
      </c>
      <c r="C998" s="1" t="n">
        <v>46088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53649-2023</t>
        </is>
      </c>
      <c r="B999" s="1" t="n">
        <v>45230.60619212963</v>
      </c>
      <c r="C999" s="1" t="n">
        <v>46088</v>
      </c>
      <c r="D999" t="inlineStr">
        <is>
          <t>KALMAR LÄN</t>
        </is>
      </c>
      <c r="E999" t="inlineStr">
        <is>
          <t>NYBRO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50977-2022</t>
        </is>
      </c>
      <c r="B1000" s="1" t="n">
        <v>44867.83456018518</v>
      </c>
      <c r="C1000" s="1" t="n">
        <v>46088</v>
      </c>
      <c r="D1000" t="inlineStr">
        <is>
          <t>KALMAR LÄN</t>
        </is>
      </c>
      <c r="E1000" t="inlineStr">
        <is>
          <t>NYBRO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30076-2024</t>
        </is>
      </c>
      <c r="B1001" s="1" t="n">
        <v>45489</v>
      </c>
      <c r="C1001" s="1" t="n">
        <v>46088</v>
      </c>
      <c r="D1001" t="inlineStr">
        <is>
          <t>KALMAR LÄN</t>
        </is>
      </c>
      <c r="E1001" t="inlineStr">
        <is>
          <t>NYBRO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22306-2025</t>
        </is>
      </c>
      <c r="B1002" s="1" t="n">
        <v>45786.3628125</v>
      </c>
      <c r="C1002" s="1" t="n">
        <v>46088</v>
      </c>
      <c r="D1002" t="inlineStr">
        <is>
          <t>KALMAR LÄN</t>
        </is>
      </c>
      <c r="E1002" t="inlineStr">
        <is>
          <t>NYBRO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22305-2025</t>
        </is>
      </c>
      <c r="B1003" s="1" t="n">
        <v>45786.36038194445</v>
      </c>
      <c r="C1003" s="1" t="n">
        <v>46088</v>
      </c>
      <c r="D1003" t="inlineStr">
        <is>
          <t>KALMAR LÄN</t>
        </is>
      </c>
      <c r="E1003" t="inlineStr">
        <is>
          <t>NYBRO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56972-2024</t>
        </is>
      </c>
      <c r="B1004" s="1" t="n">
        <v>45625</v>
      </c>
      <c r="C1004" s="1" t="n">
        <v>46088</v>
      </c>
      <c r="D1004" t="inlineStr">
        <is>
          <t>KALMAR LÄN</t>
        </is>
      </c>
      <c r="E1004" t="inlineStr">
        <is>
          <t>NYBRO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7830-2025</t>
        </is>
      </c>
      <c r="B1005" s="1" t="n">
        <v>45706.64979166666</v>
      </c>
      <c r="C1005" s="1" t="n">
        <v>46088</v>
      </c>
      <c r="D1005" t="inlineStr">
        <is>
          <t>KALMAR LÄN</t>
        </is>
      </c>
      <c r="E1005" t="inlineStr">
        <is>
          <t>NYBRO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22302-2025</t>
        </is>
      </c>
      <c r="B1006" s="1" t="n">
        <v>45786.35825231481</v>
      </c>
      <c r="C1006" s="1" t="n">
        <v>46088</v>
      </c>
      <c r="D1006" t="inlineStr">
        <is>
          <t>KALMAR LÄN</t>
        </is>
      </c>
      <c r="E1006" t="inlineStr">
        <is>
          <t>NYBRO</t>
        </is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38798-2024</t>
        </is>
      </c>
      <c r="B1007" s="1" t="n">
        <v>45547.5259375</v>
      </c>
      <c r="C1007" s="1" t="n">
        <v>46088</v>
      </c>
      <c r="D1007" t="inlineStr">
        <is>
          <t>KALMAR LÄN</t>
        </is>
      </c>
      <c r="E1007" t="inlineStr">
        <is>
          <t>NYBRO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22267-2025</t>
        </is>
      </c>
      <c r="B1008" s="1" t="n">
        <v>45785.85196759259</v>
      </c>
      <c r="C1008" s="1" t="n">
        <v>46088</v>
      </c>
      <c r="D1008" t="inlineStr">
        <is>
          <t>KALMAR LÄN</t>
        </is>
      </c>
      <c r="E1008" t="inlineStr">
        <is>
          <t>NYBRO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2184-2025</t>
        </is>
      </c>
      <c r="B1009" s="1" t="n">
        <v>45673.35722222222</v>
      </c>
      <c r="C1009" s="1" t="n">
        <v>46088</v>
      </c>
      <c r="D1009" t="inlineStr">
        <is>
          <t>KALMAR LÄN</t>
        </is>
      </c>
      <c r="E1009" t="inlineStr">
        <is>
          <t>NYBRO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43984-2024</t>
        </is>
      </c>
      <c r="B1010" s="1" t="n">
        <v>45572.50128472222</v>
      </c>
      <c r="C1010" s="1" t="n">
        <v>46088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686-2025</t>
        </is>
      </c>
      <c r="B1011" s="1" t="n">
        <v>45665.30042824074</v>
      </c>
      <c r="C1011" s="1" t="n">
        <v>46088</v>
      </c>
      <c r="D1011" t="inlineStr">
        <is>
          <t>KALMAR LÄN</t>
        </is>
      </c>
      <c r="E1011" t="inlineStr">
        <is>
          <t>NYBRO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20461-2021</t>
        </is>
      </c>
      <c r="B1012" s="1" t="n">
        <v>44315.61856481482</v>
      </c>
      <c r="C1012" s="1" t="n">
        <v>46088</v>
      </c>
      <c r="D1012" t="inlineStr">
        <is>
          <t>KALMAR LÄN</t>
        </is>
      </c>
      <c r="E1012" t="inlineStr">
        <is>
          <t>NYBRO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36374-2024</t>
        </is>
      </c>
      <c r="B1013" s="1" t="n">
        <v>45534.67787037037</v>
      </c>
      <c r="C1013" s="1" t="n">
        <v>46088</v>
      </c>
      <c r="D1013" t="inlineStr">
        <is>
          <t>KALMAR LÄN</t>
        </is>
      </c>
      <c r="E1013" t="inlineStr">
        <is>
          <t>NYBRO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9005-2024</t>
        </is>
      </c>
      <c r="B1014" s="1" t="n">
        <v>45357.56929398148</v>
      </c>
      <c r="C1014" s="1" t="n">
        <v>46088</v>
      </c>
      <c r="D1014" t="inlineStr">
        <is>
          <t>KALMAR LÄN</t>
        </is>
      </c>
      <c r="E1014" t="inlineStr">
        <is>
          <t>NYBRO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1079-2024</t>
        </is>
      </c>
      <c r="B1015" s="1" t="n">
        <v>45301</v>
      </c>
      <c r="C1015" s="1" t="n">
        <v>46088</v>
      </c>
      <c r="D1015" t="inlineStr">
        <is>
          <t>KALMAR LÄN</t>
        </is>
      </c>
      <c r="E1015" t="inlineStr">
        <is>
          <t>NYBRO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17653-2021</t>
        </is>
      </c>
      <c r="B1016" s="1" t="n">
        <v>44300.37375</v>
      </c>
      <c r="C1016" s="1" t="n">
        <v>46088</v>
      </c>
      <c r="D1016" t="inlineStr">
        <is>
          <t>KALMAR LÄN</t>
        </is>
      </c>
      <c r="E1016" t="inlineStr">
        <is>
          <t>NYBRO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15510-2024</t>
        </is>
      </c>
      <c r="B1017" s="1" t="n">
        <v>45401.55627314815</v>
      </c>
      <c r="C1017" s="1" t="n">
        <v>46088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10631-2024</t>
        </is>
      </c>
      <c r="B1018" s="1" t="n">
        <v>45367.30908564815</v>
      </c>
      <c r="C1018" s="1" t="n">
        <v>46088</v>
      </c>
      <c r="D1018" t="inlineStr">
        <is>
          <t>KALMAR LÄN</t>
        </is>
      </c>
      <c r="E1018" t="inlineStr">
        <is>
          <t>NYBRO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57716-2023</t>
        </is>
      </c>
      <c r="B1019" s="1" t="n">
        <v>45246.69150462963</v>
      </c>
      <c r="C1019" s="1" t="n">
        <v>46088</v>
      </c>
      <c r="D1019" t="inlineStr">
        <is>
          <t>KALMAR LÄN</t>
        </is>
      </c>
      <c r="E1019" t="inlineStr">
        <is>
          <t>NYBRO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11014-2024</t>
        </is>
      </c>
      <c r="B1020" s="1" t="n">
        <v>45370</v>
      </c>
      <c r="C1020" s="1" t="n">
        <v>46088</v>
      </c>
      <c r="D1020" t="inlineStr">
        <is>
          <t>KALMAR LÄN</t>
        </is>
      </c>
      <c r="E1020" t="inlineStr">
        <is>
          <t>NYBRO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23064-2025</t>
        </is>
      </c>
      <c r="B1021" s="1" t="n">
        <v>45790.8237962963</v>
      </c>
      <c r="C1021" s="1" t="n">
        <v>46088</v>
      </c>
      <c r="D1021" t="inlineStr">
        <is>
          <t>KALMAR LÄN</t>
        </is>
      </c>
      <c r="E1021" t="inlineStr">
        <is>
          <t>NYBRO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23479-2025</t>
        </is>
      </c>
      <c r="B1022" s="1" t="n">
        <v>45792.4578587963</v>
      </c>
      <c r="C1022" s="1" t="n">
        <v>46088</v>
      </c>
      <c r="D1022" t="inlineStr">
        <is>
          <t>KALMAR LÄN</t>
        </is>
      </c>
      <c r="E1022" t="inlineStr">
        <is>
          <t>NYBRO</t>
        </is>
      </c>
      <c r="F1022" t="inlineStr">
        <is>
          <t>Sveaskog</t>
        </is>
      </c>
      <c r="G1022" t="n">
        <v>8.800000000000001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23489-2025</t>
        </is>
      </c>
      <c r="B1023" s="1" t="n">
        <v>45792.46865740741</v>
      </c>
      <c r="C1023" s="1" t="n">
        <v>46088</v>
      </c>
      <c r="D1023" t="inlineStr">
        <is>
          <t>KALMAR LÄN</t>
        </is>
      </c>
      <c r="E1023" t="inlineStr">
        <is>
          <t>NYBRO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2026-03-07T11:25:13Z</dcterms:created>
  <dcterms:modified xmlns:dcterms="http://purl.org/dc/terms/" xmlns:xsi="http://www.w3.org/2001/XMLSchema-instance" xsi:type="dcterms:W3CDTF">2026-03-07T11:25:14Z</dcterms:modified>
</cp:coreProperties>
</file>