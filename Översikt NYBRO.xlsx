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46300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46300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46300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46300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46300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46300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46300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46300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46300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46300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46300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46300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46300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46300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46300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46300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46300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46300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46300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46300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46300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46300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46300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46300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46300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46300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46300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46300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46300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46300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46300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46300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46300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46300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46300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46300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46300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46300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63006-2025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46300</v>
      </c>
      <c r="F47" t="inlineStr">
        <is>
          <t>KALMAR LÄN</t>
        </is>
      </c>
      <c r="G47" t="inlineStr">
        <is>
          <t>NYBRO</t>
        </is>
      </c>
      <c r="I47" t="n">
        <v>6.8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Bronshjon
Mindre märgborre</t>
        </is>
      </c>
      <c r="W47">
        <f>HYPERLINK("https://klasma.github.io/Logging_0881/artfynd/A 63006-2025 artfynd.xlsx", "A 63006-2025")</f>
        <v/>
      </c>
      <c r="X47">
        <f>HYPERLINK("https://klasma.github.io/Logging_0881/kartor/A 63006-2025 karta.png", "A 63006-2025")</f>
        <v/>
      </c>
      <c r="Y47">
        <f>HYPERLINK("https://klasma.github.io/Logging_0881/kartor_geotiff/A 63006-2025 georefererad karta.tif", "A 63006-2025")</f>
        <v/>
      </c>
      <c r="AA47">
        <f>HYPERLINK("https://klasma.github.io/Logging_0881/klagomål/A 63006-2025 FSC-klagomål.docx", "A 63006-2025")</f>
        <v/>
      </c>
      <c r="AB47">
        <f>HYPERLINK("https://klasma.github.io/Logging_0881/klagomålsmail/A 63006-2025 FSC-klagomål mail.docx", "A 63006-2025")</f>
        <v/>
      </c>
      <c r="AC47">
        <f>HYPERLINK("https://klasma.github.io/Logging_0881/tillsyn/A 63006-2025 tillsynsbegäran.docx", "A 63006-2025")</f>
        <v/>
      </c>
      <c r="AD47">
        <f>HYPERLINK("https://klasma.github.io/Logging_0881/tillsynsmail/A 63006-2025 tillsynsbegäran mail.docx", "A 63006-2025")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46300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46300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46300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46300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Nordfladdermus
Dvärgpipistrell</t>
        </is>
      </c>
      <c r="W51">
        <f>HYPERLINK("https://klasma.github.io/Logging_0881/artfynd/A 22316-2024 artfynd.xlsx", "A 22316-2024")</f>
        <v/>
      </c>
      <c r="X51">
        <f>HYPERLINK("https://klasma.github.io/Logging_0881/kartor/A 22316-2024 karta.png", "A 22316-2024")</f>
        <v/>
      </c>
      <c r="Y51">
        <f>HYPERLINK("https://klasma.github.io/Logging_0881/kartor_geotiff/A 22316-2024 georefererad karta.tif", "A 22316-2024")</f>
        <v/>
      </c>
      <c r="AA51">
        <f>HYPERLINK("https://klasma.github.io/Logging_0881/klagomål/A 22316-2024 FSC-klagomål.docx", "A 22316-2024")</f>
        <v/>
      </c>
      <c r="AB51">
        <f>HYPERLINK("https://klasma.github.io/Logging_0881/klagomålsmail/A 22316-2024 FSC-klagomål mail.docx", "A 22316-2024")</f>
        <v/>
      </c>
      <c r="AC51">
        <f>HYPERLINK("https://klasma.github.io/Logging_0881/tillsyn/A 22316-2024 tillsynsbegäran.docx", "A 22316-2024")</f>
        <v/>
      </c>
      <c r="AD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46300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28131-2025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46300</v>
      </c>
      <c r="F53" t="inlineStr">
        <is>
          <t>KALMAR LÄN</t>
        </is>
      </c>
      <c r="G53" t="inlineStr">
        <is>
          <t>NYBRO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Blåmossa
Spillkråka</t>
        </is>
      </c>
      <c r="W53">
        <f>HYPERLINK("https://klasma.github.io/Logging_0881/artfynd/A 28131-2025 artfynd.xlsx", "A 28131-2025")</f>
        <v/>
      </c>
      <c r="X53">
        <f>HYPERLINK("https://klasma.github.io/Logging_0881/kartor/A 28131-2025 karta.png", "A 28131-2025")</f>
        <v/>
      </c>
      <c r="Y53">
        <f>HYPERLINK("https://klasma.github.io/Logging_0881/kartor_geotiff/A 28131-2025 georefererad karta.tif", "A 28131-2025")</f>
        <v/>
      </c>
      <c r="AA53">
        <f>HYPERLINK("https://klasma.github.io/Logging_0881/klagomål/A 28131-2025 FSC-klagomål.docx", "A 28131-2025")</f>
        <v/>
      </c>
      <c r="AB53">
        <f>HYPERLINK("https://klasma.github.io/Logging_0881/klagomålsmail/A 28131-2025 FSC-klagomål mail.docx", "A 28131-2025")</f>
        <v/>
      </c>
      <c r="AC53">
        <f>HYPERLINK("https://klasma.github.io/Logging_0881/tillsyn/A 28131-2025 tillsynsbegäran.docx", "A 28131-2025")</f>
        <v/>
      </c>
      <c r="AD53">
        <f>HYPERLINK("https://klasma.github.io/Logging_0881/tillsynsmail/A 28131-2025 tillsynsbegäran mail.docx", "A 28131-2025")</f>
        <v/>
      </c>
      <c r="AE53">
        <f>HYPERLINK("https://klasma.github.io/Logging_0881/fåglar/A 28131-2025 prioriterade fågelarter.docx", "A 28131-2025")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46300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46300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46300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46300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46300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46300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46300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46300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46300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46300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46300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46300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46300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46300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46300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46300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46300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46300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46300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46300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46300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46300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38798-2024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46300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HYPERLINK("https://klasma.github.io/Logging_0881/artfynd/A 38798-2024 artfynd.xlsx", "A 38798-2024")</f>
        <v/>
      </c>
      <c r="X76">
        <f>HYPERLINK("https://klasma.github.io/Logging_0881/kartor/A 38798-2024 karta.png", "A 38798-2024")</f>
        <v/>
      </c>
      <c r="Y76">
        <f>HYPERLINK("https://klasma.github.io/Logging_0881/kartor_geotiff/A 38798-2024 georefererad karta.tif", "A 38798-2024")</f>
        <v/>
      </c>
      <c r="AA76">
        <f>HYPERLINK("https://klasma.github.io/Logging_0881/klagomål/A 38798-2024 FSC-klagomål.docx", "A 38798-2024")</f>
        <v/>
      </c>
      <c r="AB76">
        <f>HYPERLINK("https://klasma.github.io/Logging_0881/klagomålsmail/A 38798-2024 FSC-klagomål mail.docx", "A 38798-2024")</f>
        <v/>
      </c>
      <c r="AC76">
        <f>HYPERLINK("https://klasma.github.io/Logging_0881/tillsyn/A 38798-2024 tillsynsbegäran.docx", "A 38798-2024")</f>
        <v/>
      </c>
      <c r="AD76">
        <f>HYPERLINK("https://klasma.github.io/Logging_0881/tillsynsmail/A 38798-2024 tillsynsbegäran mail.docx", "A 38798-2024")</f>
        <v/>
      </c>
      <c r="AE76">
        <f>HYPERLINK("https://klasma.github.io/Logging_0881/fåglar/A 38798-2024 prioriterade fågelarter.docx", "A 38798-2024")</f>
        <v/>
      </c>
    </row>
    <row r="77" ht="15" customHeight="1">
      <c r="A77" t="inlineStr">
        <is>
          <t>A 61617-2025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46300</v>
      </c>
      <c r="F77" t="inlineStr">
        <is>
          <t>KALMAR LÄN</t>
        </is>
      </c>
      <c r="G77" t="inlineStr">
        <is>
          <t>NYBRO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Orangefläckig brunbagge</t>
        </is>
      </c>
      <c r="W77">
        <f>HYPERLINK("https://klasma.github.io/Logging_0881/artfynd/A 61617-2025 artfynd.xlsx", "A 61617-2025")</f>
        <v/>
      </c>
      <c r="X77">
        <f>HYPERLINK("https://klasma.github.io/Logging_0881/kartor/A 61617-2025 karta.png", "A 61617-2025")</f>
        <v/>
      </c>
      <c r="Y77">
        <f>HYPERLINK("https://klasma.github.io/Logging_0881/kartor_geotiff/A 61617-2025 georefererad karta.tif", "A 61617-2025")</f>
        <v/>
      </c>
      <c r="AA77">
        <f>HYPERLINK("https://klasma.github.io/Logging_0881/klagomål/A 61617-2025 FSC-klagomål.docx", "A 61617-2025")</f>
        <v/>
      </c>
      <c r="AB77">
        <f>HYPERLINK("https://klasma.github.io/Logging_0881/klagomålsmail/A 61617-2025 FSC-klagomål mail.docx", "A 61617-2025")</f>
        <v/>
      </c>
      <c r="AC77">
        <f>HYPERLINK("https://klasma.github.io/Logging_0881/tillsyn/A 61617-2025 tillsynsbegäran.docx", "A 61617-2025")</f>
        <v/>
      </c>
      <c r="AD77">
        <f>HYPERLINK("https://klasma.github.io/Logging_0881/tillsynsmail/A 61617-2025 tillsynsbegäran mail.docx", "A 61617-2025")</f>
        <v/>
      </c>
    </row>
    <row r="78" ht="15" customHeight="1">
      <c r="A78" t="inlineStr">
        <is>
          <t>A 61613-2025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46300</v>
      </c>
      <c r="F78" t="inlineStr">
        <is>
          <t>KALMAR LÄN</t>
        </is>
      </c>
      <c r="G78" t="inlineStr">
        <is>
          <t>NYBRO</t>
        </is>
      </c>
      <c r="I78" t="n">
        <v>12.2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61613-2025 artfynd.xlsx", "A 61613-2025")</f>
        <v/>
      </c>
      <c r="X78">
        <f>HYPERLINK("https://klasma.github.io/Logging_0881/kartor/A 61613-2025 karta.png", "A 61613-2025")</f>
        <v/>
      </c>
      <c r="Y78">
        <f>HYPERLINK("https://klasma.github.io/Logging_0881/kartor_geotiff/A 61613-2025 georefererad karta.tif", "A 61613-2025")</f>
        <v/>
      </c>
      <c r="AA78">
        <f>HYPERLINK("https://klasma.github.io/Logging_0881/klagomål/A 61613-2025 FSC-klagomål.docx", "A 61613-2025")</f>
        <v/>
      </c>
      <c r="AB78">
        <f>HYPERLINK("https://klasma.github.io/Logging_0881/klagomålsmail/A 61613-2025 FSC-klagomål mail.docx", "A 61613-2025")</f>
        <v/>
      </c>
      <c r="AC78">
        <f>HYPERLINK("https://klasma.github.io/Logging_0881/tillsyn/A 61613-2025 tillsynsbegäran.docx", "A 61613-2025")</f>
        <v/>
      </c>
      <c r="AD78">
        <f>HYPERLINK("https://klasma.github.io/Logging_0881/tillsynsmail/A 61613-2025 tillsynsbegäran mail.docx", "A 61613-2025")</f>
        <v/>
      </c>
      <c r="AE78">
        <f>HYPERLINK("https://klasma.github.io/Logging_0881/fåglar/A 61613-2025 prioriterade fågelarter.docx", "A 61613-2025")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46300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6676-2023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46300</v>
      </c>
      <c r="F80" t="inlineStr">
        <is>
          <t>KALMAR LÄN</t>
        </is>
      </c>
      <c r="G80" t="inlineStr">
        <is>
          <t>NYBRO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Etternässla</t>
        </is>
      </c>
      <c r="W80">
        <f>HYPERLINK("https://klasma.github.io/Logging_0881/artfynd/A 6676-2023 artfynd.xlsx", "A 6676-2023")</f>
        <v/>
      </c>
      <c r="X80">
        <f>HYPERLINK("https://klasma.github.io/Logging_0881/kartor/A 6676-2023 karta.png", "A 6676-2023")</f>
        <v/>
      </c>
      <c r="Y80">
        <f>HYPERLINK("https://klasma.github.io/Logging_0881/kartor_geotiff/A 6676-2023 georefererad karta.tif", "A 6676-2023")</f>
        <v/>
      </c>
      <c r="AA80">
        <f>HYPERLINK("https://klasma.github.io/Logging_0881/klagomål/A 6676-2023 FSC-klagomål.docx", "A 6676-2023")</f>
        <v/>
      </c>
      <c r="AB80">
        <f>HYPERLINK("https://klasma.github.io/Logging_0881/klagomålsmail/A 6676-2023 FSC-klagomål mail.docx", "A 6676-2023")</f>
        <v/>
      </c>
      <c r="AC80">
        <f>HYPERLINK("https://klasma.github.io/Logging_0881/tillsyn/A 6676-2023 tillsynsbegäran.docx", "A 6676-2023")</f>
        <v/>
      </c>
      <c r="AD80">
        <f>HYPERLINK("https://klasma.github.io/Logging_0881/tillsynsmail/A 6676-2023 tillsynsbegäran mail.docx", "A 6676-2023")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46300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46300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46300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46300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46300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46300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64315-2023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45279</v>
      </c>
      <c r="E87" s="1" t="n">
        <v>46300</v>
      </c>
      <c r="F87" t="inlineStr">
        <is>
          <t>KALMAR LÄN</t>
        </is>
      </c>
      <c r="G87" t="inlineStr">
        <is>
          <t>NYBRO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HYPERLINK("https://klasma.github.io/Logging_0881/artfynd/A 64315-2023 artfynd.xlsx", "A 64315-2023")</f>
        <v/>
      </c>
      <c r="X87">
        <f>HYPERLINK("https://klasma.github.io/Logging_0881/kartor/A 64315-2023 karta.png", "A 64315-2023")</f>
        <v/>
      </c>
      <c r="Y87">
        <f>HYPERLINK("https://klasma.github.io/Logging_0881/kartor_geotiff/A 64315-2023 georefererad karta.tif", "A 64315-2023")</f>
        <v/>
      </c>
      <c r="AA87">
        <f>HYPERLINK("https://klasma.github.io/Logging_0881/klagomål/A 64315-2023 FSC-klagomål.docx", "A 64315-2023")</f>
        <v/>
      </c>
      <c r="AB87">
        <f>HYPERLINK("https://klasma.github.io/Logging_0881/klagomålsmail/A 64315-2023 FSC-klagomål mail.docx", "A 64315-2023")</f>
        <v/>
      </c>
      <c r="AC87">
        <f>HYPERLINK("https://klasma.github.io/Logging_0881/tillsyn/A 64315-2023 tillsynsbegäran.docx", "A 64315-2023")</f>
        <v/>
      </c>
      <c r="AD87">
        <f>HYPERLINK("https://klasma.github.io/Logging_0881/tillsynsmail/A 64315-2023 tillsynsbegäran mail.docx", "A 64315-2023")</f>
        <v/>
      </c>
    </row>
    <row r="88" ht="15" customHeight="1">
      <c r="A88" t="inlineStr">
        <is>
          <t>A 16161-2026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46300</v>
      </c>
      <c r="F88" t="inlineStr">
        <is>
          <t>KALMAR LÄN</t>
        </is>
      </c>
      <c r="G88" t="inlineStr">
        <is>
          <t>NYBRO</t>
        </is>
      </c>
      <c r="I88" t="n">
        <v>6.1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Mosippa</t>
        </is>
      </c>
      <c r="W88">
        <f>HYPERLINK("https://klasma.github.io/Logging_0881/artfynd/A 16161-2026 artfynd.xlsx", "A 16161-2026")</f>
        <v/>
      </c>
      <c r="X88">
        <f>HYPERLINK("https://klasma.github.io/Logging_0881/kartor/A 16161-2026 karta.png", "A 16161-2026")</f>
        <v/>
      </c>
      <c r="Y88">
        <f>HYPERLINK("https://klasma.github.io/Logging_0881/kartor_geotiff/A 16161-2026 georefererad karta.tif", "A 16161-2026")</f>
        <v/>
      </c>
      <c r="AA88">
        <f>HYPERLINK("https://klasma.github.io/Logging_0881/klagomål/A 16161-2026 FSC-klagomål.docx", "A 16161-2026")</f>
        <v/>
      </c>
      <c r="AB88">
        <f>HYPERLINK("https://klasma.github.io/Logging_0881/klagomålsmail/A 16161-2026 FSC-klagomål mail.docx", "A 16161-2026")</f>
        <v/>
      </c>
      <c r="AC88">
        <f>HYPERLINK("https://klasma.github.io/Logging_0881/tillsyn/A 16161-2026 tillsynsbegäran.docx", "A 16161-2026")</f>
        <v/>
      </c>
      <c r="AD88">
        <f>HYPERLINK("https://klasma.github.io/Logging_0881/tillsynsmail/A 16161-2026 tillsynsbegäran mail.docx", "A 16161-2026")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46300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54216-2024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46300</v>
      </c>
      <c r="F90" t="inlineStr">
        <is>
          <t>KALMAR LÄN</t>
        </is>
      </c>
      <c r="G90" t="inlineStr">
        <is>
          <t>NYBRO</t>
        </is>
      </c>
      <c r="I90" t="n">
        <v>4.4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HYPERLINK("https://klasma.github.io/Logging_0881/artfynd/A 54216-2024 artfynd.xlsx", "A 54216-2024")</f>
        <v/>
      </c>
      <c r="X90">
        <f>HYPERLINK("https://klasma.github.io/Logging_0881/kartor/A 54216-2024 karta.png", "A 54216-2024")</f>
        <v/>
      </c>
      <c r="Y90">
        <f>HYPERLINK("https://klasma.github.io/Logging_0881/kartor_geotiff/A 54216-2024 georefererad karta.tif", "A 54216-2024")</f>
        <v/>
      </c>
      <c r="AA90">
        <f>HYPERLINK("https://klasma.github.io/Logging_0881/klagomål/A 54216-2024 FSC-klagomål.docx", "A 54216-2024")</f>
        <v/>
      </c>
      <c r="AB90">
        <f>HYPERLINK("https://klasma.github.io/Logging_0881/klagomålsmail/A 54216-2024 FSC-klagomål mail.docx", "A 54216-2024")</f>
        <v/>
      </c>
      <c r="AC90">
        <f>HYPERLINK("https://klasma.github.io/Logging_0881/tillsyn/A 54216-2024 tillsynsbegäran.docx", "A 54216-2024")</f>
        <v/>
      </c>
      <c r="AD90">
        <f>HYPERLINK("https://klasma.github.io/Logging_0881/tillsynsmail/A 54216-2024 tillsynsbegäran mail.docx", "A 54216-2024")</f>
        <v/>
      </c>
      <c r="AE90">
        <f>HYPERLINK("https://klasma.github.io/Logging_0881/fåglar/A 54216-2024 prioriterade fågelarter.docx", "A 54216-2024")</f>
        <v/>
      </c>
    </row>
    <row r="91" ht="15" customHeight="1">
      <c r="A91" t="inlineStr">
        <is>
          <t>A 20647-2026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46300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Ljungögontröst</t>
        </is>
      </c>
      <c r="W91">
        <f>HYPERLINK("https://klasma.github.io/Logging_0881/artfynd/A 20647-2026 artfynd.xlsx", "A 20647-2026")</f>
        <v/>
      </c>
      <c r="X91">
        <f>HYPERLINK("https://klasma.github.io/Logging_0881/kartor/A 20647-2026 karta.png", "A 20647-2026")</f>
        <v/>
      </c>
      <c r="Y91">
        <f>HYPERLINK("https://klasma.github.io/Logging_0881/kartor_geotiff/A 20647-2026 georefererad karta.tif", "A 20647-2026")</f>
        <v/>
      </c>
      <c r="AA91">
        <f>HYPERLINK("https://klasma.github.io/Logging_0881/klagomål/A 20647-2026 FSC-klagomål.docx", "A 20647-2026")</f>
        <v/>
      </c>
      <c r="AB91">
        <f>HYPERLINK("https://klasma.github.io/Logging_0881/klagomålsmail/A 20647-2026 FSC-klagomål mail.docx", "A 20647-2026")</f>
        <v/>
      </c>
      <c r="AC91">
        <f>HYPERLINK("https://klasma.github.io/Logging_0881/tillsyn/A 20647-2026 tillsynsbegäran.docx", "A 20647-2026")</f>
        <v/>
      </c>
      <c r="AD91">
        <f>HYPERLINK("https://klasma.github.io/Logging_0881/tillsynsmail/A 20647-2026 tillsynsbegäran mail.docx", "A 20647-2026")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46300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46300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22097-2026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46300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Talltita</t>
        </is>
      </c>
      <c r="W94">
        <f>HYPERLINK("https://klasma.github.io/Logging_0881/artfynd/A 22097-2026 artfynd.xlsx", "A 22097-2026")</f>
        <v/>
      </c>
      <c r="X94">
        <f>HYPERLINK("https://klasma.github.io/Logging_0881/kartor/A 22097-2026 karta.png", "A 22097-2026")</f>
        <v/>
      </c>
      <c r="Y94">
        <f>HYPERLINK("https://klasma.github.io/Logging_0881/kartor_geotiff/A 22097-2026 georefererad karta.tif", "A 22097-2026")</f>
        <v/>
      </c>
      <c r="AA94">
        <f>HYPERLINK("https://klasma.github.io/Logging_0881/klagomål/A 22097-2026 FSC-klagomål.docx", "A 22097-2026")</f>
        <v/>
      </c>
      <c r="AB94">
        <f>HYPERLINK("https://klasma.github.io/Logging_0881/klagomålsmail/A 22097-2026 FSC-klagomål mail.docx", "A 22097-2026")</f>
        <v/>
      </c>
      <c r="AC94">
        <f>HYPERLINK("https://klasma.github.io/Logging_0881/tillsyn/A 22097-2026 tillsynsbegäran.docx", "A 22097-2026")</f>
        <v/>
      </c>
      <c r="AD94">
        <f>HYPERLINK("https://klasma.github.io/Logging_0881/tillsynsmail/A 22097-2026 tillsynsbegäran mail.docx", "A 22097-2026")</f>
        <v/>
      </c>
      <c r="AE94">
        <f>HYPERLINK("https://klasma.github.io/Logging_0881/fåglar/A 22097-2026 prioriterade fågelarter.docx", "A 22097-2026")</f>
        <v/>
      </c>
    </row>
    <row r="95" ht="15" customHeight="1">
      <c r="A95" t="inlineStr">
        <is>
          <t>A 22089-2026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46300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Talltita</t>
        </is>
      </c>
      <c r="W95">
        <f>HYPERLINK("https://klasma.github.io/Logging_0881/artfynd/A 22089-2026 artfynd.xlsx", "A 22089-2026")</f>
        <v/>
      </c>
      <c r="X95">
        <f>HYPERLINK("https://klasma.github.io/Logging_0881/kartor/A 22089-2026 karta.png", "A 22089-2026")</f>
        <v/>
      </c>
      <c r="Y95">
        <f>HYPERLINK("https://klasma.github.io/Logging_0881/kartor_geotiff/A 22089-2026 georefererad karta.tif", "A 22089-2026")</f>
        <v/>
      </c>
      <c r="AA95">
        <f>HYPERLINK("https://klasma.github.io/Logging_0881/klagomål/A 22089-2026 FSC-klagomål.docx", "A 22089-2026")</f>
        <v/>
      </c>
      <c r="AB95">
        <f>HYPERLINK("https://klasma.github.io/Logging_0881/klagomålsmail/A 22089-2026 FSC-klagomål mail.docx", "A 22089-2026")</f>
        <v/>
      </c>
      <c r="AC95">
        <f>HYPERLINK("https://klasma.github.io/Logging_0881/tillsyn/A 22089-2026 tillsynsbegäran.docx", "A 22089-2026")</f>
        <v/>
      </c>
      <c r="AD95">
        <f>HYPERLINK("https://klasma.github.io/Logging_0881/tillsynsmail/A 22089-2026 tillsynsbegäran mail.docx", "A 22089-2026")</f>
        <v/>
      </c>
      <c r="AE95">
        <f>HYPERLINK("https://klasma.github.io/Logging_0881/fåglar/A 22089-2026 prioriterade fågelarter.docx", "A 22089-2026")</f>
        <v/>
      </c>
    </row>
    <row r="96" ht="15" customHeight="1">
      <c r="A96" t="inlineStr">
        <is>
          <t>A 22086-2026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46300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Talltita</t>
        </is>
      </c>
      <c r="W96">
        <f>HYPERLINK("https://klasma.github.io/Logging_0881/artfynd/A 22086-2026 artfynd.xlsx", "A 22086-2026")</f>
        <v/>
      </c>
      <c r="X96">
        <f>HYPERLINK("https://klasma.github.io/Logging_0881/kartor/A 22086-2026 karta.png", "A 22086-2026")</f>
        <v/>
      </c>
      <c r="Y96">
        <f>HYPERLINK("https://klasma.github.io/Logging_0881/kartor_geotiff/A 22086-2026 georefererad karta.tif", "A 22086-2026")</f>
        <v/>
      </c>
      <c r="AA96">
        <f>HYPERLINK("https://klasma.github.io/Logging_0881/klagomål/A 22086-2026 FSC-klagomål.docx", "A 22086-2026")</f>
        <v/>
      </c>
      <c r="AB96">
        <f>HYPERLINK("https://klasma.github.io/Logging_0881/klagomålsmail/A 22086-2026 FSC-klagomål mail.docx", "A 22086-2026")</f>
        <v/>
      </c>
      <c r="AC96">
        <f>HYPERLINK("https://klasma.github.io/Logging_0881/tillsyn/A 22086-2026 tillsynsbegäran.docx", "A 22086-2026")</f>
        <v/>
      </c>
      <c r="AD96">
        <f>HYPERLINK("https://klasma.github.io/Logging_0881/tillsynsmail/A 22086-2026 tillsynsbegäran mail.docx", "A 22086-2026")</f>
        <v/>
      </c>
      <c r="AE96">
        <f>HYPERLINK("https://klasma.github.io/Logging_0881/fåglar/A 22086-2026 prioriterade fågelarter.docx", "A 22086-2026")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46300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27346-2023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46300</v>
      </c>
      <c r="F98" t="inlineStr">
        <is>
          <t>KALMAR LÄN</t>
        </is>
      </c>
      <c r="G98" t="inlineStr">
        <is>
          <t>NYBRO</t>
        </is>
      </c>
      <c r="I98" t="n">
        <v>1.2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HYPERLINK("https://klasma.github.io/Logging_0881/artfynd/A 27346-2023 artfynd.xlsx", "A 27346-2023")</f>
        <v/>
      </c>
      <c r="X98">
        <f>HYPERLINK("https://klasma.github.io/Logging_0881/kartor/A 27346-2023 karta.png", "A 27346-2023")</f>
        <v/>
      </c>
      <c r="Y98">
        <f>HYPERLINK("https://klasma.github.io/Logging_0881/kartor_geotiff/A 27346-2023 georefererad karta.tif", "A 27346-2023")</f>
        <v/>
      </c>
      <c r="AA98">
        <f>HYPERLINK("https://klasma.github.io/Logging_0881/klagomål/A 27346-2023 FSC-klagomål.docx", "A 27346-2023")</f>
        <v/>
      </c>
      <c r="AB98">
        <f>HYPERLINK("https://klasma.github.io/Logging_0881/klagomålsmail/A 27346-2023 FSC-klagomål mail.docx", "A 27346-2023")</f>
        <v/>
      </c>
      <c r="AC98">
        <f>HYPERLINK("https://klasma.github.io/Logging_0881/tillsyn/A 27346-2023 tillsynsbegäran.docx", "A 27346-2023")</f>
        <v/>
      </c>
      <c r="AD98">
        <f>HYPERLINK("https://klasma.github.io/Logging_0881/tillsynsmail/A 27346-2023 tillsynsbegäran mail.docx", "A 27346-2023")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46300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Blåmossa</t>
        </is>
      </c>
      <c r="W99">
        <f>HYPERLINK("https://klasma.github.io/Logging_0881/artfynd/A 26463-2026 artfynd.xlsx", "A 26463-2026")</f>
        <v/>
      </c>
      <c r="X99">
        <f>HYPERLINK("https://klasma.github.io/Logging_0881/kartor/A 26463-2026 karta.png", "A 26463-2026")</f>
        <v/>
      </c>
      <c r="Y99">
        <f>HYPERLINK("https://klasma.github.io/Logging_0881/kartor_geotiff/A 26463-2026 georefererad karta.tif", "A 26463-2026")</f>
        <v/>
      </c>
      <c r="AA99">
        <f>HYPERLINK("https://klasma.github.io/Logging_0881/klagomål/A 26463-2026 FSC-klagomål.docx", "A 26463-2026")</f>
        <v/>
      </c>
      <c r="AB99">
        <f>HYPERLINK("https://klasma.github.io/Logging_0881/klagomålsmail/A 26463-2026 FSC-klagomål mail.docx", "A 26463-2026")</f>
        <v/>
      </c>
      <c r="AC99">
        <f>HYPERLINK("https://klasma.github.io/Logging_0881/tillsyn/A 26463-2026 tillsynsbegäran.docx", "A 26463-2026")</f>
        <v/>
      </c>
      <c r="AD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46300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46300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27669-2026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46190</v>
      </c>
      <c r="E102" s="1" t="n">
        <v>46300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HYPERLINK("https://klasma.github.io/Logging_0881/artfynd/A 27669-2026 artfynd.xlsx", "A 27669-2026")</f>
        <v/>
      </c>
      <c r="X102">
        <f>HYPERLINK("https://klasma.github.io/Logging_0881/kartor/A 27669-2026 karta.png", "A 27669-2026")</f>
        <v/>
      </c>
      <c r="Y102">
        <f>HYPERLINK("https://klasma.github.io/Logging_0881/kartor_geotiff/A 27669-2026 georefererad karta.tif", "A 27669-2026")</f>
        <v/>
      </c>
      <c r="AA102">
        <f>HYPERLINK("https://klasma.github.io/Logging_0881/klagomål/A 27669-2026 FSC-klagomål.docx", "A 27669-2026")</f>
        <v/>
      </c>
      <c r="AB102">
        <f>HYPERLINK("https://klasma.github.io/Logging_0881/klagomålsmail/A 27669-2026 FSC-klagomål mail.docx", "A 27669-2026")</f>
        <v/>
      </c>
      <c r="AC102">
        <f>HYPERLINK("https://klasma.github.io/Logging_0881/tillsyn/A 27669-2026 tillsynsbegäran.docx", "A 27669-2026")</f>
        <v/>
      </c>
      <c r="AD102">
        <f>HYPERLINK("https://klasma.github.io/Logging_0881/tillsynsmail/A 27669-2026 tillsynsbegäran mail.docx", "A 27669-2026")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46300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46300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46300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46300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46300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46300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46300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46300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46300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22127-2026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46300</v>
      </c>
      <c r="F112" t="inlineStr">
        <is>
          <t>KALMAR LÄN</t>
        </is>
      </c>
      <c r="G112" t="inlineStr">
        <is>
          <t>NYBRO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HYPERLINK("https://klasma.github.io/Logging_0881/artfynd/A 22127-2026 artfynd.xlsx", "A 22127-2026")</f>
        <v/>
      </c>
      <c r="X112">
        <f>HYPERLINK("https://klasma.github.io/Logging_0881/kartor/A 22127-2026 karta.png", "A 22127-2026")</f>
        <v/>
      </c>
      <c r="Y112">
        <f>HYPERLINK("https://klasma.github.io/Logging_0881/kartor_geotiff/A 22127-2026 georefererad karta.tif", "A 22127-2026")</f>
        <v/>
      </c>
      <c r="AA112">
        <f>HYPERLINK("https://klasma.github.io/Logging_0881/klagomål/A 22127-2026 FSC-klagomål.docx", "A 22127-2026")</f>
        <v/>
      </c>
      <c r="AB112">
        <f>HYPERLINK("https://klasma.github.io/Logging_0881/klagomålsmail/A 22127-2026 FSC-klagomål mail.docx", "A 22127-2026")</f>
        <v/>
      </c>
      <c r="AC112">
        <f>HYPERLINK("https://klasma.github.io/Logging_0881/tillsyn/A 22127-2026 tillsynsbegäran.docx", "A 22127-2026")</f>
        <v/>
      </c>
      <c r="AD112">
        <f>HYPERLINK("https://klasma.github.io/Logging_0881/tillsynsmail/A 22127-2026 tillsynsbegäran mail.docx", "A 22127-2026")</f>
        <v/>
      </c>
      <c r="AE112">
        <f>HYPERLINK("https://klasma.github.io/Logging_0881/fåglar/A 22127-2026 prioriterade fågelarter.docx", "A 22127-2026")</f>
        <v/>
      </c>
    </row>
    <row r="113" ht="15" customHeight="1">
      <c r="A113" t="inlineStr">
        <is>
          <t>A 34361-2026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46254</v>
      </c>
      <c r="E113" s="1" t="n">
        <v>46300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9.5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HYPERLINK("https://klasma.github.io/Logging_0881/artfynd/A 34361-2026 artfynd.xlsx", "A 34361-2026")</f>
        <v/>
      </c>
      <c r="X113">
        <f>HYPERLINK("https://klasma.github.io/Logging_0881/kartor/A 34361-2026 karta.png", "A 34361-2026")</f>
        <v/>
      </c>
      <c r="Y113">
        <f>HYPERLINK("https://klasma.github.io/Logging_0881/kartor_geotiff/A 34361-2026 georefererad karta.tif", "A 34361-2026")</f>
        <v/>
      </c>
      <c r="AA113">
        <f>HYPERLINK("https://klasma.github.io/Logging_0881/klagomål/A 34361-2026 FSC-klagomål.docx", "A 34361-2026")</f>
        <v/>
      </c>
      <c r="AB113">
        <f>HYPERLINK("https://klasma.github.io/Logging_0881/klagomålsmail/A 34361-2026 FSC-klagomål mail.docx", "A 34361-2026")</f>
        <v/>
      </c>
      <c r="AC113">
        <f>HYPERLINK("https://klasma.github.io/Logging_0881/tillsyn/A 34361-2026 tillsynsbegäran.docx", "A 34361-2026")</f>
        <v/>
      </c>
      <c r="AD113">
        <f>HYPERLINK("https://klasma.github.io/Logging_0881/tillsynsmail/A 34361-2026 tillsynsbegäran mail.docx", "A 34361-2026")</f>
        <v/>
      </c>
      <c r="AE113">
        <f>HYPERLINK("https://klasma.github.io/Logging_0881/fåglar/A 34361-2026 prioriterade fågelarter.docx", "A 34361-2026")</f>
        <v/>
      </c>
    </row>
    <row r="114" ht="15" customHeight="1">
      <c r="A114" t="inlineStr">
        <is>
          <t>A 35388-2022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46300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Motaggsvamp</t>
        </is>
      </c>
      <c r="W114">
        <f>HYPERLINK("https://klasma.github.io/Logging_0881/artfynd/A 35388-2022 artfynd.xlsx", "A 35388-2022")</f>
        <v/>
      </c>
      <c r="X114">
        <f>HYPERLINK("https://klasma.github.io/Logging_0881/kartor/A 35388-2022 karta.png", "A 35388-2022")</f>
        <v/>
      </c>
      <c r="Y114">
        <f>HYPERLINK("https://klasma.github.io/Logging_0881/kartor_geotiff/A 35388-2022 georefererad karta.tif", "A 35388-2022")</f>
        <v/>
      </c>
      <c r="AA114">
        <f>HYPERLINK("https://klasma.github.io/Logging_0881/klagomål/A 35388-2022 FSC-klagomål.docx", "A 35388-2022")</f>
        <v/>
      </c>
      <c r="AB114">
        <f>HYPERLINK("https://klasma.github.io/Logging_0881/klagomålsmail/A 35388-2022 FSC-klagomål mail.docx", "A 35388-2022")</f>
        <v/>
      </c>
      <c r="AC114">
        <f>HYPERLINK("https://klasma.github.io/Logging_0881/tillsyn/A 35388-2022 tillsynsbegäran.docx", "A 35388-2022")</f>
        <v/>
      </c>
      <c r="AD114">
        <f>HYPERLINK("https://klasma.github.io/Logging_0881/tillsynsmail/A 35388-2022 tillsynsbegäran mail.docx", "A 35388-2022")</f>
        <v/>
      </c>
    </row>
    <row r="115" ht="15" customHeight="1">
      <c r="A115" t="inlineStr">
        <is>
          <t>A 12323-2025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46300</v>
      </c>
      <c r="F115" t="inlineStr">
        <is>
          <t>KALMAR LÄN</t>
        </is>
      </c>
      <c r="G115" t="inlineStr">
        <is>
          <t>NYBRO</t>
        </is>
      </c>
      <c r="I115" t="n">
        <v>14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HYPERLINK("https://klasma.github.io/Logging_0881/artfynd/A 12323-2025 artfynd.xlsx", "A 12323-2025")</f>
        <v/>
      </c>
      <c r="X115">
        <f>HYPERLINK("https://klasma.github.io/Logging_0881/kartor/A 12323-2025 karta.png", "A 12323-2025")</f>
        <v/>
      </c>
      <c r="Y115">
        <f>HYPERLINK("https://klasma.github.io/Logging_0881/kartor_geotiff/A 12323-2025 georefererad karta.tif", "A 12323-2025")</f>
        <v/>
      </c>
      <c r="AA115">
        <f>HYPERLINK("https://klasma.github.io/Logging_0881/klagomål/A 12323-2025 FSC-klagomål.docx", "A 12323-2025")</f>
        <v/>
      </c>
      <c r="AB115">
        <f>HYPERLINK("https://klasma.github.io/Logging_0881/klagomålsmail/A 12323-2025 FSC-klagomål mail.docx", "A 12323-2025")</f>
        <v/>
      </c>
      <c r="AC115">
        <f>HYPERLINK("https://klasma.github.io/Logging_0881/tillsyn/A 12323-2025 tillsynsbegäran.docx", "A 12323-2025")</f>
        <v/>
      </c>
      <c r="AD115">
        <f>HYPERLINK("https://klasma.github.io/Logging_0881/tillsynsmail/A 12323-2025 tillsynsbegäran mail.docx", "A 12323-2025")</f>
        <v/>
      </c>
      <c r="AE115">
        <f>HYPERLINK("https://klasma.github.io/Logging_0881/fåglar/A 12323-2025 prioriterade fågelarter.docx", "A 12323-2025")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46300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46300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46300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46300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t="n">
        <v>0</v>
      </c>
      <c r="V119" s="2" t="inlineStr">
        <is>
          <t>Knärot</t>
        </is>
      </c>
      <c r="W119">
        <f>HYPERLINK("https://klasma.github.io/Logging_0881/artfynd/A 60036-2022 artfynd.xlsx", "A 60036-2022")</f>
        <v/>
      </c>
      <c r="X119">
        <f>HYPERLINK("https://klasma.github.io/Logging_0881/kartor/A 60036-2022 karta.png", "A 60036-2022")</f>
        <v/>
      </c>
      <c r="Y119">
        <f>HYPERLINK("https://klasma.github.io/Logging_0881/kartor_geotiff/A 60036-2022 georefererad karta.tif", "A 60036-2022")</f>
        <v/>
      </c>
      <c r="Z119">
        <f>HYPERLINK("https://klasma.github.io/Logging_0881/knärot/A 60036-2022 karta knärot.png", "A 60036-2022")</f>
        <v/>
      </c>
      <c r="AA119">
        <f>HYPERLINK("https://klasma.github.io/Logging_0881/klagomål/A 60036-2022 FSC-klagomål.docx", "A 60036-2022")</f>
        <v/>
      </c>
      <c r="AB119">
        <f>HYPERLINK("https://klasma.github.io/Logging_0881/klagomålsmail/A 60036-2022 FSC-klagomål mail.docx", "A 60036-2022")</f>
        <v/>
      </c>
      <c r="AC119">
        <f>HYPERLINK("https://klasma.github.io/Logging_0881/tillsyn/A 60036-2022 tillsynsbegäran.docx", "A 60036-2022")</f>
        <v/>
      </c>
      <c r="AD119">
        <f>HYPERLINK("https://klasma.github.io/Logging_0881/tillsynsmail/A 60036-2022 tillsynsbegäran mail.docx", "A 60036-2022")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46300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46300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46300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46300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46300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46300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46300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46300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46300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46300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46300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46300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46300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46300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46300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46300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46300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46300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46300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46300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46300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46300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46300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46300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46300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46300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46300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46300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46300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46300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46300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46300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46300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46300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46300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46300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46300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46300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46300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46300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46300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46300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46300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46300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46300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46300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46300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46300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46300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46300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46300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46300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46300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46300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46300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46300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46300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46300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46300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46300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46300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46300</v>
      </c>
      <c r="F181" t="inlineStr">
        <is>
          <t>KALMAR LÄN</t>
        </is>
      </c>
      <c r="G181" t="inlineStr">
        <is>
          <t>NYBRO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46300</v>
      </c>
      <c r="F182" t="inlineStr">
        <is>
          <t>KALMAR LÄN</t>
        </is>
      </c>
      <c r="G182" t="inlineStr">
        <is>
          <t>NYBRO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46300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46300</v>
      </c>
      <c r="F184" t="inlineStr">
        <is>
          <t>KALMAR LÄN</t>
        </is>
      </c>
      <c r="G184" t="inlineStr">
        <is>
          <t>NYBRO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45488</v>
      </c>
      <c r="E185" s="1" t="n">
        <v>46300</v>
      </c>
      <c r="F185" t="inlineStr">
        <is>
          <t>KALMAR LÄN</t>
        </is>
      </c>
      <c r="G185" t="inlineStr">
        <is>
          <t>NYBRO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46300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46300</v>
      </c>
      <c r="F187" t="inlineStr">
        <is>
          <t>KALMAR LÄN</t>
        </is>
      </c>
      <c r="G187" t="inlineStr">
        <is>
          <t>NYBRO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46300</v>
      </c>
      <c r="F188" t="inlineStr">
        <is>
          <t>KALMAR LÄN</t>
        </is>
      </c>
      <c r="G188" t="inlineStr">
        <is>
          <t>NYBRO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46300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46300</v>
      </c>
      <c r="F190" t="inlineStr">
        <is>
          <t>KALMAR LÄN</t>
        </is>
      </c>
      <c r="G190" t="inlineStr">
        <is>
          <t>NYBRO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46300</v>
      </c>
      <c r="F191" t="inlineStr">
        <is>
          <t>KALMAR LÄN</t>
        </is>
      </c>
      <c r="G191" t="inlineStr">
        <is>
          <t>NYBRO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44819</v>
      </c>
      <c r="E192" s="1" t="n">
        <v>46300</v>
      </c>
      <c r="F192" t="inlineStr">
        <is>
          <t>KALMAR LÄN</t>
        </is>
      </c>
      <c r="G192" t="inlineStr">
        <is>
          <t>NYBRO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46300</v>
      </c>
      <c r="F193" t="inlineStr">
        <is>
          <t>KALMAR LÄN</t>
        </is>
      </c>
      <c r="G193" t="inlineStr">
        <is>
          <t>NYBRO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45123</v>
      </c>
      <c r="E194" s="1" t="n">
        <v>46300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46300</v>
      </c>
      <c r="F195" t="inlineStr">
        <is>
          <t>KALMAR LÄN</t>
        </is>
      </c>
      <c r="G195" t="inlineStr">
        <is>
          <t>NYBRO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46300</v>
      </c>
      <c r="F196" t="inlineStr">
        <is>
          <t>KALMAR LÄN</t>
        </is>
      </c>
      <c r="G196" t="inlineStr">
        <is>
          <t>NYBRO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46300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46300</v>
      </c>
      <c r="F198" t="inlineStr">
        <is>
          <t>KALMAR LÄN</t>
        </is>
      </c>
      <c r="G198" t="inlineStr">
        <is>
          <t>NYBRO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46300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45606</v>
      </c>
      <c r="E200" s="1" t="n">
        <v>46300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46300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44544</v>
      </c>
      <c r="E202" s="1" t="n">
        <v>46300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46300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46300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46300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46300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46300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19244-2022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44692</v>
      </c>
      <c r="E208" s="1" t="n">
        <v>46300</v>
      </c>
      <c r="F208" t="inlineStr">
        <is>
          <t>KALMAR LÄN</t>
        </is>
      </c>
      <c r="G208" t="inlineStr">
        <is>
          <t>NYBRO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46300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46300</v>
      </c>
      <c r="F210" t="inlineStr">
        <is>
          <t>KALMAR LÄN</t>
        </is>
      </c>
      <c r="G210" t="inlineStr">
        <is>
          <t>NYBRO</t>
        </is>
      </c>
      <c r="H210" t="inlineStr">
        <is>
          <t>Kyrkan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46300</v>
      </c>
      <c r="F211" t="inlineStr">
        <is>
          <t>KALMAR LÄN</t>
        </is>
      </c>
      <c r="G211" t="inlineStr">
        <is>
          <t>NYBRO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46300</v>
      </c>
      <c r="F212" t="inlineStr">
        <is>
          <t>KALMAR LÄN</t>
        </is>
      </c>
      <c r="G212" t="inlineStr">
        <is>
          <t>NYBRO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46300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46300</v>
      </c>
      <c r="F214" t="inlineStr">
        <is>
          <t>KALMAR LÄN</t>
        </is>
      </c>
      <c r="G214" t="inlineStr">
        <is>
          <t>NYBRO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46300</v>
      </c>
      <c r="F215" t="inlineStr">
        <is>
          <t>KALMAR LÄN</t>
        </is>
      </c>
      <c r="G215" t="inlineStr">
        <is>
          <t>NYBRO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46300</v>
      </c>
      <c r="F216" t="inlineStr">
        <is>
          <t>KALMAR LÄN</t>
        </is>
      </c>
      <c r="G216" t="inlineStr">
        <is>
          <t>NYBRO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46300</v>
      </c>
      <c r="F217" t="inlineStr">
        <is>
          <t>KALMAR LÄN</t>
        </is>
      </c>
      <c r="G217" t="inlineStr">
        <is>
          <t>NYBRO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46300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46300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45534</v>
      </c>
      <c r="E220" s="1" t="n">
        <v>46300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46300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46300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46300</v>
      </c>
      <c r="F223" t="inlineStr">
        <is>
          <t>KALMAR LÄN</t>
        </is>
      </c>
      <c r="G223" t="inlineStr">
        <is>
          <t>NYBRO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46300</v>
      </c>
      <c r="F224" t="inlineStr">
        <is>
          <t>KALMAR LÄN</t>
        </is>
      </c>
      <c r="G224" t="inlineStr">
        <is>
          <t>NYBRO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46300</v>
      </c>
      <c r="F225" t="inlineStr">
        <is>
          <t>KALMAR LÄN</t>
        </is>
      </c>
      <c r="G225" t="inlineStr">
        <is>
          <t>NYBRO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46300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45367</v>
      </c>
      <c r="E227" s="1" t="n">
        <v>46300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44982</v>
      </c>
      <c r="E228" s="1" t="n">
        <v>46300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46300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46300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46300</v>
      </c>
      <c r="F231" t="inlineStr">
        <is>
          <t>KALMAR LÄN</t>
        </is>
      </c>
      <c r="G231" t="inlineStr">
        <is>
          <t>NYBRO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46300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46300</v>
      </c>
      <c r="F233" t="inlineStr">
        <is>
          <t>KALMAR LÄN</t>
        </is>
      </c>
      <c r="G233" t="inlineStr">
        <is>
          <t>NYBRO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46300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46300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46300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46300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46300</v>
      </c>
      <c r="F238" t="inlineStr">
        <is>
          <t>KALMAR LÄN</t>
        </is>
      </c>
      <c r="G238" t="inlineStr">
        <is>
          <t>NYBRO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46300</v>
      </c>
      <c r="F239" t="inlineStr">
        <is>
          <t>KALMAR LÄN</t>
        </is>
      </c>
      <c r="G239" t="inlineStr">
        <is>
          <t>NYBRO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46300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11968-2025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45728</v>
      </c>
      <c r="E241" s="1" t="n">
        <v>46300</v>
      </c>
      <c r="F241" t="inlineStr">
        <is>
          <t>KALMAR LÄN</t>
        </is>
      </c>
      <c r="G241" t="inlineStr">
        <is>
          <t>NYBRO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46300</v>
      </c>
      <c r="F242" t="inlineStr">
        <is>
          <t>KALMAR LÄN</t>
        </is>
      </c>
      <c r="G242" t="inlineStr">
        <is>
          <t>NYBRO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46300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46300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46300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44909</v>
      </c>
      <c r="E246" s="1" t="n">
        <v>46300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46300</v>
      </c>
      <c r="F247" t="inlineStr">
        <is>
          <t>KALMAR LÄN</t>
        </is>
      </c>
      <c r="G247" t="inlineStr">
        <is>
          <t>NYBRO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46300</v>
      </c>
      <c r="F248" t="inlineStr">
        <is>
          <t>KALMAR LÄN</t>
        </is>
      </c>
      <c r="G248" t="inlineStr">
        <is>
          <t>NYBRO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46300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59687-2021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46300</v>
      </c>
      <c r="F250" t="inlineStr">
        <is>
          <t>KALMAR LÄN</t>
        </is>
      </c>
      <c r="G250" t="inlineStr">
        <is>
          <t>NYBRO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46300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46300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46300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44594</v>
      </c>
      <c r="E254" s="1" t="n">
        <v>46300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46300</v>
      </c>
      <c r="F255" t="inlineStr">
        <is>
          <t>KALMAR LÄN</t>
        </is>
      </c>
      <c r="G255" t="inlineStr">
        <is>
          <t>NYBRO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46300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46300</v>
      </c>
      <c r="F257" t="inlineStr">
        <is>
          <t>KALMAR LÄN</t>
        </is>
      </c>
      <c r="G257" t="inlineStr">
        <is>
          <t>NYBRO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46300</v>
      </c>
      <c r="F258" t="inlineStr">
        <is>
          <t>KALMAR LÄN</t>
        </is>
      </c>
      <c r="G258" t="inlineStr">
        <is>
          <t>NYBRO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46300</v>
      </c>
      <c r="F259" t="inlineStr">
        <is>
          <t>KALMAR LÄN</t>
        </is>
      </c>
      <c r="G259" t="inlineStr">
        <is>
          <t>NYBRO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46300</v>
      </c>
      <c r="F260" t="inlineStr">
        <is>
          <t>KALMAR LÄN</t>
        </is>
      </c>
      <c r="G260" t="inlineStr">
        <is>
          <t>NYBRO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45149</v>
      </c>
      <c r="E261" s="1" t="n">
        <v>46300</v>
      </c>
      <c r="F261" t="inlineStr">
        <is>
          <t>KALMAR LÄN</t>
        </is>
      </c>
      <c r="G261" t="inlineStr">
        <is>
          <t>NYBRO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46300</v>
      </c>
      <c r="F262" t="inlineStr">
        <is>
          <t>KALMAR LÄN</t>
        </is>
      </c>
      <c r="G262" t="inlineStr">
        <is>
          <t>NYBRO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46300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46300</v>
      </c>
      <c r="F264" t="inlineStr">
        <is>
          <t>KALMAR LÄN</t>
        </is>
      </c>
      <c r="G264" t="inlineStr">
        <is>
          <t>NYBRO</t>
        </is>
      </c>
      <c r="H264" t="inlineStr">
        <is>
          <t>Kyrkan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46300</v>
      </c>
      <c r="F265" t="inlineStr">
        <is>
          <t>KALMAR LÄN</t>
        </is>
      </c>
      <c r="G265" t="inlineStr">
        <is>
          <t>NYBRO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43118-2022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46300</v>
      </c>
      <c r="F266" t="inlineStr">
        <is>
          <t>KALMAR LÄN</t>
        </is>
      </c>
      <c r="G266" t="inlineStr">
        <is>
          <t>NYBRO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45075</v>
      </c>
      <c r="E267" s="1" t="n">
        <v>46300</v>
      </c>
      <c r="F267" t="inlineStr">
        <is>
          <t>KALMAR LÄN</t>
        </is>
      </c>
      <c r="G267" t="inlineStr">
        <is>
          <t>NYBRO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46300</v>
      </c>
      <c r="F268" t="inlineStr">
        <is>
          <t>KALMAR LÄN</t>
        </is>
      </c>
      <c r="G268" t="inlineStr">
        <is>
          <t>NYBRO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46300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46300</v>
      </c>
      <c r="F270" t="inlineStr">
        <is>
          <t>KALMAR LÄN</t>
        </is>
      </c>
      <c r="G270" t="inlineStr">
        <is>
          <t>NYBRO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46300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46300</v>
      </c>
      <c r="F272" t="inlineStr">
        <is>
          <t>KALMAR LÄN</t>
        </is>
      </c>
      <c r="G272" t="inlineStr">
        <is>
          <t>NYBRO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46300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46300</v>
      </c>
      <c r="F274" t="inlineStr">
        <is>
          <t>KALMAR LÄN</t>
        </is>
      </c>
      <c r="G274" t="inlineStr">
        <is>
          <t>NYBRO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46300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46300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46300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34362-2024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45525</v>
      </c>
      <c r="E278" s="1" t="n">
        <v>46300</v>
      </c>
      <c r="F278" t="inlineStr">
        <is>
          <t>KALMAR LÄN</t>
        </is>
      </c>
      <c r="G278" t="inlineStr">
        <is>
          <t>NYBRO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46300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45049</v>
      </c>
      <c r="E280" s="1" t="n">
        <v>46300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46300</v>
      </c>
      <c r="F281" t="inlineStr">
        <is>
          <t>KALMAR LÄN</t>
        </is>
      </c>
      <c r="G281" t="inlineStr">
        <is>
          <t>NYBRO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45121</v>
      </c>
      <c r="E282" s="1" t="n">
        <v>46300</v>
      </c>
      <c r="F282" t="inlineStr">
        <is>
          <t>KALMAR LÄN</t>
        </is>
      </c>
      <c r="G282" t="inlineStr">
        <is>
          <t>NYBRO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46300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46300</v>
      </c>
      <c r="F284" t="inlineStr">
        <is>
          <t>KALMAR LÄN</t>
        </is>
      </c>
      <c r="G284" t="inlineStr">
        <is>
          <t>NYBRO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46300</v>
      </c>
      <c r="F285" t="inlineStr">
        <is>
          <t>KALMAR LÄN</t>
        </is>
      </c>
      <c r="G285" t="inlineStr">
        <is>
          <t>NYBRO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46300</v>
      </c>
      <c r="F286" t="inlineStr">
        <is>
          <t>KALMAR LÄN</t>
        </is>
      </c>
      <c r="G286" t="inlineStr">
        <is>
          <t>NYBRO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45346</v>
      </c>
      <c r="E287" s="1" t="n">
        <v>46300</v>
      </c>
      <c r="F287" t="inlineStr">
        <is>
          <t>KALMAR LÄN</t>
        </is>
      </c>
      <c r="G287" t="inlineStr">
        <is>
          <t>NYBRO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44992</v>
      </c>
      <c r="E288" s="1" t="n">
        <v>46300</v>
      </c>
      <c r="F288" t="inlineStr">
        <is>
          <t>KALMAR LÄN</t>
        </is>
      </c>
      <c r="G288" t="inlineStr">
        <is>
          <t>NYBRO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45409</v>
      </c>
      <c r="E289" s="1" t="n">
        <v>46300</v>
      </c>
      <c r="F289" t="inlineStr">
        <is>
          <t>KALMAR LÄN</t>
        </is>
      </c>
      <c r="G289" t="inlineStr">
        <is>
          <t>NYBRO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46064</v>
      </c>
      <c r="E290" s="1" t="n">
        <v>46300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46300</v>
      </c>
      <c r="F291" t="inlineStr">
        <is>
          <t>KALMAR LÄN</t>
        </is>
      </c>
      <c r="G291" t="inlineStr">
        <is>
          <t>NYBRO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46300</v>
      </c>
      <c r="F292" t="inlineStr">
        <is>
          <t>KALMAR LÄN</t>
        </is>
      </c>
      <c r="G292" t="inlineStr">
        <is>
          <t>NYBRO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44690</v>
      </c>
      <c r="E293" s="1" t="n">
        <v>46300</v>
      </c>
      <c r="F293" t="inlineStr">
        <is>
          <t>KALMAR LÄN</t>
        </is>
      </c>
      <c r="G293" t="inlineStr">
        <is>
          <t>NYBRO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46300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32048-2022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44778</v>
      </c>
      <c r="E295" s="1" t="n">
        <v>46300</v>
      </c>
      <c r="F295" t="inlineStr">
        <is>
          <t>KALMAR LÄN</t>
        </is>
      </c>
      <c r="G295" t="inlineStr">
        <is>
          <t>NYBRO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46300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8883-2026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46067</v>
      </c>
      <c r="E297" s="1" t="n">
        <v>46300</v>
      </c>
      <c r="F297" t="inlineStr">
        <is>
          <t>KALMAR LÄN</t>
        </is>
      </c>
      <c r="G297" t="inlineStr">
        <is>
          <t>NYBRO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49338-2025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45938</v>
      </c>
      <c r="E298" s="1" t="n">
        <v>46300</v>
      </c>
      <c r="F298" t="inlineStr">
        <is>
          <t>KALMAR LÄN</t>
        </is>
      </c>
      <c r="G298" t="inlineStr">
        <is>
          <t>NYBRO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45664</v>
      </c>
      <c r="E299" s="1" t="n">
        <v>46300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46300</v>
      </c>
      <c r="F300" t="inlineStr">
        <is>
          <t>KALMAR LÄN</t>
        </is>
      </c>
      <c r="G300" t="inlineStr">
        <is>
          <t>NYBRO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46300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46300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46300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46300</v>
      </c>
      <c r="F304" t="inlineStr">
        <is>
          <t>KALMAR LÄN</t>
        </is>
      </c>
      <c r="G304" t="inlineStr">
        <is>
          <t>NYBRO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46300</v>
      </c>
      <c r="F305" t="inlineStr">
        <is>
          <t>KALMAR LÄN</t>
        </is>
      </c>
      <c r="G305" t="inlineStr">
        <is>
          <t>NYBRO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46300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44959</v>
      </c>
      <c r="E307" s="1" t="n">
        <v>46300</v>
      </c>
      <c r="F307" t="inlineStr">
        <is>
          <t>KALMAR LÄN</t>
        </is>
      </c>
      <c r="G307" t="inlineStr">
        <is>
          <t>NYBRO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46300</v>
      </c>
      <c r="F308" t="inlineStr">
        <is>
          <t>KALMAR LÄN</t>
        </is>
      </c>
      <c r="G308" t="inlineStr">
        <is>
          <t>NYBRO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46300</v>
      </c>
      <c r="F309" t="inlineStr">
        <is>
          <t>KALMAR LÄN</t>
        </is>
      </c>
      <c r="G309" t="inlineStr">
        <is>
          <t>NYBRO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46300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46300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46300</v>
      </c>
      <c r="F312" t="inlineStr">
        <is>
          <t>KALMAR LÄN</t>
        </is>
      </c>
      <c r="G312" t="inlineStr">
        <is>
          <t>NYBRO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46300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46300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46300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46300</v>
      </c>
      <c r="F316" t="inlineStr">
        <is>
          <t>KALMAR LÄN</t>
        </is>
      </c>
      <c r="G316" t="inlineStr">
        <is>
          <t>NYBRO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46300</v>
      </c>
      <c r="F317" t="inlineStr">
        <is>
          <t>KALMAR LÄN</t>
        </is>
      </c>
      <c r="G317" t="inlineStr">
        <is>
          <t>NYBRO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46300</v>
      </c>
      <c r="F318" t="inlineStr">
        <is>
          <t>KALMAR LÄN</t>
        </is>
      </c>
      <c r="G318" t="inlineStr">
        <is>
          <t>NYBRO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44915</v>
      </c>
      <c r="E319" s="1" t="n">
        <v>46300</v>
      </c>
      <c r="F319" t="inlineStr">
        <is>
          <t>KALMAR LÄN</t>
        </is>
      </c>
      <c r="G319" t="inlineStr">
        <is>
          <t>NYBRO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45394</v>
      </c>
      <c r="E320" s="1" t="n">
        <v>46300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45525</v>
      </c>
      <c r="E321" s="1" t="n">
        <v>46300</v>
      </c>
      <c r="F321" t="inlineStr">
        <is>
          <t>KALMAR LÄN</t>
        </is>
      </c>
      <c r="G321" t="inlineStr">
        <is>
          <t>NYBRO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44721</v>
      </c>
      <c r="E322" s="1" t="n">
        <v>46300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46300</v>
      </c>
      <c r="F323" t="inlineStr">
        <is>
          <t>KALMAR LÄN</t>
        </is>
      </c>
      <c r="G323" t="inlineStr">
        <is>
          <t>NYBRO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46300</v>
      </c>
      <c r="F324" t="inlineStr">
        <is>
          <t>KALMAR LÄN</t>
        </is>
      </c>
      <c r="G324" t="inlineStr">
        <is>
          <t>NYBRO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46300</v>
      </c>
      <c r="F325" t="inlineStr">
        <is>
          <t>KALMAR LÄN</t>
        </is>
      </c>
      <c r="G325" t="inlineStr">
        <is>
          <t>NYBRO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46300</v>
      </c>
      <c r="F326" t="inlineStr">
        <is>
          <t>KALMAR LÄN</t>
        </is>
      </c>
      <c r="G326" t="inlineStr">
        <is>
          <t>NYBRO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45368</v>
      </c>
      <c r="E327" s="1" t="n">
        <v>46300</v>
      </c>
      <c r="F327" t="inlineStr">
        <is>
          <t>KALMAR LÄN</t>
        </is>
      </c>
      <c r="G327" t="inlineStr">
        <is>
          <t>NYBRO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46300</v>
      </c>
      <c r="F328" t="inlineStr">
        <is>
          <t>KALMAR LÄN</t>
        </is>
      </c>
      <c r="G328" t="inlineStr">
        <is>
          <t>NYBRO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46300</v>
      </c>
      <c r="F329" t="inlineStr">
        <is>
          <t>KALMAR LÄN</t>
        </is>
      </c>
      <c r="G329" t="inlineStr">
        <is>
          <t>NYBRO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46300</v>
      </c>
      <c r="F330" t="inlineStr">
        <is>
          <t>KALMAR LÄN</t>
        </is>
      </c>
      <c r="G330" t="inlineStr">
        <is>
          <t>NYBRO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46300</v>
      </c>
      <c r="F331" t="inlineStr">
        <is>
          <t>KALMAR LÄN</t>
        </is>
      </c>
      <c r="G331" t="inlineStr">
        <is>
          <t>NYBRO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46300</v>
      </c>
      <c r="F332" t="inlineStr">
        <is>
          <t>KALMAR LÄN</t>
        </is>
      </c>
      <c r="G332" t="inlineStr">
        <is>
          <t>NYBRO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46300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46300</v>
      </c>
      <c r="F334" t="inlineStr">
        <is>
          <t>KALMAR LÄN</t>
        </is>
      </c>
      <c r="G334" t="inlineStr">
        <is>
          <t>NYBRO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46300</v>
      </c>
      <c r="F335" t="inlineStr">
        <is>
          <t>KALMAR LÄN</t>
        </is>
      </c>
      <c r="G335" t="inlineStr">
        <is>
          <t>NYBRO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46300</v>
      </c>
      <c r="F336" t="inlineStr">
        <is>
          <t>KALMAR LÄN</t>
        </is>
      </c>
      <c r="G336" t="inlineStr">
        <is>
          <t>NYBRO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46300</v>
      </c>
      <c r="F337" t="inlineStr">
        <is>
          <t>KALMAR LÄN</t>
        </is>
      </c>
      <c r="G337" t="inlineStr">
        <is>
          <t>NYBRO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46300</v>
      </c>
      <c r="F338" t="inlineStr">
        <is>
          <t>KALMAR LÄN</t>
        </is>
      </c>
      <c r="G338" t="inlineStr">
        <is>
          <t>NYBRO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46300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46300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46300</v>
      </c>
      <c r="F341" t="inlineStr">
        <is>
          <t>KALMAR LÄN</t>
        </is>
      </c>
      <c r="G341" t="inlineStr">
        <is>
          <t>NYBRO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46300</v>
      </c>
      <c r="F342" t="inlineStr">
        <is>
          <t>KALMAR LÄN</t>
        </is>
      </c>
      <c r="G342" t="inlineStr">
        <is>
          <t>NYBRO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60794-2021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46300</v>
      </c>
      <c r="F343" t="inlineStr">
        <is>
          <t>KALMAR LÄN</t>
        </is>
      </c>
      <c r="G343" t="inlineStr">
        <is>
          <t>NYBRO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46300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46300</v>
      </c>
      <c r="F345" t="inlineStr">
        <is>
          <t>KALMAR LÄN</t>
        </is>
      </c>
      <c r="G345" t="inlineStr">
        <is>
          <t>NYBRO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46300</v>
      </c>
      <c r="F346" t="inlineStr">
        <is>
          <t>KALMAR LÄN</t>
        </is>
      </c>
      <c r="G346" t="inlineStr">
        <is>
          <t>NYBRO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46300</v>
      </c>
      <c r="F347" t="inlineStr">
        <is>
          <t>KALMAR LÄN</t>
        </is>
      </c>
      <c r="G347" t="inlineStr">
        <is>
          <t>NYBRO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60896-2022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44914</v>
      </c>
      <c r="E348" s="1" t="n">
        <v>46300</v>
      </c>
      <c r="F348" t="inlineStr">
        <is>
          <t>KALMAR LÄN</t>
        </is>
      </c>
      <c r="G348" t="inlineStr">
        <is>
          <t>NYBRO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46300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46300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46300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46300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28149-2023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45096</v>
      </c>
      <c r="E353" s="1" t="n">
        <v>46300</v>
      </c>
      <c r="F353" t="inlineStr">
        <is>
          <t>KALMAR LÄN</t>
        </is>
      </c>
      <c r="G353" t="inlineStr">
        <is>
          <t>NYBRO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46300</v>
      </c>
      <c r="F354" t="inlineStr">
        <is>
          <t>KALMAR LÄN</t>
        </is>
      </c>
      <c r="G354" t="inlineStr">
        <is>
          <t>NYBRO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46300</v>
      </c>
      <c r="F355" t="inlineStr">
        <is>
          <t>KALMAR LÄN</t>
        </is>
      </c>
      <c r="G355" t="inlineStr">
        <is>
          <t>NYBRO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46300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46300</v>
      </c>
      <c r="F357" t="inlineStr">
        <is>
          <t>KALMAR LÄN</t>
        </is>
      </c>
      <c r="G357" t="inlineStr">
        <is>
          <t>NYBRO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46300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46300</v>
      </c>
      <c r="F359" t="inlineStr">
        <is>
          <t>KALMAR LÄN</t>
        </is>
      </c>
      <c r="G359" t="inlineStr">
        <is>
          <t>NYBRO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46300</v>
      </c>
      <c r="F360" t="inlineStr">
        <is>
          <t>KALMAR LÄN</t>
        </is>
      </c>
      <c r="G360" t="inlineStr">
        <is>
          <t>NYBRO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46300</v>
      </c>
      <c r="F361" t="inlineStr">
        <is>
          <t>KALMAR LÄN</t>
        </is>
      </c>
      <c r="G361" t="inlineStr">
        <is>
          <t>NYBRO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46300</v>
      </c>
      <c r="F362" t="inlineStr">
        <is>
          <t>KALMAR LÄN</t>
        </is>
      </c>
      <c r="G362" t="inlineStr">
        <is>
          <t>NYBRO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46300</v>
      </c>
      <c r="F363" t="inlineStr">
        <is>
          <t>KALMAR LÄN</t>
        </is>
      </c>
      <c r="G363" t="inlineStr">
        <is>
          <t>NYBRO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46300</v>
      </c>
      <c r="F364" t="inlineStr">
        <is>
          <t>KALMAR LÄN</t>
        </is>
      </c>
      <c r="G364" t="inlineStr">
        <is>
          <t>NYBRO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46300</v>
      </c>
      <c r="F365" t="inlineStr">
        <is>
          <t>KALMAR LÄN</t>
        </is>
      </c>
      <c r="G365" t="inlineStr">
        <is>
          <t>NYBRO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46300</v>
      </c>
      <c r="F366" t="inlineStr">
        <is>
          <t>KALMAR LÄN</t>
        </is>
      </c>
      <c r="G366" t="inlineStr">
        <is>
          <t>NYBRO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45987</v>
      </c>
      <c r="E367" s="1" t="n">
        <v>46300</v>
      </c>
      <c r="F367" t="inlineStr">
        <is>
          <t>KALMAR LÄN</t>
        </is>
      </c>
      <c r="G367" t="inlineStr">
        <is>
          <t>NYBRO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46300</v>
      </c>
      <c r="F368" t="inlineStr">
        <is>
          <t>KALMAR LÄN</t>
        </is>
      </c>
      <c r="G368" t="inlineStr">
        <is>
          <t>NYBRO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44832</v>
      </c>
      <c r="E369" s="1" t="n">
        <v>46300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46300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25717-2022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44733</v>
      </c>
      <c r="E371" s="1" t="n">
        <v>46300</v>
      </c>
      <c r="F371" t="inlineStr">
        <is>
          <t>KALMAR LÄN</t>
        </is>
      </c>
      <c r="G371" t="inlineStr">
        <is>
          <t>NYBRO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46300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46300</v>
      </c>
      <c r="F373" t="inlineStr">
        <is>
          <t>KALMAR LÄN</t>
        </is>
      </c>
      <c r="G373" t="inlineStr">
        <is>
          <t>NYBRO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46300</v>
      </c>
      <c r="F374" t="inlineStr">
        <is>
          <t>KALMAR LÄN</t>
        </is>
      </c>
      <c r="G374" t="inlineStr">
        <is>
          <t>NYBRO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46300</v>
      </c>
      <c r="F375" t="inlineStr">
        <is>
          <t>KALMAR LÄN</t>
        </is>
      </c>
      <c r="G375" t="inlineStr">
        <is>
          <t>NYBRO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46300</v>
      </c>
      <c r="F376" t="inlineStr">
        <is>
          <t>KALMAR LÄN</t>
        </is>
      </c>
      <c r="G376" t="inlineStr">
        <is>
          <t>NYBRO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46300</v>
      </c>
      <c r="F377" t="inlineStr">
        <is>
          <t>KALMAR LÄN</t>
        </is>
      </c>
      <c r="G377" t="inlineStr">
        <is>
          <t>NYBRO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44865</v>
      </c>
      <c r="E378" s="1" t="n">
        <v>46300</v>
      </c>
      <c r="F378" t="inlineStr">
        <is>
          <t>KALMAR LÄN</t>
        </is>
      </c>
      <c r="G378" t="inlineStr">
        <is>
          <t>NYBRO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46300</v>
      </c>
      <c r="F379" t="inlineStr">
        <is>
          <t>KALMAR LÄN</t>
        </is>
      </c>
      <c r="G379" t="inlineStr">
        <is>
          <t>NYBRO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46300</v>
      </c>
      <c r="F380" t="inlineStr">
        <is>
          <t>KALMAR LÄN</t>
        </is>
      </c>
      <c r="G380" t="inlineStr">
        <is>
          <t>NYBRO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46300</v>
      </c>
      <c r="F381" t="inlineStr">
        <is>
          <t>KALMAR LÄN</t>
        </is>
      </c>
      <c r="G381" t="inlineStr">
        <is>
          <t>NYBRO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46300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46300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46300</v>
      </c>
      <c r="F384" t="inlineStr">
        <is>
          <t>KALMAR LÄN</t>
        </is>
      </c>
      <c r="G384" t="inlineStr">
        <is>
          <t>NYBRO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46300</v>
      </c>
      <c r="F385" t="inlineStr">
        <is>
          <t>KALMAR LÄN</t>
        </is>
      </c>
      <c r="G385" t="inlineStr">
        <is>
          <t>NYBRO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46300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46300</v>
      </c>
      <c r="F387" t="inlineStr">
        <is>
          <t>KALMAR LÄN</t>
        </is>
      </c>
      <c r="G387" t="inlineStr">
        <is>
          <t>NYBRO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46300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46300</v>
      </c>
      <c r="F389" t="inlineStr">
        <is>
          <t>KALMAR LÄN</t>
        </is>
      </c>
      <c r="G389" t="inlineStr">
        <is>
          <t>NYBRO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46300</v>
      </c>
      <c r="F390" t="inlineStr">
        <is>
          <t>KALMAR LÄN</t>
        </is>
      </c>
      <c r="G390" t="inlineStr">
        <is>
          <t>NYBRO</t>
        </is>
      </c>
      <c r="H390" t="inlineStr">
        <is>
          <t>Kommuner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46300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46300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68345-2021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44528</v>
      </c>
      <c r="E393" s="1" t="n">
        <v>46300</v>
      </c>
      <c r="F393" t="inlineStr">
        <is>
          <t>KALMAR LÄN</t>
        </is>
      </c>
      <c r="G393" t="inlineStr">
        <is>
          <t>NYBRO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31540-2025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45833</v>
      </c>
      <c r="E394" s="1" t="n">
        <v>46300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46300</v>
      </c>
      <c r="F395" t="inlineStr">
        <is>
          <t>KALMAR LÄN</t>
        </is>
      </c>
      <c r="G395" t="inlineStr">
        <is>
          <t>NYBRO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46300</v>
      </c>
      <c r="F396" t="inlineStr">
        <is>
          <t>KALMAR LÄN</t>
        </is>
      </c>
      <c r="G396" t="inlineStr">
        <is>
          <t>NYBRO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46300</v>
      </c>
      <c r="F397" t="inlineStr">
        <is>
          <t>KALMAR LÄN</t>
        </is>
      </c>
      <c r="G397" t="inlineStr">
        <is>
          <t>NYBRO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54512-2023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45233</v>
      </c>
      <c r="E398" s="1" t="n">
        <v>46300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46300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46300</v>
      </c>
      <c r="F400" t="inlineStr">
        <is>
          <t>KALMAR LÄN</t>
        </is>
      </c>
      <c r="G400" t="inlineStr">
        <is>
          <t>NYBRO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46300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46300</v>
      </c>
      <c r="F402" t="inlineStr">
        <is>
          <t>KALMAR LÄN</t>
        </is>
      </c>
      <c r="G402" t="inlineStr">
        <is>
          <t>NYBRO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46300</v>
      </c>
      <c r="F403" t="inlineStr">
        <is>
          <t>KALMAR LÄN</t>
        </is>
      </c>
      <c r="G403" t="inlineStr">
        <is>
          <t>NYBRO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46300</v>
      </c>
      <c r="F404" t="inlineStr">
        <is>
          <t>KALMAR LÄN</t>
        </is>
      </c>
      <c r="G404" t="inlineStr">
        <is>
          <t>NYBRO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45834</v>
      </c>
      <c r="E405" s="1" t="n">
        <v>46300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46300</v>
      </c>
      <c r="F406" t="inlineStr">
        <is>
          <t>KALMAR LÄN</t>
        </is>
      </c>
      <c r="G406" t="inlineStr">
        <is>
          <t>NYBRO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45705</v>
      </c>
      <c r="E407" s="1" t="n">
        <v>46300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46300</v>
      </c>
      <c r="F408" t="inlineStr">
        <is>
          <t>KALMAR LÄN</t>
        </is>
      </c>
      <c r="G408" t="inlineStr">
        <is>
          <t>NYBRO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46300</v>
      </c>
      <c r="F409" t="inlineStr">
        <is>
          <t>KALMAR LÄN</t>
        </is>
      </c>
      <c r="G409" t="inlineStr">
        <is>
          <t>NYBRO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45834</v>
      </c>
      <c r="E410" s="1" t="n">
        <v>46300</v>
      </c>
      <c r="F410" t="inlineStr">
        <is>
          <t>KALMAR LÄN</t>
        </is>
      </c>
      <c r="G410" t="inlineStr">
        <is>
          <t>NYBRO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46300</v>
      </c>
      <c r="F411" t="inlineStr">
        <is>
          <t>KALMAR LÄN</t>
        </is>
      </c>
      <c r="G411" t="inlineStr">
        <is>
          <t>NYBRO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45649</v>
      </c>
      <c r="E412" s="1" t="n">
        <v>46300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46300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45213</v>
      </c>
      <c r="E414" s="1" t="n">
        <v>46300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44868</v>
      </c>
      <c r="E415" s="1" t="n">
        <v>46300</v>
      </c>
      <c r="F415" t="inlineStr">
        <is>
          <t>KALMAR LÄN</t>
        </is>
      </c>
      <c r="G415" t="inlineStr">
        <is>
          <t>NYBRO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46300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46300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46300</v>
      </c>
      <c r="F418" t="inlineStr">
        <is>
          <t>KALMAR LÄN</t>
        </is>
      </c>
      <c r="G418" t="inlineStr">
        <is>
          <t>NYBRO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46300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46300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46300</v>
      </c>
      <c r="F421" t="inlineStr">
        <is>
          <t>KALMAR LÄN</t>
        </is>
      </c>
      <c r="G421" t="inlineStr">
        <is>
          <t>NYBRO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46300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45837</v>
      </c>
      <c r="E423" s="1" t="n">
        <v>46300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45837</v>
      </c>
      <c r="E424" s="1" t="n">
        <v>46300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45551</v>
      </c>
      <c r="E425" s="1" t="n">
        <v>46300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45931</v>
      </c>
      <c r="E426" s="1" t="n">
        <v>46300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46300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46300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46300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46300</v>
      </c>
      <c r="F430" t="inlineStr">
        <is>
          <t>KALMAR LÄN</t>
        </is>
      </c>
      <c r="G430" t="inlineStr">
        <is>
          <t>NYBRO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46300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45616</v>
      </c>
      <c r="E432" s="1" t="n">
        <v>46300</v>
      </c>
      <c r="F432" t="inlineStr">
        <is>
          <t>KALMAR LÄN</t>
        </is>
      </c>
      <c r="G432" t="inlineStr">
        <is>
          <t>NYBRO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46300</v>
      </c>
      <c r="F433" t="inlineStr">
        <is>
          <t>KALMAR LÄN</t>
        </is>
      </c>
      <c r="G433" t="inlineStr">
        <is>
          <t>NYBRO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46300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46300</v>
      </c>
      <c r="F435" t="inlineStr">
        <is>
          <t>KALMAR LÄN</t>
        </is>
      </c>
      <c r="G435" t="inlineStr">
        <is>
          <t>NYBRO</t>
        </is>
      </c>
      <c r="H435" t="inlineStr">
        <is>
          <t>Kyrkan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46300</v>
      </c>
      <c r="F436" t="inlineStr">
        <is>
          <t>KALMAR LÄN</t>
        </is>
      </c>
      <c r="G436" t="inlineStr">
        <is>
          <t>NYBRO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46300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46300</v>
      </c>
      <c r="F438" t="inlineStr">
        <is>
          <t>KALMAR LÄN</t>
        </is>
      </c>
      <c r="G438" t="inlineStr">
        <is>
          <t>NYBRO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46300</v>
      </c>
      <c r="F439" t="inlineStr">
        <is>
          <t>KALMAR LÄN</t>
        </is>
      </c>
      <c r="G439" t="inlineStr">
        <is>
          <t>NYBRO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45846</v>
      </c>
      <c r="E440" s="1" t="n">
        <v>46300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46300</v>
      </c>
      <c r="F441" t="inlineStr">
        <is>
          <t>KALMAR LÄN</t>
        </is>
      </c>
      <c r="G441" t="inlineStr">
        <is>
          <t>NYBRO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46300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46300</v>
      </c>
      <c r="F443" t="inlineStr">
        <is>
          <t>KALMAR LÄN</t>
        </is>
      </c>
      <c r="G443" t="inlineStr">
        <is>
          <t>NYBRO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46300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46300</v>
      </c>
      <c r="F445" t="inlineStr">
        <is>
          <t>KALMAR LÄN</t>
        </is>
      </c>
      <c r="G445" t="inlineStr">
        <is>
          <t>NYBRO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46300</v>
      </c>
      <c r="F446" t="inlineStr">
        <is>
          <t>KALMAR LÄN</t>
        </is>
      </c>
      <c r="G446" t="inlineStr">
        <is>
          <t>NYBRO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46300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45679</v>
      </c>
      <c r="E448" s="1" t="n">
        <v>46300</v>
      </c>
      <c r="F448" t="inlineStr">
        <is>
          <t>KALMAR LÄN</t>
        </is>
      </c>
      <c r="G448" t="inlineStr">
        <is>
          <t>NYBRO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46300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46300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46300</v>
      </c>
      <c r="F451" t="inlineStr">
        <is>
          <t>KALMAR LÄN</t>
        </is>
      </c>
      <c r="G451" t="inlineStr">
        <is>
          <t>NYBRO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46300</v>
      </c>
      <c r="F452" t="inlineStr">
        <is>
          <t>KALMAR LÄN</t>
        </is>
      </c>
      <c r="G452" t="inlineStr">
        <is>
          <t>NYBRO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46300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46300</v>
      </c>
      <c r="F454" t="inlineStr">
        <is>
          <t>KALMAR LÄN</t>
        </is>
      </c>
      <c r="G454" t="inlineStr">
        <is>
          <t>NYBRO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46300</v>
      </c>
      <c r="F455" t="inlineStr">
        <is>
          <t>KALMAR LÄN</t>
        </is>
      </c>
      <c r="G455" t="inlineStr">
        <is>
          <t>NYBRO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46300</v>
      </c>
      <c r="F456" t="inlineStr">
        <is>
          <t>KALMAR LÄN</t>
        </is>
      </c>
      <c r="G456" t="inlineStr">
        <is>
          <t>NYBRO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46300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46300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45606</v>
      </c>
      <c r="E459" s="1" t="n">
        <v>46300</v>
      </c>
      <c r="F459" t="inlineStr">
        <is>
          <t>KALMAR LÄN</t>
        </is>
      </c>
      <c r="G459" t="inlineStr">
        <is>
          <t>NYBRO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46300</v>
      </c>
      <c r="F460" t="inlineStr">
        <is>
          <t>KALMAR LÄN</t>
        </is>
      </c>
      <c r="G460" t="inlineStr">
        <is>
          <t>NYBRO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46300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35635-2025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45859</v>
      </c>
      <c r="E462" s="1" t="n">
        <v>46300</v>
      </c>
      <c r="F462" t="inlineStr">
        <is>
          <t>KALMAR LÄN</t>
        </is>
      </c>
      <c r="G462" t="inlineStr">
        <is>
          <t>NYBRO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43909-2025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45914</v>
      </c>
      <c r="E463" s="1" t="n">
        <v>46300</v>
      </c>
      <c r="F463" t="inlineStr">
        <is>
          <t>KALMAR LÄN</t>
        </is>
      </c>
      <c r="G463" t="inlineStr">
        <is>
          <t>NYBRO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46300</v>
      </c>
      <c r="F464" t="inlineStr">
        <is>
          <t>KALMAR LÄN</t>
        </is>
      </c>
      <c r="G464" t="inlineStr">
        <is>
          <t>NYBRO</t>
        </is>
      </c>
      <c r="H464" t="inlineStr">
        <is>
          <t>Kyrkan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45856</v>
      </c>
      <c r="E465" s="1" t="n">
        <v>46300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46300</v>
      </c>
      <c r="F466" t="inlineStr">
        <is>
          <t>KALMAR LÄN</t>
        </is>
      </c>
      <c r="G466" t="inlineStr">
        <is>
          <t>NYBRO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46300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46300</v>
      </c>
      <c r="F468" t="inlineStr">
        <is>
          <t>KALMAR LÄN</t>
        </is>
      </c>
      <c r="G468" t="inlineStr">
        <is>
          <t>NYBRO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46300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45385</v>
      </c>
      <c r="E470" s="1" t="n">
        <v>46300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45862</v>
      </c>
      <c r="E471" s="1" t="n">
        <v>46300</v>
      </c>
      <c r="F471" t="inlineStr">
        <is>
          <t>KALMAR LÄN</t>
        </is>
      </c>
      <c r="G471" t="inlineStr">
        <is>
          <t>NYBRO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45011</v>
      </c>
      <c r="E472" s="1" t="n">
        <v>46300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46300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44645</v>
      </c>
      <c r="E474" s="1" t="n">
        <v>46300</v>
      </c>
      <c r="F474" t="inlineStr">
        <is>
          <t>KALMAR LÄN</t>
        </is>
      </c>
      <c r="G474" t="inlineStr">
        <is>
          <t>NYBRO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45820</v>
      </c>
      <c r="E475" s="1" t="n">
        <v>46300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46300</v>
      </c>
      <c r="F476" t="inlineStr">
        <is>
          <t>KALMAR LÄN</t>
        </is>
      </c>
      <c r="G476" t="inlineStr">
        <is>
          <t>NYBRO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46300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31222-2025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46300</v>
      </c>
      <c r="F478" t="inlineStr">
        <is>
          <t>KALMAR LÄN</t>
        </is>
      </c>
      <c r="G478" t="inlineStr">
        <is>
          <t>NYBRO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46300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46300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45887</v>
      </c>
      <c r="E481" s="1" t="n">
        <v>46300</v>
      </c>
      <c r="F481" t="inlineStr">
        <is>
          <t>KALMAR LÄN</t>
        </is>
      </c>
      <c r="G481" t="inlineStr">
        <is>
          <t>NYBRO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46300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46300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45055</v>
      </c>
      <c r="E484" s="1" t="n">
        <v>46300</v>
      </c>
      <c r="F484" t="inlineStr">
        <is>
          <t>KALMAR LÄN</t>
        </is>
      </c>
      <c r="G484" t="inlineStr">
        <is>
          <t>NYBRO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46300</v>
      </c>
      <c r="F485" t="inlineStr">
        <is>
          <t>KALMAR LÄN</t>
        </is>
      </c>
      <c r="G485" t="inlineStr">
        <is>
          <t>NYBRO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46300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46300</v>
      </c>
      <c r="F487" t="inlineStr">
        <is>
          <t>KALMAR LÄN</t>
        </is>
      </c>
      <c r="G487" t="inlineStr">
        <is>
          <t>NYBRO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46300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46300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46300</v>
      </c>
      <c r="F490" t="inlineStr">
        <is>
          <t>KALMAR LÄN</t>
        </is>
      </c>
      <c r="G490" t="inlineStr">
        <is>
          <t>NYBRO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16862-2024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45411</v>
      </c>
      <c r="E491" s="1" t="n">
        <v>46300</v>
      </c>
      <c r="F491" t="inlineStr">
        <is>
          <t>KALMAR LÄN</t>
        </is>
      </c>
      <c r="G491" t="inlineStr">
        <is>
          <t>NYBRO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45191</v>
      </c>
      <c r="E492" s="1" t="n">
        <v>46300</v>
      </c>
      <c r="F492" t="inlineStr">
        <is>
          <t>KALMAR LÄN</t>
        </is>
      </c>
      <c r="G492" t="inlineStr">
        <is>
          <t>NYBRO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46300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46300</v>
      </c>
      <c r="F494" t="inlineStr">
        <is>
          <t>KALMAR LÄN</t>
        </is>
      </c>
      <c r="G494" t="inlineStr">
        <is>
          <t>NYBRO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46300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46300</v>
      </c>
      <c r="F496" t="inlineStr">
        <is>
          <t>KALMAR LÄN</t>
        </is>
      </c>
      <c r="G496" t="inlineStr">
        <is>
          <t>NYBRO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46300</v>
      </c>
      <c r="F497" t="inlineStr">
        <is>
          <t>KALMAR LÄN</t>
        </is>
      </c>
      <c r="G497" t="inlineStr">
        <is>
          <t>NYBRO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46300</v>
      </c>
      <c r="F498" t="inlineStr">
        <is>
          <t>KALMAR LÄN</t>
        </is>
      </c>
      <c r="G498" t="inlineStr">
        <is>
          <t>NYBRO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45762</v>
      </c>
      <c r="E499" s="1" t="n">
        <v>46300</v>
      </c>
      <c r="F499" t="inlineStr">
        <is>
          <t>KALMAR LÄN</t>
        </is>
      </c>
      <c r="G499" t="inlineStr">
        <is>
          <t>NYBRO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46300</v>
      </c>
      <c r="F500" t="inlineStr">
        <is>
          <t>KALMAR LÄN</t>
        </is>
      </c>
      <c r="G500" t="inlineStr">
        <is>
          <t>NYBRO</t>
        </is>
      </c>
      <c r="H500" t="inlineStr">
        <is>
          <t>Kommuner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44938</v>
      </c>
      <c r="E501" s="1" t="n">
        <v>46300</v>
      </c>
      <c r="F501" t="inlineStr">
        <is>
          <t>KALMAR LÄN</t>
        </is>
      </c>
      <c r="G501" t="inlineStr">
        <is>
          <t>NYBRO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46300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41679-2024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46300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50938-2022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46300</v>
      </c>
      <c r="F504" t="inlineStr">
        <is>
          <t>KALMAR LÄN</t>
        </is>
      </c>
      <c r="G504" t="inlineStr">
        <is>
          <t>NYBRO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64453-2023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46300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46300</v>
      </c>
      <c r="F506" t="inlineStr">
        <is>
          <t>KALMAR LÄN</t>
        </is>
      </c>
      <c r="G506" t="inlineStr">
        <is>
          <t>NYBRO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45591</v>
      </c>
      <c r="E507" s="1" t="n">
        <v>46300</v>
      </c>
      <c r="F507" t="inlineStr">
        <is>
          <t>KALMAR LÄN</t>
        </is>
      </c>
      <c r="G507" t="inlineStr">
        <is>
          <t>NYBRO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45043</v>
      </c>
      <c r="E508" s="1" t="n">
        <v>46300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46300</v>
      </c>
      <c r="F509" t="inlineStr">
        <is>
          <t>KALMAR LÄN</t>
        </is>
      </c>
      <c r="G509" t="inlineStr">
        <is>
          <t>NYBRO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45426</v>
      </c>
      <c r="E510" s="1" t="n">
        <v>46300</v>
      </c>
      <c r="F510" t="inlineStr">
        <is>
          <t>KALMAR LÄN</t>
        </is>
      </c>
      <c r="G510" t="inlineStr">
        <is>
          <t>NYBRO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45050</v>
      </c>
      <c r="E511" s="1" t="n">
        <v>46300</v>
      </c>
      <c r="F511" t="inlineStr">
        <is>
          <t>KALMAR LÄN</t>
        </is>
      </c>
      <c r="G511" t="inlineStr">
        <is>
          <t>NYBRO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45330</v>
      </c>
      <c r="E512" s="1" t="n">
        <v>46300</v>
      </c>
      <c r="F512" t="inlineStr">
        <is>
          <t>KALMAR LÄN</t>
        </is>
      </c>
      <c r="G512" t="inlineStr">
        <is>
          <t>NYBRO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46300</v>
      </c>
      <c r="F513" t="inlineStr">
        <is>
          <t>KALMAR LÄN</t>
        </is>
      </c>
      <c r="G513" t="inlineStr">
        <is>
          <t>NYBRO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46300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19451-2022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44693</v>
      </c>
      <c r="E515" s="1" t="n">
        <v>46300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26715-2022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44739</v>
      </c>
      <c r="E516" s="1" t="n">
        <v>46300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59689-2021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46300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45296</v>
      </c>
      <c r="E518" s="1" t="n">
        <v>46300</v>
      </c>
      <c r="F518" t="inlineStr">
        <is>
          <t>KALMAR LÄN</t>
        </is>
      </c>
      <c r="G518" t="inlineStr">
        <is>
          <t>NYBRO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46300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44586</v>
      </c>
      <c r="E520" s="1" t="n">
        <v>46300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46300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44904</v>
      </c>
      <c r="E522" s="1" t="n">
        <v>46300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46300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44798</v>
      </c>
      <c r="E524" s="1" t="n">
        <v>46300</v>
      </c>
      <c r="F524" t="inlineStr">
        <is>
          <t>KALMAR LÄN</t>
        </is>
      </c>
      <c r="G524" t="inlineStr">
        <is>
          <t>NYBRO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46300</v>
      </c>
      <c r="F525" t="inlineStr">
        <is>
          <t>KALMAR LÄN</t>
        </is>
      </c>
      <c r="G525" t="inlineStr">
        <is>
          <t>NYBRO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45415</v>
      </c>
      <c r="E526" s="1" t="n">
        <v>46300</v>
      </c>
      <c r="F526" t="inlineStr">
        <is>
          <t>KALMAR LÄN</t>
        </is>
      </c>
      <c r="G526" t="inlineStr">
        <is>
          <t>NYBRO</t>
        </is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44977</v>
      </c>
      <c r="E527" s="1" t="n">
        <v>46300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46300</v>
      </c>
      <c r="F528" t="inlineStr">
        <is>
          <t>KALMAR LÄN</t>
        </is>
      </c>
      <c r="G528" t="inlineStr">
        <is>
          <t>NYBRO</t>
        </is>
      </c>
      <c r="I528" t="n">
        <v>15.1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46300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46300</v>
      </c>
      <c r="F530" t="inlineStr">
        <is>
          <t>KALMAR LÄN</t>
        </is>
      </c>
      <c r="G530" t="inlineStr">
        <is>
          <t>NYBRO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46155</v>
      </c>
      <c r="E531" s="1" t="n">
        <v>46300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44621</v>
      </c>
      <c r="E532" s="1" t="n">
        <v>46300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46300</v>
      </c>
      <c r="F533" t="inlineStr">
        <is>
          <t>KALMAR LÄN</t>
        </is>
      </c>
      <c r="G533" t="inlineStr">
        <is>
          <t>NYBRO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46300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36247-2022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46300</v>
      </c>
      <c r="F535" t="inlineStr">
        <is>
          <t>KALMAR LÄN</t>
        </is>
      </c>
      <c r="G535" t="inlineStr">
        <is>
          <t>NYBRO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46300</v>
      </c>
      <c r="F536" t="inlineStr">
        <is>
          <t>KALMAR LÄN</t>
        </is>
      </c>
      <c r="G536" t="inlineStr">
        <is>
          <t>NYBRO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45894</v>
      </c>
      <c r="E537" s="1" t="n">
        <v>46300</v>
      </c>
      <c r="F537" t="inlineStr">
        <is>
          <t>KALMAR LÄN</t>
        </is>
      </c>
      <c r="G537" t="inlineStr">
        <is>
          <t>NYBRO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44904</v>
      </c>
      <c r="E538" s="1" t="n">
        <v>46300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44904</v>
      </c>
      <c r="E539" s="1" t="n">
        <v>46300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41674-2024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45560</v>
      </c>
      <c r="E540" s="1" t="n">
        <v>46300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46300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45763</v>
      </c>
      <c r="E542" s="1" t="n">
        <v>46300</v>
      </c>
      <c r="F542" t="inlineStr">
        <is>
          <t>KALMAR LÄN</t>
        </is>
      </c>
      <c r="G542" t="inlineStr">
        <is>
          <t>NYBRO</t>
        </is>
      </c>
      <c r="I542" t="n">
        <v>30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46282-2023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45197</v>
      </c>
      <c r="E543" s="1" t="n">
        <v>46300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46300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22872-2026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46160</v>
      </c>
      <c r="E545" s="1" t="n">
        <v>46300</v>
      </c>
      <c r="F545" t="inlineStr">
        <is>
          <t>KALMAR LÄN</t>
        </is>
      </c>
      <c r="G545" t="inlineStr">
        <is>
          <t>NYBRO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45478</v>
      </c>
      <c r="E546" s="1" t="n">
        <v>46300</v>
      </c>
      <c r="F546" t="inlineStr">
        <is>
          <t>KALMAR LÄN</t>
        </is>
      </c>
      <c r="G546" t="inlineStr">
        <is>
          <t>NYBRO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44939</v>
      </c>
      <c r="E547" s="1" t="n">
        <v>46300</v>
      </c>
      <c r="F547" t="inlineStr">
        <is>
          <t>KALMAR LÄN</t>
        </is>
      </c>
      <c r="G547" t="inlineStr">
        <is>
          <t>NYBRO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45313</v>
      </c>
      <c r="E548" s="1" t="n">
        <v>46300</v>
      </c>
      <c r="F548" t="inlineStr">
        <is>
          <t>KALMAR LÄN</t>
        </is>
      </c>
      <c r="G548" t="inlineStr">
        <is>
          <t>NYBRO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46300</v>
      </c>
      <c r="F549" t="inlineStr">
        <is>
          <t>KALMAR LÄN</t>
        </is>
      </c>
      <c r="G549" t="inlineStr">
        <is>
          <t>NYBRO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46300</v>
      </c>
      <c r="F550" t="inlineStr">
        <is>
          <t>KALMAR LÄN</t>
        </is>
      </c>
      <c r="G550" t="inlineStr">
        <is>
          <t>NYBRO</t>
        </is>
      </c>
      <c r="H550" t="inlineStr">
        <is>
          <t>Kommuner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46300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46300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46300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46300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45756</v>
      </c>
      <c r="E555" s="1" t="n">
        <v>46300</v>
      </c>
      <c r="F555" t="inlineStr">
        <is>
          <t>KALMAR LÄN</t>
        </is>
      </c>
      <c r="G555" t="inlineStr">
        <is>
          <t>NYBRO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6811-2024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46300</v>
      </c>
      <c r="F556" t="inlineStr">
        <is>
          <t>KALMAR LÄN</t>
        </is>
      </c>
      <c r="G556" t="inlineStr">
        <is>
          <t>NYBRO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44908</v>
      </c>
      <c r="E557" s="1" t="n">
        <v>46300</v>
      </c>
      <c r="F557" t="inlineStr">
        <is>
          <t>KALMAR LÄN</t>
        </is>
      </c>
      <c r="G557" t="inlineStr">
        <is>
          <t>NYBRO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45561</v>
      </c>
      <c r="E558" s="1" t="n">
        <v>46300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25838-2023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46300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46300</v>
      </c>
      <c r="F560" t="inlineStr">
        <is>
          <t>KALMAR LÄN</t>
        </is>
      </c>
      <c r="G560" t="inlineStr">
        <is>
          <t>NYBRO</t>
        </is>
      </c>
      <c r="H560" t="inlineStr">
        <is>
          <t>Kyrkan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1535-2025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45670</v>
      </c>
      <c r="E561" s="1" t="n">
        <v>46300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45882</v>
      </c>
      <c r="E562" s="1" t="n">
        <v>46300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46300</v>
      </c>
      <c r="F563" t="inlineStr">
        <is>
          <t>KALMAR LÄN</t>
        </is>
      </c>
      <c r="G563" t="inlineStr">
        <is>
          <t>NYBRO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46300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45078</v>
      </c>
      <c r="E565" s="1" t="n">
        <v>46300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45013</v>
      </c>
      <c r="E566" s="1" t="n">
        <v>46300</v>
      </c>
      <c r="F566" t="inlineStr">
        <is>
          <t>KALMAR LÄN</t>
        </is>
      </c>
      <c r="G566" t="inlineStr">
        <is>
          <t>NYBRO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46300</v>
      </c>
      <c r="F567" t="inlineStr">
        <is>
          <t>KALMAR LÄN</t>
        </is>
      </c>
      <c r="G567" t="inlineStr">
        <is>
          <t>NYBRO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45737</v>
      </c>
      <c r="E568" s="1" t="n">
        <v>46300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46300</v>
      </c>
      <c r="F569" t="inlineStr">
        <is>
          <t>KALMAR LÄN</t>
        </is>
      </c>
      <c r="G569" t="inlineStr">
        <is>
          <t>NYBRO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24614-2026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46169</v>
      </c>
      <c r="E570" s="1" t="n">
        <v>46300</v>
      </c>
      <c r="F570" t="inlineStr">
        <is>
          <t>KALMAR LÄN</t>
        </is>
      </c>
      <c r="G570" t="inlineStr">
        <is>
          <t>NYBRO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25717-2026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46178</v>
      </c>
      <c r="E571" s="1" t="n">
        <v>46300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46300</v>
      </c>
      <c r="F572" t="inlineStr">
        <is>
          <t>KALMAR LÄN</t>
        </is>
      </c>
      <c r="G572" t="inlineStr">
        <is>
          <t>NYBRO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63260-2021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44505</v>
      </c>
      <c r="E573" s="1" t="n">
        <v>46300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57980-2022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44900</v>
      </c>
      <c r="E574" s="1" t="n">
        <v>46300</v>
      </c>
      <c r="F574" t="inlineStr">
        <is>
          <t>KALMAR LÄN</t>
        </is>
      </c>
      <c r="G574" t="inlineStr">
        <is>
          <t>NYBRO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46300</v>
      </c>
      <c r="F575" t="inlineStr">
        <is>
          <t>KALMAR LÄN</t>
        </is>
      </c>
      <c r="G575" t="inlineStr">
        <is>
          <t>NYBRO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45072</v>
      </c>
      <c r="E576" s="1" t="n">
        <v>46300</v>
      </c>
      <c r="F576" t="inlineStr">
        <is>
          <t>KALMAR LÄN</t>
        </is>
      </c>
      <c r="G576" t="inlineStr">
        <is>
          <t>NYBRO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46300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46300</v>
      </c>
      <c r="F578" t="inlineStr">
        <is>
          <t>KALMAR LÄN</t>
        </is>
      </c>
      <c r="G578" t="inlineStr">
        <is>
          <t>NYBRO</t>
        </is>
      </c>
      <c r="H578" t="inlineStr">
        <is>
          <t>Kyrkan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45169</v>
      </c>
      <c r="E579" s="1" t="n">
        <v>46300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46300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46300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46300</v>
      </c>
      <c r="F582" t="inlineStr">
        <is>
          <t>KALMAR LÄN</t>
        </is>
      </c>
      <c r="G582" t="inlineStr">
        <is>
          <t>NYBRO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25714-2026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46178</v>
      </c>
      <c r="E583" s="1" t="n">
        <v>46300</v>
      </c>
      <c r="F583" t="inlineStr">
        <is>
          <t>KALMAR LÄN</t>
        </is>
      </c>
      <c r="G583" t="inlineStr">
        <is>
          <t>NYBRO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44970</v>
      </c>
      <c r="E584" s="1" t="n">
        <v>46300</v>
      </c>
      <c r="F584" t="inlineStr">
        <is>
          <t>KALMAR LÄN</t>
        </is>
      </c>
      <c r="G584" t="inlineStr">
        <is>
          <t>NYBRO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18586-2025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45763</v>
      </c>
      <c r="E585" s="1" t="n">
        <v>46300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46300</v>
      </c>
      <c r="F586" t="inlineStr">
        <is>
          <t>KALMAR LÄN</t>
        </is>
      </c>
      <c r="G586" t="inlineStr">
        <is>
          <t>NYBRO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46300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44868</v>
      </c>
      <c r="E588" s="1" t="n">
        <v>46300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46300</v>
      </c>
      <c r="F589" t="inlineStr">
        <is>
          <t>KALMAR LÄN</t>
        </is>
      </c>
      <c r="G589" t="inlineStr">
        <is>
          <t>NYBRO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46300</v>
      </c>
      <c r="F590" t="inlineStr">
        <is>
          <t>KALMAR LÄN</t>
        </is>
      </c>
      <c r="G590" t="inlineStr">
        <is>
          <t>NYBRO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46300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50561-2022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44866</v>
      </c>
      <c r="E592" s="1" t="n">
        <v>46300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46300</v>
      </c>
      <c r="F593" t="inlineStr">
        <is>
          <t>KALMAR LÄN</t>
        </is>
      </c>
      <c r="G593" t="inlineStr">
        <is>
          <t>NYBRO</t>
        </is>
      </c>
      <c r="I593" t="n">
        <v>15.9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45196</v>
      </c>
      <c r="E594" s="1" t="n">
        <v>46300</v>
      </c>
      <c r="F594" t="inlineStr">
        <is>
          <t>KALMAR LÄN</t>
        </is>
      </c>
      <c r="G594" t="inlineStr">
        <is>
          <t>NYBRO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44779-2023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45190</v>
      </c>
      <c r="E595" s="1" t="n">
        <v>46300</v>
      </c>
      <c r="F595" t="inlineStr">
        <is>
          <t>KALMAR LÄN</t>
        </is>
      </c>
      <c r="G595" t="inlineStr">
        <is>
          <t>NYBRO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16530-2024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46300</v>
      </c>
      <c r="F596" t="inlineStr">
        <is>
          <t>KALMAR LÄN</t>
        </is>
      </c>
      <c r="G596" t="inlineStr">
        <is>
          <t>NYBRO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46300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46300</v>
      </c>
      <c r="F598" t="inlineStr">
        <is>
          <t>KALMAR LÄN</t>
        </is>
      </c>
      <c r="G598" t="inlineStr">
        <is>
          <t>NYBRO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46300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46300</v>
      </c>
      <c r="F600" t="inlineStr">
        <is>
          <t>KALMAR LÄN</t>
        </is>
      </c>
      <c r="G600" t="inlineStr">
        <is>
          <t>NYBRO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44957</v>
      </c>
      <c r="E601" s="1" t="n">
        <v>46300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45695</v>
      </c>
      <c r="E602" s="1" t="n">
        <v>46300</v>
      </c>
      <c r="F602" t="inlineStr">
        <is>
          <t>KALMAR LÄN</t>
        </is>
      </c>
      <c r="G602" t="inlineStr">
        <is>
          <t>NYBRO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45013</v>
      </c>
      <c r="E603" s="1" t="n">
        <v>46300</v>
      </c>
      <c r="F603" t="inlineStr">
        <is>
          <t>KALMAR LÄN</t>
        </is>
      </c>
      <c r="G603" t="inlineStr">
        <is>
          <t>NYBRO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39624-2024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45552</v>
      </c>
      <c r="E604" s="1" t="n">
        <v>46300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46300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21388-2024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45440</v>
      </c>
      <c r="E606" s="1" t="n">
        <v>46300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46300</v>
      </c>
      <c r="F607" t="inlineStr">
        <is>
          <t>KALMAR LÄN</t>
        </is>
      </c>
      <c r="G607" t="inlineStr">
        <is>
          <t>NYBRO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46300</v>
      </c>
      <c r="F608" t="inlineStr">
        <is>
          <t>KALMAR LÄN</t>
        </is>
      </c>
      <c r="G608" t="inlineStr">
        <is>
          <t>NYBRO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26422-2023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46300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44999</v>
      </c>
      <c r="E610" s="1" t="n">
        <v>46300</v>
      </c>
      <c r="F610" t="inlineStr">
        <is>
          <t>KALMAR LÄN</t>
        </is>
      </c>
      <c r="G610" t="inlineStr">
        <is>
          <t>NYBRO</t>
        </is>
      </c>
      <c r="I610" t="n">
        <v>16.5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46300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28437-2026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46300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44801-2022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44841</v>
      </c>
      <c r="E613" s="1" t="n">
        <v>46300</v>
      </c>
      <c r="F613" t="inlineStr">
        <is>
          <t>KALMAR LÄN</t>
        </is>
      </c>
      <c r="G613" t="inlineStr">
        <is>
          <t>NYBRO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46300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46300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46300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45575</v>
      </c>
      <c r="E617" s="1" t="n">
        <v>46300</v>
      </c>
      <c r="F617" t="inlineStr">
        <is>
          <t>KALMAR LÄN</t>
        </is>
      </c>
      <c r="G617" t="inlineStr">
        <is>
          <t>NYBRO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45072</v>
      </c>
      <c r="E618" s="1" t="n">
        <v>46300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45022</v>
      </c>
      <c r="E619" s="1" t="n">
        <v>46300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46300</v>
      </c>
      <c r="F620" t="inlineStr">
        <is>
          <t>KALMAR LÄN</t>
        </is>
      </c>
      <c r="G620" t="inlineStr">
        <is>
          <t>NYBRO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44959</v>
      </c>
      <c r="E621" s="1" t="n">
        <v>46300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46300</v>
      </c>
      <c r="F622" t="inlineStr">
        <is>
          <t>KALMAR LÄN</t>
        </is>
      </c>
      <c r="G622" t="inlineStr">
        <is>
          <t>NYBRO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44839</v>
      </c>
      <c r="E623" s="1" t="n">
        <v>46300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10739-2024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45369</v>
      </c>
      <c r="E624" s="1" t="n">
        <v>46300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45093</v>
      </c>
      <c r="E625" s="1" t="n">
        <v>46300</v>
      </c>
      <c r="F625" t="inlineStr">
        <is>
          <t>KALMAR LÄN</t>
        </is>
      </c>
      <c r="G625" t="inlineStr">
        <is>
          <t>NYBRO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46300</v>
      </c>
      <c r="F626" t="inlineStr">
        <is>
          <t>KALMAR LÄN</t>
        </is>
      </c>
      <c r="G626" t="inlineStr">
        <is>
          <t>NYBRO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46300</v>
      </c>
      <c r="F627" t="inlineStr">
        <is>
          <t>KALMAR LÄN</t>
        </is>
      </c>
      <c r="G627" t="inlineStr">
        <is>
          <t>NYBRO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45121</v>
      </c>
      <c r="E628" s="1" t="n">
        <v>46300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41992-2024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46300</v>
      </c>
      <c r="F629" t="inlineStr">
        <is>
          <t>KALMAR LÄN</t>
        </is>
      </c>
      <c r="G629" t="inlineStr">
        <is>
          <t>NYBRO</t>
        </is>
      </c>
      <c r="H629" t="inlineStr">
        <is>
          <t>Kyrkan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41993-2024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45561</v>
      </c>
      <c r="E630" s="1" t="n">
        <v>46300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28145-2022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44746</v>
      </c>
      <c r="E631" s="1" t="n">
        <v>46300</v>
      </c>
      <c r="F631" t="inlineStr">
        <is>
          <t>KALMAR LÄN</t>
        </is>
      </c>
      <c r="G631" t="inlineStr">
        <is>
          <t>NYBRO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45439</v>
      </c>
      <c r="E632" s="1" t="n">
        <v>46300</v>
      </c>
      <c r="F632" t="inlineStr">
        <is>
          <t>KALMAR LÄN</t>
        </is>
      </c>
      <c r="G632" t="inlineStr">
        <is>
          <t>NYBRO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23926-2023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45075</v>
      </c>
      <c r="E633" s="1" t="n">
        <v>46300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46300</v>
      </c>
      <c r="F634" t="inlineStr">
        <is>
          <t>KALMAR LÄN</t>
        </is>
      </c>
      <c r="G634" t="inlineStr">
        <is>
          <t>NYBRO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22429-2023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45070</v>
      </c>
      <c r="E635" s="1" t="n">
        <v>46300</v>
      </c>
      <c r="F635" t="inlineStr">
        <is>
          <t>KALMAR LÄN</t>
        </is>
      </c>
      <c r="G635" t="inlineStr">
        <is>
          <t>NYBRO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46300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46300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45740</v>
      </c>
      <c r="E638" s="1" t="n">
        <v>46300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44873</v>
      </c>
      <c r="E639" s="1" t="n">
        <v>46300</v>
      </c>
      <c r="F639" t="inlineStr">
        <is>
          <t>KALMAR LÄN</t>
        </is>
      </c>
      <c r="G639" t="inlineStr">
        <is>
          <t>NYBRO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46300</v>
      </c>
      <c r="F640" t="inlineStr">
        <is>
          <t>KALMAR LÄN</t>
        </is>
      </c>
      <c r="G640" t="inlineStr">
        <is>
          <t>NYBRO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46300</v>
      </c>
      <c r="F641" t="inlineStr">
        <is>
          <t>KALMAR LÄN</t>
        </is>
      </c>
      <c r="G641" t="inlineStr">
        <is>
          <t>NYBRO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46300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46300</v>
      </c>
      <c r="F643" t="inlineStr">
        <is>
          <t>KALMAR LÄN</t>
        </is>
      </c>
      <c r="G643" t="inlineStr">
        <is>
          <t>NYBRO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44844</v>
      </c>
      <c r="E644" s="1" t="n">
        <v>46300</v>
      </c>
      <c r="F644" t="inlineStr">
        <is>
          <t>KALMAR LÄN</t>
        </is>
      </c>
      <c r="G644" t="inlineStr">
        <is>
          <t>NYBRO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45079</v>
      </c>
      <c r="E645" s="1" t="n">
        <v>46300</v>
      </c>
      <c r="F645" t="inlineStr">
        <is>
          <t>KALMAR LÄN</t>
        </is>
      </c>
      <c r="G645" t="inlineStr">
        <is>
          <t>NYBRO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46300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46300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46300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46300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22488-2022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44713</v>
      </c>
      <c r="E650" s="1" t="n">
        <v>46300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45367</v>
      </c>
      <c r="E651" s="1" t="n">
        <v>46300</v>
      </c>
      <c r="F651" t="inlineStr">
        <is>
          <t>KALMAR LÄN</t>
        </is>
      </c>
      <c r="G651" t="inlineStr">
        <is>
          <t>NYBRO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58551-2024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45635</v>
      </c>
      <c r="E652" s="1" t="n">
        <v>46300</v>
      </c>
      <c r="F652" t="inlineStr">
        <is>
          <t>KALMAR LÄN</t>
        </is>
      </c>
      <c r="G652" t="inlineStr">
        <is>
          <t>NYBRO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46300</v>
      </c>
      <c r="F653" t="inlineStr">
        <is>
          <t>KALMAR LÄN</t>
        </is>
      </c>
      <c r="G653" t="inlineStr">
        <is>
          <t>NYBRO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27881-2024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46300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40902-2022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44825</v>
      </c>
      <c r="E655" s="1" t="n">
        <v>46300</v>
      </c>
      <c r="F655" t="inlineStr">
        <is>
          <t>KALMAR LÄN</t>
        </is>
      </c>
      <c r="G655" t="inlineStr">
        <is>
          <t>NYBRO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46300</v>
      </c>
      <c r="F656" t="inlineStr">
        <is>
          <t>KALMAR LÄN</t>
        </is>
      </c>
      <c r="G656" t="inlineStr">
        <is>
          <t>NYBRO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46300</v>
      </c>
      <c r="F657" t="inlineStr">
        <is>
          <t>KALMAR LÄN</t>
        </is>
      </c>
      <c r="G657" t="inlineStr">
        <is>
          <t>NYBRO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61060-2021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44497</v>
      </c>
      <c r="E658" s="1" t="n">
        <v>46300</v>
      </c>
      <c r="F658" t="inlineStr">
        <is>
          <t>KALMAR LÄN</t>
        </is>
      </c>
      <c r="G658" t="inlineStr">
        <is>
          <t>NYBRO</t>
        </is>
      </c>
      <c r="I658" t="n">
        <v>6.4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46300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46300</v>
      </c>
      <c r="F660" t="inlineStr">
        <is>
          <t>KALMAR LÄN</t>
        </is>
      </c>
      <c r="G660" t="inlineStr">
        <is>
          <t>NYBRO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46300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45356</v>
      </c>
      <c r="E662" s="1" t="n">
        <v>46300</v>
      </c>
      <c r="F662" t="inlineStr">
        <is>
          <t>KALMAR LÄN</t>
        </is>
      </c>
      <c r="G662" t="inlineStr">
        <is>
          <t>NYBRO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41632-2023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45175</v>
      </c>
      <c r="E663" s="1" t="n">
        <v>46300</v>
      </c>
      <c r="F663" t="inlineStr">
        <is>
          <t>KALMAR LÄN</t>
        </is>
      </c>
      <c r="G663" t="inlineStr">
        <is>
          <t>NYBRO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44953</v>
      </c>
      <c r="E664" s="1" t="n">
        <v>46300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45335</v>
      </c>
      <c r="E665" s="1" t="n">
        <v>46300</v>
      </c>
      <c r="F665" t="inlineStr">
        <is>
          <t>KALMAR LÄN</t>
        </is>
      </c>
      <c r="G665" t="inlineStr">
        <is>
          <t>NYBRO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45335</v>
      </c>
      <c r="E666" s="1" t="n">
        <v>46300</v>
      </c>
      <c r="F666" t="inlineStr">
        <is>
          <t>KALMAR LÄN</t>
        </is>
      </c>
      <c r="G666" t="inlineStr">
        <is>
          <t>NYBRO</t>
        </is>
      </c>
      <c r="H666" t="inlineStr">
        <is>
          <t>Sveaskog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46300</v>
      </c>
      <c r="F667" t="inlineStr">
        <is>
          <t>KALMAR LÄN</t>
        </is>
      </c>
      <c r="G667" t="inlineStr">
        <is>
          <t>NYBRO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45093</v>
      </c>
      <c r="E668" s="1" t="n">
        <v>46300</v>
      </c>
      <c r="F668" t="inlineStr">
        <is>
          <t>KALMAR LÄN</t>
        </is>
      </c>
      <c r="G668" t="inlineStr">
        <is>
          <t>NYBRO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23824-2023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45078</v>
      </c>
      <c r="E669" s="1" t="n">
        <v>46300</v>
      </c>
      <c r="F669" t="inlineStr">
        <is>
          <t>KALMAR LÄN</t>
        </is>
      </c>
      <c r="G669" t="inlineStr">
        <is>
          <t>NYBRO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38814-2022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46300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44928</v>
      </c>
      <c r="E671" s="1" t="n">
        <v>46300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46300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46300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45414</v>
      </c>
      <c r="E674" s="1" t="n">
        <v>46300</v>
      </c>
      <c r="F674" t="inlineStr">
        <is>
          <t>KALMAR LÄN</t>
        </is>
      </c>
      <c r="G674" t="inlineStr">
        <is>
          <t>NYBRO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22489-2022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46300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46300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46273</v>
      </c>
      <c r="E677" s="1" t="n">
        <v>46300</v>
      </c>
      <c r="F677" t="inlineStr">
        <is>
          <t>KALMAR LÄN</t>
        </is>
      </c>
      <c r="G677" t="inlineStr">
        <is>
          <t>NYBRO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46300</v>
      </c>
      <c r="F678" t="inlineStr">
        <is>
          <t>KALMAR LÄN</t>
        </is>
      </c>
      <c r="G678" t="inlineStr">
        <is>
          <t>NYBRO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46274</v>
      </c>
      <c r="E679" s="1" t="n">
        <v>46300</v>
      </c>
      <c r="F679" t="inlineStr">
        <is>
          <t>KALMAR LÄN</t>
        </is>
      </c>
      <c r="G679" t="inlineStr">
        <is>
          <t>NYBRO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44889</v>
      </c>
      <c r="E680" s="1" t="n">
        <v>46300</v>
      </c>
      <c r="F680" t="inlineStr">
        <is>
          <t>KALMAR LÄN</t>
        </is>
      </c>
      <c r="G680" t="inlineStr">
        <is>
          <t>NYBRO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30442-2023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45111</v>
      </c>
      <c r="E681" s="1" t="n">
        <v>46300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45131</v>
      </c>
      <c r="E682" s="1" t="n">
        <v>46300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46275</v>
      </c>
      <c r="E683" s="1" t="n">
        <v>46300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46300</v>
      </c>
      <c r="F684" t="inlineStr">
        <is>
          <t>KALMAR LÄN</t>
        </is>
      </c>
      <c r="G684" t="inlineStr">
        <is>
          <t>NYBRO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46300</v>
      </c>
      <c r="F685" t="inlineStr">
        <is>
          <t>KALMAR LÄN</t>
        </is>
      </c>
      <c r="G685" t="inlineStr">
        <is>
          <t>NYBRO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44756</v>
      </c>
      <c r="E686" s="1" t="n">
        <v>46300</v>
      </c>
      <c r="F686" t="inlineStr">
        <is>
          <t>KALMAR LÄN</t>
        </is>
      </c>
      <c r="G686" t="inlineStr">
        <is>
          <t>NYBRO</t>
        </is>
      </c>
      <c r="H686" t="inlineStr">
        <is>
          <t>Kyrkan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45063</v>
      </c>
      <c r="E687" s="1" t="n">
        <v>46300</v>
      </c>
      <c r="F687" t="inlineStr">
        <is>
          <t>KALMAR LÄN</t>
        </is>
      </c>
      <c r="G687" t="inlineStr">
        <is>
          <t>NYBRO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52382-2022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44874</v>
      </c>
      <c r="E688" s="1" t="n">
        <v>46300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32398-2026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46238</v>
      </c>
      <c r="E689" s="1" t="n">
        <v>46300</v>
      </c>
      <c r="F689" t="inlineStr">
        <is>
          <t>KALMAR LÄN</t>
        </is>
      </c>
      <c r="G689" t="inlineStr">
        <is>
          <t>NYBRO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45119</v>
      </c>
      <c r="E690" s="1" t="n">
        <v>46300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17157-2022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44677</v>
      </c>
      <c r="E691" s="1" t="n">
        <v>46300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46238</v>
      </c>
      <c r="E692" s="1" t="n">
        <v>46300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45198</v>
      </c>
      <c r="E693" s="1" t="n">
        <v>46300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866-2024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45301</v>
      </c>
      <c r="E694" s="1" t="n">
        <v>46300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46300</v>
      </c>
      <c r="F695" t="inlineStr">
        <is>
          <t>KALMAR LÄN</t>
        </is>
      </c>
      <c r="G695" t="inlineStr">
        <is>
          <t>NYBRO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32264-2024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45512</v>
      </c>
      <c r="E696" s="1" t="n">
        <v>46300</v>
      </c>
      <c r="F696" t="inlineStr">
        <is>
          <t>KALMAR LÄN</t>
        </is>
      </c>
      <c r="G696" t="inlineStr">
        <is>
          <t>NYBRO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44742</v>
      </c>
      <c r="E697" s="1" t="n">
        <v>46300</v>
      </c>
      <c r="F697" t="inlineStr">
        <is>
          <t>KALMAR LÄN</t>
        </is>
      </c>
      <c r="G697" t="inlineStr">
        <is>
          <t>NYBRO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46300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38558-2026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46300</v>
      </c>
      <c r="F699" t="inlineStr">
        <is>
          <t>KALMAR LÄN</t>
        </is>
      </c>
      <c r="G699" t="inlineStr">
        <is>
          <t>NYBRO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45359</v>
      </c>
      <c r="E700" s="1" t="n">
        <v>46300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46300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45096</v>
      </c>
      <c r="E702" s="1" t="n">
        <v>46300</v>
      </c>
      <c r="F702" t="inlineStr">
        <is>
          <t>KALMAR LÄN</t>
        </is>
      </c>
      <c r="G702" t="inlineStr">
        <is>
          <t>NYBRO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48312-2024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45590</v>
      </c>
      <c r="E703" s="1" t="n">
        <v>46300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44798</v>
      </c>
      <c r="E704" s="1" t="n">
        <v>46300</v>
      </c>
      <c r="F704" t="inlineStr">
        <is>
          <t>KALMAR LÄN</t>
        </is>
      </c>
      <c r="G704" t="inlineStr">
        <is>
          <t>NYBRO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46300</v>
      </c>
      <c r="F705" t="inlineStr">
        <is>
          <t>KALMAR LÄN</t>
        </is>
      </c>
      <c r="G705" t="inlineStr">
        <is>
          <t>NYBRO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44593</v>
      </c>
      <c r="E706" s="1" t="n">
        <v>46300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46300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46300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28164-2022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44746</v>
      </c>
      <c r="E709" s="1" t="n">
        <v>46300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46300</v>
      </c>
      <c r="F710" t="inlineStr">
        <is>
          <t>KALMAR LÄN</t>
        </is>
      </c>
      <c r="G710" t="inlineStr">
        <is>
          <t>NYBRO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45056</v>
      </c>
      <c r="E711" s="1" t="n">
        <v>46300</v>
      </c>
      <c r="F711" t="inlineStr">
        <is>
          <t>KALMAR LÄN</t>
        </is>
      </c>
      <c r="G711" t="inlineStr">
        <is>
          <t>NYBRO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32788-2026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46241</v>
      </c>
      <c r="E712" s="1" t="n">
        <v>46300</v>
      </c>
      <c r="F712" t="inlineStr">
        <is>
          <t>KALMAR LÄN</t>
        </is>
      </c>
      <c r="G712" t="inlineStr">
        <is>
          <t>NYBRO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45744</v>
      </c>
      <c r="E713" s="1" t="n">
        <v>46300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45118</v>
      </c>
      <c r="E714" s="1" t="n">
        <v>46300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33254-2026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46246</v>
      </c>
      <c r="E715" s="1" t="n">
        <v>46300</v>
      </c>
      <c r="F715" t="inlineStr">
        <is>
          <t>KALMAR LÄN</t>
        </is>
      </c>
      <c r="G715" t="inlineStr">
        <is>
          <t>NYBRO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20434-2023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45056</v>
      </c>
      <c r="E716" s="1" t="n">
        <v>46300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46300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46300</v>
      </c>
      <c r="F718" t="inlineStr">
        <is>
          <t>KALMAR LÄN</t>
        </is>
      </c>
      <c r="G718" t="inlineStr">
        <is>
          <t>NYBRO</t>
        </is>
      </c>
      <c r="I718" t="n">
        <v>12.1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46246</v>
      </c>
      <c r="E719" s="1" t="n">
        <v>46300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15116-2023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45016</v>
      </c>
      <c r="E720" s="1" t="n">
        <v>46300</v>
      </c>
      <c r="F720" t="inlineStr">
        <is>
          <t>KALMAR LÄN</t>
        </is>
      </c>
      <c r="G720" t="inlineStr">
        <is>
          <t>NYBRO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41060-2022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44825</v>
      </c>
      <c r="E721" s="1" t="n">
        <v>46300</v>
      </c>
      <c r="F721" t="inlineStr">
        <is>
          <t>KALMAR LÄN</t>
        </is>
      </c>
      <c r="G721" t="inlineStr">
        <is>
          <t>NYBRO</t>
        </is>
      </c>
      <c r="I721" t="n">
        <v>18.6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46300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46300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5152-2022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44594</v>
      </c>
      <c r="E724" s="1" t="n">
        <v>46300</v>
      </c>
      <c r="F724" t="inlineStr">
        <is>
          <t>KALMAR LÄN</t>
        </is>
      </c>
      <c r="G724" t="inlineStr">
        <is>
          <t>NYBRO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45095</v>
      </c>
      <c r="E725" s="1" t="n">
        <v>46300</v>
      </c>
      <c r="F725" t="inlineStr">
        <is>
          <t>KALMAR LÄN</t>
        </is>
      </c>
      <c r="G725" t="inlineStr">
        <is>
          <t>NYBRO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45244</v>
      </c>
      <c r="E726" s="1" t="n">
        <v>46300</v>
      </c>
      <c r="F726" t="inlineStr">
        <is>
          <t>KALMAR LÄN</t>
        </is>
      </c>
      <c r="G726" t="inlineStr">
        <is>
          <t>NYBRO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46250</v>
      </c>
      <c r="E727" s="1" t="n">
        <v>46300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46248</v>
      </c>
      <c r="E728" s="1" t="n">
        <v>46300</v>
      </c>
      <c r="F728" t="inlineStr">
        <is>
          <t>KALMAR LÄN</t>
        </is>
      </c>
      <c r="G728" t="inlineStr">
        <is>
          <t>NYBRO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49340-2023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46300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45367</v>
      </c>
      <c r="E730" s="1" t="n">
        <v>46300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49390-2025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45938</v>
      </c>
      <c r="E731" s="1" t="n">
        <v>46300</v>
      </c>
      <c r="F731" t="inlineStr">
        <is>
          <t>KALMAR LÄN</t>
        </is>
      </c>
      <c r="G731" t="inlineStr">
        <is>
          <t>NYBRO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23479-2025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45792</v>
      </c>
      <c r="E732" s="1" t="n">
        <v>46300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8.800000000000001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45072</v>
      </c>
      <c r="E733" s="1" t="n">
        <v>46300</v>
      </c>
      <c r="F733" t="inlineStr">
        <is>
          <t>KALMAR LÄN</t>
        </is>
      </c>
      <c r="G733" t="inlineStr">
        <is>
          <t>NYBRO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46300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12410-2023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46300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44030-2023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46300</v>
      </c>
      <c r="F736" t="inlineStr">
        <is>
          <t>KALMAR LÄN</t>
        </is>
      </c>
      <c r="G736" t="inlineStr">
        <is>
          <t>NYBRO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46300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46300</v>
      </c>
      <c r="F738" t="inlineStr">
        <is>
          <t>KALMAR LÄN</t>
        </is>
      </c>
      <c r="G738" t="inlineStr">
        <is>
          <t>NYBRO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61499-2022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44910</v>
      </c>
      <c r="E739" s="1" t="n">
        <v>46300</v>
      </c>
      <c r="F739" t="inlineStr">
        <is>
          <t>KALMAR LÄN</t>
        </is>
      </c>
      <c r="G739" t="inlineStr">
        <is>
          <t>NYBRO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46300</v>
      </c>
      <c r="F740" t="inlineStr">
        <is>
          <t>KALMAR LÄN</t>
        </is>
      </c>
      <c r="G740" t="inlineStr">
        <is>
          <t>NYBRO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46300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44566</v>
      </c>
      <c r="E742" s="1" t="n">
        <v>46300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11645-2024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45373</v>
      </c>
      <c r="E743" s="1" t="n">
        <v>46300</v>
      </c>
      <c r="F743" t="inlineStr">
        <is>
          <t>KALMAR LÄN</t>
        </is>
      </c>
      <c r="G743" t="inlineStr">
        <is>
          <t>NYBRO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46300</v>
      </c>
      <c r="F744" t="inlineStr">
        <is>
          <t>KALMAR LÄN</t>
        </is>
      </c>
      <c r="G744" t="inlineStr">
        <is>
          <t>NYBRO</t>
        </is>
      </c>
      <c r="H744" t="inlineStr">
        <is>
          <t>Kyrkan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50723-2023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46300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46253</v>
      </c>
      <c r="E746" s="1" t="n">
        <v>46300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10.8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46300</v>
      </c>
      <c r="F747" t="inlineStr">
        <is>
          <t>KALMAR LÄN</t>
        </is>
      </c>
      <c r="G747" t="inlineStr">
        <is>
          <t>NYBRO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46300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46300</v>
      </c>
      <c r="F749" t="inlineStr">
        <is>
          <t>KALMAR LÄN</t>
        </is>
      </c>
      <c r="G749" t="inlineStr">
        <is>
          <t>NYBRO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1419-2025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45668</v>
      </c>
      <c r="E750" s="1" t="n">
        <v>46300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49739-2025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45940</v>
      </c>
      <c r="E751" s="1" t="n">
        <v>46300</v>
      </c>
      <c r="F751" t="inlineStr">
        <is>
          <t>KALMAR LÄN</t>
        </is>
      </c>
      <c r="G751" t="inlineStr">
        <is>
          <t>NYBRO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37461-2023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45156</v>
      </c>
      <c r="E752" s="1" t="n">
        <v>46300</v>
      </c>
      <c r="F752" t="inlineStr">
        <is>
          <t>KALMAR LÄN</t>
        </is>
      </c>
      <c r="G752" t="inlineStr">
        <is>
          <t>NYBRO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33924-2026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46252</v>
      </c>
      <c r="E753" s="1" t="n">
        <v>46300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46300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12.3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50556-2022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44866</v>
      </c>
      <c r="E755" s="1" t="n">
        <v>46300</v>
      </c>
      <c r="F755" t="inlineStr">
        <is>
          <t>KALMAR LÄN</t>
        </is>
      </c>
      <c r="G755" t="inlineStr">
        <is>
          <t>NYBRO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46297</v>
      </c>
      <c r="E756" s="1" t="n">
        <v>46300</v>
      </c>
      <c r="F756" t="inlineStr">
        <is>
          <t>KALMAR LÄN</t>
        </is>
      </c>
      <c r="G756" t="inlineStr">
        <is>
          <t>NYBRO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44755</v>
      </c>
      <c r="E757" s="1" t="n">
        <v>46300</v>
      </c>
      <c r="F757" t="inlineStr">
        <is>
          <t>KALMAR LÄN</t>
        </is>
      </c>
      <c r="G757" t="inlineStr">
        <is>
          <t>NYBRO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5150-2022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44594</v>
      </c>
      <c r="E758" s="1" t="n">
        <v>46300</v>
      </c>
      <c r="F758" t="inlineStr">
        <is>
          <t>KALMAR LÄN</t>
        </is>
      </c>
      <c r="G758" t="inlineStr">
        <is>
          <t>NYBRO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11155-2023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44992</v>
      </c>
      <c r="E759" s="1" t="n">
        <v>46300</v>
      </c>
      <c r="F759" t="inlineStr">
        <is>
          <t>KALMAR LÄN</t>
        </is>
      </c>
      <c r="G759" t="inlineStr">
        <is>
          <t>NYBRO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46029</v>
      </c>
      <c r="E760" s="1" t="n">
        <v>46300</v>
      </c>
      <c r="F760" t="inlineStr">
        <is>
          <t>KALMAR LÄN</t>
        </is>
      </c>
      <c r="G760" t="inlineStr">
        <is>
          <t>NYBRO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46300</v>
      </c>
      <c r="F761" t="inlineStr">
        <is>
          <t>KALMAR LÄN</t>
        </is>
      </c>
      <c r="G761" t="inlineStr">
        <is>
          <t>NYBRO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46300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11621-2024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45373</v>
      </c>
      <c r="E763" s="1" t="n">
        <v>46300</v>
      </c>
      <c r="F763" t="inlineStr">
        <is>
          <t>KALMAR LÄN</t>
        </is>
      </c>
      <c r="G763" t="inlineStr">
        <is>
          <t>NYBRO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45085</v>
      </c>
      <c r="E764" s="1" t="n">
        <v>46300</v>
      </c>
      <c r="F764" t="inlineStr">
        <is>
          <t>KALMAR LÄN</t>
        </is>
      </c>
      <c r="G764" t="inlineStr">
        <is>
          <t>NYBRO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45475</v>
      </c>
      <c r="E765" s="1" t="n">
        <v>46300</v>
      </c>
      <c r="F765" t="inlineStr">
        <is>
          <t>KALMAR LÄN</t>
        </is>
      </c>
      <c r="G765" t="inlineStr">
        <is>
          <t>NYBRO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48102-2023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45205</v>
      </c>
      <c r="E766" s="1" t="n">
        <v>46300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15584-2024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46300</v>
      </c>
      <c r="F767" t="inlineStr">
        <is>
          <t>KALMAR LÄN</t>
        </is>
      </c>
      <c r="G767" t="inlineStr">
        <is>
          <t>NYBRO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55723-2023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45239</v>
      </c>
      <c r="E768" s="1" t="n">
        <v>46300</v>
      </c>
      <c r="F768" t="inlineStr">
        <is>
          <t>KALMAR LÄN</t>
        </is>
      </c>
      <c r="G768" t="inlineStr">
        <is>
          <t>NYBRO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25382-2023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45089</v>
      </c>
      <c r="E769" s="1" t="n">
        <v>46300</v>
      </c>
      <c r="F769" t="inlineStr">
        <is>
          <t>KALMAR LÄN</t>
        </is>
      </c>
      <c r="G769" t="inlineStr">
        <is>
          <t>NYBRO</t>
        </is>
      </c>
      <c r="H769" t="inlineStr">
        <is>
          <t>Kommuner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24183-2023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45079</v>
      </c>
      <c r="E770" s="1" t="n">
        <v>46300</v>
      </c>
      <c r="F770" t="inlineStr">
        <is>
          <t>KALMAR LÄN</t>
        </is>
      </c>
      <c r="G770" t="inlineStr">
        <is>
          <t>NYBRO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46300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46300</v>
      </c>
      <c r="F772" t="inlineStr">
        <is>
          <t>KALMAR LÄN</t>
        </is>
      </c>
      <c r="G772" t="inlineStr">
        <is>
          <t>NYBRO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33035-2022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44785</v>
      </c>
      <c r="E773" s="1" t="n">
        <v>46300</v>
      </c>
      <c r="F773" t="inlineStr">
        <is>
          <t>KALMAR LÄN</t>
        </is>
      </c>
      <c r="G773" t="inlineStr">
        <is>
          <t>NYBRO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31060-2023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46300</v>
      </c>
      <c r="F774" t="inlineStr">
        <is>
          <t>KALMAR LÄN</t>
        </is>
      </c>
      <c r="G774" t="inlineStr">
        <is>
          <t>NYBRO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53681-2022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44880</v>
      </c>
      <c r="E775" s="1" t="n">
        <v>46300</v>
      </c>
      <c r="F775" t="inlineStr">
        <is>
          <t>KALMAR LÄN</t>
        </is>
      </c>
      <c r="G775" t="inlineStr">
        <is>
          <t>NYBRO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58455-2021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44488</v>
      </c>
      <c r="E776" s="1" t="n">
        <v>46300</v>
      </c>
      <c r="F776" t="inlineStr">
        <is>
          <t>KALMAR LÄN</t>
        </is>
      </c>
      <c r="G776" t="inlineStr">
        <is>
          <t>NYBRO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25472-2023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45089</v>
      </c>
      <c r="E777" s="1" t="n">
        <v>46300</v>
      </c>
      <c r="F777" t="inlineStr">
        <is>
          <t>KALMAR LÄN</t>
        </is>
      </c>
      <c r="G777" t="inlineStr">
        <is>
          <t>NYBRO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48732-2023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45208</v>
      </c>
      <c r="E778" s="1" t="n">
        <v>46300</v>
      </c>
      <c r="F778" t="inlineStr">
        <is>
          <t>KALMAR LÄN</t>
        </is>
      </c>
      <c r="G778" t="inlineStr">
        <is>
          <t>NYBRO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36366-2024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45534</v>
      </c>
      <c r="E779" s="1" t="n">
        <v>46300</v>
      </c>
      <c r="F779" t="inlineStr">
        <is>
          <t>KALMAR LÄN</t>
        </is>
      </c>
      <c r="G779" t="inlineStr">
        <is>
          <t>NYBRO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45342</v>
      </c>
      <c r="E780" s="1" t="n">
        <v>46300</v>
      </c>
      <c r="F780" t="inlineStr">
        <is>
          <t>KALMAR LÄN</t>
        </is>
      </c>
      <c r="G780" t="inlineStr">
        <is>
          <t>NYBRO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45484</v>
      </c>
      <c r="E781" s="1" t="n">
        <v>46300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7789-2025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46300</v>
      </c>
      <c r="F782" t="inlineStr">
        <is>
          <t>KALMAR LÄN</t>
        </is>
      </c>
      <c r="G782" t="inlineStr">
        <is>
          <t>NYBRO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45756</v>
      </c>
      <c r="E783" s="1" t="n">
        <v>46300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44700</v>
      </c>
      <c r="E784" s="1" t="n">
        <v>46300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10289-2022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46300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46300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49912-2022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46300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18219-2025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46300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44749</v>
      </c>
      <c r="E789" s="1" t="n">
        <v>46300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44973</v>
      </c>
      <c r="E790" s="1" t="n">
        <v>46300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42277-2023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45175</v>
      </c>
      <c r="E791" s="1" t="n">
        <v>46300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1928-2024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46300</v>
      </c>
      <c r="F792" t="inlineStr">
        <is>
          <t>KALMAR LÄN</t>
        </is>
      </c>
      <c r="G792" t="inlineStr">
        <is>
          <t>NYBRO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36100-2023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45149</v>
      </c>
      <c r="E793" s="1" t="n">
        <v>46300</v>
      </c>
      <c r="F793" t="inlineStr">
        <is>
          <t>KALMAR LÄN</t>
        </is>
      </c>
      <c r="G793" t="inlineStr">
        <is>
          <t>NYBRO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49096-2023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45210</v>
      </c>
      <c r="E794" s="1" t="n">
        <v>46300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46300</v>
      </c>
      <c r="F795" t="inlineStr">
        <is>
          <t>KALMAR LÄN</t>
        </is>
      </c>
      <c r="G795" t="inlineStr">
        <is>
          <t>NYBRO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41635-2023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46300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11150-2024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45371</v>
      </c>
      <c r="E797" s="1" t="n">
        <v>46300</v>
      </c>
      <c r="F797" t="inlineStr">
        <is>
          <t>KALMAR LÄN</t>
        </is>
      </c>
      <c r="G797" t="inlineStr">
        <is>
          <t>NYBRO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44743</v>
      </c>
      <c r="E798" s="1" t="n">
        <v>46300</v>
      </c>
      <c r="F798" t="inlineStr">
        <is>
          <t>KALMAR LÄN</t>
        </is>
      </c>
      <c r="G798" t="inlineStr">
        <is>
          <t>NYBRO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5355-2022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44594</v>
      </c>
      <c r="E799" s="1" t="n">
        <v>46300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46300</v>
      </c>
      <c r="F800" t="inlineStr">
        <is>
          <t>KALMAR LÄN</t>
        </is>
      </c>
      <c r="G800" t="inlineStr">
        <is>
          <t>NYBRO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14371-2025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45741</v>
      </c>
      <c r="E801" s="1" t="n">
        <v>46300</v>
      </c>
      <c r="F801" t="inlineStr">
        <is>
          <t>KALMAR LÄN</t>
        </is>
      </c>
      <c r="G801" t="inlineStr">
        <is>
          <t>NYBRO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46300</v>
      </c>
      <c r="F802" t="inlineStr">
        <is>
          <t>KALMAR LÄN</t>
        </is>
      </c>
      <c r="G802" t="inlineStr">
        <is>
          <t>NYBRO</t>
        </is>
      </c>
      <c r="H802" t="inlineStr">
        <is>
          <t>Kyrkan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54341-2022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44882</v>
      </c>
      <c r="E803" s="1" t="n">
        <v>46300</v>
      </c>
      <c r="F803" t="inlineStr">
        <is>
          <t>KALMAR LÄN</t>
        </is>
      </c>
      <c r="G803" t="inlineStr">
        <is>
          <t>NYBRO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46300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47270-2024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45586</v>
      </c>
      <c r="E805" s="1" t="n">
        <v>46300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46300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45545</v>
      </c>
      <c r="E807" s="1" t="n">
        <v>46300</v>
      </c>
      <c r="F807" t="inlineStr">
        <is>
          <t>KALMAR LÄN</t>
        </is>
      </c>
      <c r="G807" t="inlineStr">
        <is>
          <t>NYBRO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46300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22435-2023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45070</v>
      </c>
      <c r="E809" s="1" t="n">
        <v>46300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50586-2024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46300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45476</v>
      </c>
      <c r="E811" s="1" t="n">
        <v>46300</v>
      </c>
      <c r="F811" t="inlineStr">
        <is>
          <t>KALMAR LÄN</t>
        </is>
      </c>
      <c r="G811" t="inlineStr">
        <is>
          <t>NYBRO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30173-2024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46300</v>
      </c>
      <c r="F812" t="inlineStr">
        <is>
          <t>KALMAR LÄN</t>
        </is>
      </c>
      <c r="G812" t="inlineStr">
        <is>
          <t>NYBRO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47335-2024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46300</v>
      </c>
      <c r="F813" t="inlineStr">
        <is>
          <t>KALMAR LÄN</t>
        </is>
      </c>
      <c r="G813" t="inlineStr">
        <is>
          <t>NYBRO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46300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46300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46300</v>
      </c>
      <c r="F816" t="inlineStr">
        <is>
          <t>KALMAR LÄN</t>
        </is>
      </c>
      <c r="G816" t="inlineStr">
        <is>
          <t>NYBRO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2018-2022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44665</v>
      </c>
      <c r="E817" s="1" t="n">
        <v>46300</v>
      </c>
      <c r="F817" t="inlineStr">
        <is>
          <t>KALMAR LÄN</t>
        </is>
      </c>
      <c r="G817" t="inlineStr">
        <is>
          <t>NYBRO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645-2023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44973</v>
      </c>
      <c r="E818" s="1" t="n">
        <v>46300</v>
      </c>
      <c r="F818" t="inlineStr">
        <is>
          <t>KALMAR LÄN</t>
        </is>
      </c>
      <c r="G818" t="inlineStr">
        <is>
          <t>NYBRO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1512-2024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45422</v>
      </c>
      <c r="E819" s="1" t="n">
        <v>46300</v>
      </c>
      <c r="F819" t="inlineStr">
        <is>
          <t>KALMAR LÄN</t>
        </is>
      </c>
      <c r="G819" t="inlineStr">
        <is>
          <t>NYBRO</t>
        </is>
      </c>
      <c r="I819" t="n">
        <v>10.6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5165-2024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45649</v>
      </c>
      <c r="E820" s="1" t="n">
        <v>46300</v>
      </c>
      <c r="F820" t="inlineStr">
        <is>
          <t>KALMAR LÄN</t>
        </is>
      </c>
      <c r="G820" t="inlineStr">
        <is>
          <t>NYBRO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2203-2024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45457</v>
      </c>
      <c r="E821" s="1" t="n">
        <v>46300</v>
      </c>
      <c r="F821" t="inlineStr">
        <is>
          <t>KALMAR LÄN</t>
        </is>
      </c>
      <c r="G821" t="inlineStr">
        <is>
          <t>NYBRO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1948-2023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45088</v>
      </c>
      <c r="E822" s="1" t="n">
        <v>46300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2431-2024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45469</v>
      </c>
      <c r="E823" s="1" t="n">
        <v>46300</v>
      </c>
      <c r="F823" t="inlineStr">
        <is>
          <t>KALMAR LÄN</t>
        </is>
      </c>
      <c r="G823" t="inlineStr">
        <is>
          <t>NYBRO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926-2023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45000</v>
      </c>
      <c r="E824" s="1" t="n">
        <v>46300</v>
      </c>
      <c r="F824" t="inlineStr">
        <is>
          <t>KALMAR LÄN</t>
        </is>
      </c>
      <c r="G824" t="inlineStr">
        <is>
          <t>NYBRO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3791-2023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45224</v>
      </c>
      <c r="E825" s="1" t="n">
        <v>46300</v>
      </c>
      <c r="F825" t="inlineStr">
        <is>
          <t>KALMAR LÄN</t>
        </is>
      </c>
      <c r="G825" t="inlineStr">
        <is>
          <t>NYBRO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4042-2024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45572</v>
      </c>
      <c r="E826" s="1" t="n">
        <v>46300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1593-2023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45056</v>
      </c>
      <c r="E827" s="1" t="n">
        <v>46300</v>
      </c>
      <c r="F827" t="inlineStr">
        <is>
          <t>KALMAR LÄN</t>
        </is>
      </c>
      <c r="G827" t="inlineStr">
        <is>
          <t>NYBRO</t>
        </is>
      </c>
      <c r="I827" t="n">
        <v>46.2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46300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3795-2024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45558</v>
      </c>
      <c r="E829" s="1" t="n">
        <v>46300</v>
      </c>
      <c r="F829" t="inlineStr">
        <is>
          <t>KALMAR LÄN</t>
        </is>
      </c>
      <c r="G829" t="inlineStr">
        <is>
          <t>NYBRO</t>
        </is>
      </c>
      <c r="I829" t="n">
        <v>23.6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477-2022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46300</v>
      </c>
      <c r="F830" t="inlineStr">
        <is>
          <t>KALMAR LÄN</t>
        </is>
      </c>
      <c r="G830" t="inlineStr">
        <is>
          <t>NYBRO</t>
        </is>
      </c>
      <c r="I830" t="n">
        <v>10.1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4877-2022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44806</v>
      </c>
      <c r="E831" s="1" t="n">
        <v>46300</v>
      </c>
      <c r="F831" t="inlineStr">
        <is>
          <t>KALMAR LÄN</t>
        </is>
      </c>
      <c r="G831" t="inlineStr">
        <is>
          <t>NYBRO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5164-2024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46300</v>
      </c>
      <c r="F832" t="inlineStr">
        <is>
          <t>KALMAR LÄN</t>
        </is>
      </c>
      <c r="G832" t="inlineStr">
        <is>
          <t>NYBRO</t>
        </is>
      </c>
      <c r="I832" t="n">
        <v>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1608-2023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46300</v>
      </c>
      <c r="F833" t="inlineStr">
        <is>
          <t>KALMAR LÄN</t>
        </is>
      </c>
      <c r="G833" t="inlineStr">
        <is>
          <t>NYBRO</t>
        </is>
      </c>
      <c r="I833" t="n">
        <v>16.4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46300</v>
      </c>
      <c r="F834" t="inlineStr">
        <is>
          <t>KALMAR LÄN</t>
        </is>
      </c>
      <c r="G834" t="inlineStr">
        <is>
          <t>NYBRO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654-2022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44594</v>
      </c>
      <c r="E835" s="1" t="n">
        <v>46300</v>
      </c>
      <c r="F835" t="inlineStr">
        <is>
          <t>KALMAR LÄN</t>
        </is>
      </c>
      <c r="G835" t="inlineStr">
        <is>
          <t>NYBRO</t>
        </is>
      </c>
      <c r="I835" t="n">
        <v>50.7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2489-2022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44693</v>
      </c>
      <c r="E836" s="1" t="n">
        <v>46300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672-2024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45357</v>
      </c>
      <c r="E837" s="1" t="n">
        <v>46300</v>
      </c>
      <c r="F837" t="inlineStr">
        <is>
          <t>KALMAR LÄN</t>
        </is>
      </c>
      <c r="G837" t="inlineStr">
        <is>
          <t>NYBRO</t>
        </is>
      </c>
      <c r="I837" t="n">
        <v>41.1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1947-2023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46300</v>
      </c>
      <c r="F838" t="inlineStr">
        <is>
          <t>KALMAR LÄN</t>
        </is>
      </c>
      <c r="G838" t="inlineStr">
        <is>
          <t>NYBRO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419-2024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45335</v>
      </c>
      <c r="E839" s="1" t="n">
        <v>46300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3896-2023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45231</v>
      </c>
      <c r="E840" s="1" t="n">
        <v>46300</v>
      </c>
      <c r="F840" t="inlineStr">
        <is>
          <t>KALMAR LÄN</t>
        </is>
      </c>
      <c r="G840" t="inlineStr">
        <is>
          <t>NYBRO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453-2022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46300</v>
      </c>
      <c r="F841" t="inlineStr">
        <is>
          <t>KALMAR LÄN</t>
        </is>
      </c>
      <c r="G841" t="inlineStr">
        <is>
          <t>NYBRO</t>
        </is>
      </c>
      <c r="I841" t="n">
        <v>20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4041-2024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46300</v>
      </c>
      <c r="F842" t="inlineStr">
        <is>
          <t>KALMAR LÄN</t>
        </is>
      </c>
      <c r="G842" t="inlineStr">
        <is>
          <t>NYBRO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1610-2023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45056</v>
      </c>
      <c r="E843" s="1" t="n">
        <v>46300</v>
      </c>
      <c r="F843" t="inlineStr">
        <is>
          <t>KALMAR LÄN</t>
        </is>
      </c>
      <c r="G843" t="inlineStr">
        <is>
          <t>NYBRO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1076-2025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45750</v>
      </c>
      <c r="E844" s="1" t="n">
        <v>46300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2139-2025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45847</v>
      </c>
      <c r="E845" s="1" t="n">
        <v>46300</v>
      </c>
      <c r="F845" t="inlineStr">
        <is>
          <t>KALMAR LÄN</t>
        </is>
      </c>
      <c r="G845" t="inlineStr">
        <is>
          <t>NYBRO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2659-2025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45923</v>
      </c>
      <c r="E846" s="1" t="n">
        <v>46300</v>
      </c>
      <c r="F846" t="inlineStr">
        <is>
          <t>KALMAR LÄN</t>
        </is>
      </c>
      <c r="G846" t="inlineStr">
        <is>
          <t>NYBRO</t>
        </is>
      </c>
      <c r="I846" t="n">
        <v>22.2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2635-2025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45919</v>
      </c>
      <c r="E847" s="1" t="n">
        <v>46300</v>
      </c>
      <c r="F847" t="inlineStr">
        <is>
          <t>KALMAR LÄN</t>
        </is>
      </c>
      <c r="G847" t="inlineStr">
        <is>
          <t>NYBRO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2693-2025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45926</v>
      </c>
      <c r="E848" s="1" t="n">
        <v>46300</v>
      </c>
      <c r="F848" t="inlineStr">
        <is>
          <t>KALMAR LÄN</t>
        </is>
      </c>
      <c r="G848" t="inlineStr">
        <is>
          <t>NYBRO</t>
        </is>
      </c>
      <c r="I848" t="n">
        <v>77.8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3252-2025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45982</v>
      </c>
      <c r="E849" s="1" t="n">
        <v>46300</v>
      </c>
      <c r="F849" t="inlineStr">
        <is>
          <t>KALMAR LÄN</t>
        </is>
      </c>
      <c r="G849" t="inlineStr">
        <is>
          <t>NYBRO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3253-2025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46300</v>
      </c>
      <c r="F850" t="inlineStr">
        <is>
          <t>KALMAR LÄN</t>
        </is>
      </c>
      <c r="G850" t="inlineStr">
        <is>
          <t>NYBRO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34-2026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46030</v>
      </c>
      <c r="E851" s="1" t="n">
        <v>46300</v>
      </c>
      <c r="F851" t="inlineStr">
        <is>
          <t>KALMAR LÄN</t>
        </is>
      </c>
      <c r="G851" t="inlineStr">
        <is>
          <t>NYBRO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2117-2026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46244</v>
      </c>
      <c r="E852" s="1" t="n">
        <v>46300</v>
      </c>
      <c r="F852" t="inlineStr">
        <is>
          <t>KALMAR LÄN</t>
        </is>
      </c>
      <c r="G852" t="inlineStr">
        <is>
          <t>NYBRO</t>
        </is>
      </c>
      <c r="I852" t="n">
        <v>29.6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2566-2026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46295</v>
      </c>
      <c r="E853" s="1" t="n">
        <v>46300</v>
      </c>
      <c r="F853" t="inlineStr">
        <is>
          <t>KALMAR LÄN</t>
        </is>
      </c>
      <c r="G853" t="inlineStr">
        <is>
          <t>NYBRO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2026-10-05T01:57:27Z</dcterms:created>
  <dcterms:modified xmlns:dcterms="http://purl.org/dc/terms/" xmlns:xsi="http://www.w3.org/2001/XMLSchema-instance" xsi:type="dcterms:W3CDTF">2026-10-05T01:57:28Z</dcterms:modified>
</cp:coreProperties>
</file>