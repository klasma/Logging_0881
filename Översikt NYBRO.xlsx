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45513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45513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45513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45513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45513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45513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45513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45513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45513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45513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45513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45513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45513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45513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45513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45513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45513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45513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45513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45513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45513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45513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45513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45513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8742-2023</t>
        </is>
      </c>
      <c r="B26" s="1" t="n">
        <v>44978</v>
      </c>
      <c r="C26" s="1" t="n">
        <v>45513</v>
      </c>
      <c r="D26" t="inlineStr">
        <is>
          <t>KALMAR LÄN</t>
        </is>
      </c>
      <c r="E26" t="inlineStr">
        <is>
          <t>NYBRO</t>
        </is>
      </c>
      <c r="G26" t="n">
        <v>0.9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Rostfläck</t>
        </is>
      </c>
      <c r="S26">
        <f>HYPERLINK("https://klasma.github.io/Logging_0881/artfynd/A 8742-2023 artfynd.xlsx", "A 8742-2023")</f>
        <v/>
      </c>
      <c r="T26">
        <f>HYPERLINK("https://klasma.github.io/Logging_0881/kartor/A 8742-2023 karta.png", "A 8742-2023")</f>
        <v/>
      </c>
      <c r="V26">
        <f>HYPERLINK("https://klasma.github.io/Logging_0881/klagomål/A 8742-2023 FSC-klagomål.docx", "A 8742-2023")</f>
        <v/>
      </c>
      <c r="W26">
        <f>HYPERLINK("https://klasma.github.io/Logging_0881/klagomålsmail/A 8742-2023 FSC-klagomål mail.docx", "A 8742-2023")</f>
        <v/>
      </c>
      <c r="X26">
        <f>HYPERLINK("https://klasma.github.io/Logging_0881/tillsyn/A 8742-2023 tillsynsbegäran.docx", "A 8742-2023")</f>
        <v/>
      </c>
      <c r="Y26">
        <f>HYPERLINK("https://klasma.github.io/Logging_0881/tillsynsmail/A 8742-2023 tillsynsbegäran mail.docx", "A 8742-2023")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45513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27719-2023</t>
        </is>
      </c>
      <c r="B28" s="1" t="n">
        <v>45093</v>
      </c>
      <c r="C28" s="1" t="n">
        <v>45513</v>
      </c>
      <c r="D28" t="inlineStr">
        <is>
          <t>KALMAR LÄN</t>
        </is>
      </c>
      <c r="E28" t="inlineStr">
        <is>
          <t>NYBRO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Raggbock
Mindre träfjäril</t>
        </is>
      </c>
      <c r="S28">
        <f>HYPERLINK("https://klasma.github.io/Logging_0881/artfynd/A 27719-2023 artfynd.xlsx", "A 27719-2023")</f>
        <v/>
      </c>
      <c r="T28">
        <f>HYPERLINK("https://klasma.github.io/Logging_0881/kartor/A 27719-2023 karta.png", "A 27719-2023")</f>
        <v/>
      </c>
      <c r="V28">
        <f>HYPERLINK("https://klasma.github.io/Logging_0881/klagomål/A 27719-2023 FSC-klagomål.docx", "A 27719-2023")</f>
        <v/>
      </c>
      <c r="W28">
        <f>HYPERLINK("https://klasma.github.io/Logging_0881/klagomålsmail/A 27719-2023 FSC-klagomål mail.docx", "A 27719-2023")</f>
        <v/>
      </c>
      <c r="X28">
        <f>HYPERLINK("https://klasma.github.io/Logging_0881/tillsyn/A 27719-2023 tillsynsbegäran.docx", "A 27719-2023")</f>
        <v/>
      </c>
      <c r="Y28">
        <f>HYPERLINK("https://klasma.github.io/Logging_0881/tillsynsmail/A 27719-2023 tillsynsbegäran mail.docx", "A 27719-2023")</f>
        <v/>
      </c>
    </row>
    <row r="29" ht="15" customHeight="1">
      <c r="A29" t="inlineStr">
        <is>
          <t>A 43194-2023</t>
        </is>
      </c>
      <c r="B29" s="1" t="n">
        <v>45183</v>
      </c>
      <c r="C29" s="1" t="n">
        <v>45513</v>
      </c>
      <c r="D29" t="inlineStr">
        <is>
          <t>KALMAR LÄN</t>
        </is>
      </c>
      <c r="E29" t="inlineStr">
        <is>
          <t>NYBRO</t>
        </is>
      </c>
      <c r="G29" t="n">
        <v>6.4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Nattviol</t>
        </is>
      </c>
      <c r="S29">
        <f>HYPERLINK("https://klasma.github.io/Logging_0881/artfynd/A 43194-2023 artfynd.xlsx", "A 43194-2023")</f>
        <v/>
      </c>
      <c r="T29">
        <f>HYPERLINK("https://klasma.github.io/Logging_0881/kartor/A 43194-2023 karta.png", "A 43194-2023")</f>
        <v/>
      </c>
      <c r="V29">
        <f>HYPERLINK("https://klasma.github.io/Logging_0881/klagomål/A 43194-2023 FSC-klagomål.docx", "A 43194-2023")</f>
        <v/>
      </c>
      <c r="W29">
        <f>HYPERLINK("https://klasma.github.io/Logging_0881/klagomålsmail/A 43194-2023 FSC-klagomål mail.docx", "A 43194-2023")</f>
        <v/>
      </c>
      <c r="X29">
        <f>HYPERLINK("https://klasma.github.io/Logging_0881/tillsyn/A 43194-2023 tillsynsbegäran.docx", "A 43194-2023")</f>
        <v/>
      </c>
      <c r="Y29">
        <f>HYPERLINK("https://klasma.github.io/Logging_0881/tillsynsmail/A 43194-2023 tillsynsbegäran mail.docx", "A 43194-2023")</f>
        <v/>
      </c>
    </row>
    <row r="30" ht="15" customHeight="1">
      <c r="A30" t="inlineStr">
        <is>
          <t>A 43712-2023</t>
        </is>
      </c>
      <c r="B30" s="1" t="n">
        <v>45187</v>
      </c>
      <c r="C30" s="1" t="n">
        <v>45513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Skogsknipprot</t>
        </is>
      </c>
      <c r="S30">
        <f>HYPERLINK("https://klasma.github.io/Logging_0881/artfynd/A 43712-2023 artfynd.xlsx", "A 43712-2023")</f>
        <v/>
      </c>
      <c r="T30">
        <f>HYPERLINK("https://klasma.github.io/Logging_0881/kartor/A 43712-2023 karta.png", "A 43712-2023")</f>
        <v/>
      </c>
      <c r="V30">
        <f>HYPERLINK("https://klasma.github.io/Logging_0881/klagomål/A 43712-2023 FSC-klagomål.docx", "A 43712-2023")</f>
        <v/>
      </c>
      <c r="W30">
        <f>HYPERLINK("https://klasma.github.io/Logging_0881/klagomålsmail/A 43712-2023 FSC-klagomål mail.docx", "A 43712-2023")</f>
        <v/>
      </c>
      <c r="X30">
        <f>HYPERLINK("https://klasma.github.io/Logging_0881/tillsyn/A 43712-2023 tillsynsbegäran.docx", "A 43712-2023")</f>
        <v/>
      </c>
      <c r="Y30">
        <f>HYPERLINK("https://klasma.github.io/Logging_0881/tillsynsmail/A 43712-2023 tillsynsbegäran mail.docx", "A 43712-2023")</f>
        <v/>
      </c>
    </row>
    <row r="31" ht="15" customHeight="1">
      <c r="A31" t="inlineStr">
        <is>
          <t>A 47904-2023</t>
        </is>
      </c>
      <c r="B31" s="1" t="n">
        <v>45204</v>
      </c>
      <c r="C31" s="1" t="n">
        <v>45513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Gullviva</t>
        </is>
      </c>
      <c r="S31">
        <f>HYPERLINK("https://klasma.github.io/Logging_0881/artfynd/A 47904-2023 artfynd.xlsx", "A 47904-2023")</f>
        <v/>
      </c>
      <c r="T31">
        <f>HYPERLINK("https://klasma.github.io/Logging_0881/kartor/A 47904-2023 karta.png", "A 47904-2023")</f>
        <v/>
      </c>
      <c r="V31">
        <f>HYPERLINK("https://klasma.github.io/Logging_0881/klagomål/A 47904-2023 FSC-klagomål.docx", "A 47904-2023")</f>
        <v/>
      </c>
      <c r="W31">
        <f>HYPERLINK("https://klasma.github.io/Logging_0881/klagomålsmail/A 47904-2023 FSC-klagomål mail.docx", "A 47904-2023")</f>
        <v/>
      </c>
      <c r="X31">
        <f>HYPERLINK("https://klasma.github.io/Logging_0881/tillsyn/A 47904-2023 tillsynsbegäran.docx", "A 47904-2023")</f>
        <v/>
      </c>
      <c r="Y31">
        <f>HYPERLINK("https://klasma.github.io/Logging_0881/tillsynsmail/A 47904-2023 tillsynsbegäran mail.docx", "A 47904-2023")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45513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53579-2023</t>
        </is>
      </c>
      <c r="B33" s="1" t="n">
        <v>45230</v>
      </c>
      <c r="C33" s="1" t="n">
        <v>45513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Grönpyrola</t>
        </is>
      </c>
      <c r="S33">
        <f>HYPERLINK("https://klasma.github.io/Logging_0881/artfynd/A 53579-2023 artfynd.xlsx", "A 53579-2023")</f>
        <v/>
      </c>
      <c r="T33">
        <f>HYPERLINK("https://klasma.github.io/Logging_0881/kartor/A 53579-2023 karta.png", "A 53579-2023")</f>
        <v/>
      </c>
      <c r="V33">
        <f>HYPERLINK("https://klasma.github.io/Logging_0881/klagomål/A 53579-2023 FSC-klagomål.docx", "A 53579-2023")</f>
        <v/>
      </c>
      <c r="W33">
        <f>HYPERLINK("https://klasma.github.io/Logging_0881/klagomålsmail/A 53579-2023 FSC-klagomål mail.docx", "A 53579-2023")</f>
        <v/>
      </c>
      <c r="X33">
        <f>HYPERLINK("https://klasma.github.io/Logging_0881/tillsyn/A 53579-2023 tillsynsbegäran.docx", "A 53579-2023")</f>
        <v/>
      </c>
      <c r="Y33">
        <f>HYPERLINK("https://klasma.github.io/Logging_0881/tillsynsmail/A 53579-2023 tillsynsbegäran mail.docx", "A 53579-2023")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45513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45513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45513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45513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45513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45513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45513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45513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45513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45513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45513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45513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45513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45513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45513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45513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45513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45513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45513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45513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45513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45513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45513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45513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45513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45513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45513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45513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45513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45513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45513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45513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45513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45513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45513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45513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45513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45513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45513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45513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45513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45513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45513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45513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45513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45513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45513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45513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45513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45513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45513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45513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45513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45513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45513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45513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45513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45513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45513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45513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45513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45513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45513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45513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45513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45513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45513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45513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45513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45513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45513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45513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45513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45513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45513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45513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45513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45513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45513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45513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45513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45513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45513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45513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45513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45513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45513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45513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45513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45513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45513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45513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45513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45513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45513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45513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45513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45513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45513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45513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45513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45513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45513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45513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45513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45513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45513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45513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45513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45513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45513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45513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45513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45513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45513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45513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45513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45513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45513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45513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45513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45513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45513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45513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45513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45513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45513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45513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45513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45513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45513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45513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45513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45513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45513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45513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45513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45513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45513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45513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45513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45513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45513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45513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45513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45513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45513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45513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45513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45513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45513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45513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45513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45513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45513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45513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45513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45513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45513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45513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45513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45513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45513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45513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45513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45513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45513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45513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45513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45513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45513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45513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45513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45513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45513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45513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45513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45513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45513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45513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45513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45513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45513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45513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45513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45513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45513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45513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45513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45513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45513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45513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45513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45513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45513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45513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45513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45513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45513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45513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45513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45513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45513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45513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45513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45513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45513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45513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45513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45513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45513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45513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45513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45513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45513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45513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45513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45513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45513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45513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45513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45513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45513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45513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45513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45513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45513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45513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45513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45513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45513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45513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45513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45513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45513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45513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45513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45513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45513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45513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45513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45513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45513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45513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45513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45513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45513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45513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45513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45513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45513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45513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45513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45513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45513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45513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45513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45513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45513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45513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45513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45513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45513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45513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45513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45513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45513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45513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45513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45513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45513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45513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45513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45513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45513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45513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45513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45513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45513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45513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45513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45513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45513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45513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45513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45513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45513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45513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45513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45513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45513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45513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45513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45513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45513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45513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45513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45513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45513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45513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45513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45513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45513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45513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45513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45513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45513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45513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45513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45513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45513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45513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45513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45513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45513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45513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45513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45513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45513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45513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45513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45513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45513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45513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45513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45513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45513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45513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45513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45513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45513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45513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45513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45513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45513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45513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45513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45513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45513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45513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45513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45513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45513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45513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45513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45513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45513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45513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45513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45513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45513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45513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45513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45513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45513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45513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45513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45513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45513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45513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45513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45513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45513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45513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45513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45513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45513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45513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45513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45513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45513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45513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45513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45513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45513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45513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45513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45513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45513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45513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45513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45513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45513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45513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45513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45513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45513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45513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45513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45513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45513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45513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45513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45513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45513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45513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45513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45513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45513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45513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45513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45513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45513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45513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45513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45513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45513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45513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45513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45513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45513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45513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45513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45513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45513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45513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45513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45513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45513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45513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45513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45513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45513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45513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45513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45513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45513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45513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45513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45513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45513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45513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45513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45513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45513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45513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45513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45513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45513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45513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45513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45513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45513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45513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45513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45513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45513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45513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45513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45513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45513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45513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45513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45513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45513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45513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45513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45513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45513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45513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45513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45513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45513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45513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45513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45513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45513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45513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45513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45513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45513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45513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45513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45513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45513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45513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45513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45513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45513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45513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45513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45513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45513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45513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45513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45513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45513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45513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45513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45513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45513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45513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45513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45513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45513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45513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45513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45513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45513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45513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45513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45513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45513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45513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45513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45513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45513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45513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45513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45513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45513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45513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45513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45513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45513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45513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45513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45513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45513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45513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45513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45513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45513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45513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45513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45513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45513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45513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45513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45513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45513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45513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45513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45513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45513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45513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45513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45513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45513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45513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45513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45513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45513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45513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45513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45513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45513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45513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45513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45513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45513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45513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45513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45513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45513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45513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45513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45513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45513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45513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45513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45513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45513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45513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45513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45513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45513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45513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45513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45513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45513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45513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45513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45513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45513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45513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45513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45513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45513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45513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45513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45513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45513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45513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45513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45513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45513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45513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45513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45513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45513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45513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45513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45513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45513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45513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45513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45513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45513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45513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45513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45513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45513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45513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45513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45513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45513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45513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45513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45513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45513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45513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45513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45513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45513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45513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45513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45513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45513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45513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45513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45513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45513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45513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45513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45513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45513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45513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45513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45513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45513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45513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45513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45513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45513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45513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45513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45513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45513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45513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45513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45513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45513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45513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45513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45513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45513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45513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45513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45513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45513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45513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45513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45513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45513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45513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45513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45513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45513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45513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45513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45513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45513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45513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45513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45513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45513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45513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45513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45513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45513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45513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45513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45513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45513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45513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45513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45513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45513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45513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45513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45513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45513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45513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45513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45513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45513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45513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45513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45513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45513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45513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45513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45513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45513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45513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45513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45513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45513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45513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45513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45513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45513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45513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45513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45513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45513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45513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45513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45513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45513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45513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45513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45513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45513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45513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45513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45513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45513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45513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45513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45513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45513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45513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45513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45513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45513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45513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45513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45513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45513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45513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45513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45513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45513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45513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45513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45513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45513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45513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45513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45513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45513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45513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45513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45513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45513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45513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45513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45513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45513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45513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45513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45513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45513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45513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45513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45513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45513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45513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45513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45513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45513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45513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45513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45513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45513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45513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45513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45513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45513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45513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45513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45513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45513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45513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45513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45513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45513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45513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45513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45513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45513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45513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45513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45513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45513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45513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45513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45513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45513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45513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45513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45513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45513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45513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45513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45513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45513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45513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45513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45513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45513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45513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45513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45513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45513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45513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45513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45513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45513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45513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45513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45513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45513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45513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45513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45513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45513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45513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45513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45513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45513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45513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45513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45513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45513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45513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45513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45513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45513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45513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45513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45513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45513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45513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45513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45513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45513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45513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45513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45513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45513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45513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45513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45513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45513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45513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45513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45513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45513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45513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45513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45513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45513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45513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45513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45513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45513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45513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45513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45513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45513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45513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45513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45513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45513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45513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45513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45513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45513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45513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45513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45513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45513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45513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45513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45513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45513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45513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45513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45513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45513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45513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45513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45513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45513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45513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45513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45513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45513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45513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45513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45513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45513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45513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45513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45513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45513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45513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45513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45513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45513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45513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45513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45513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45513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45513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45513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45513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45513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45513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45513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45513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45513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45513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45513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45513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45513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45513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45513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45513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45513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45513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45513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45513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45513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45513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45513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45513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45513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45513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45513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45513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45513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45513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45513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45513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45513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45513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45513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45513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45513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45513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45513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45513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45513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45513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45513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45513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45513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45513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45513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45513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45513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45513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45513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45513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45513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45513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45513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45513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45513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45513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45513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45513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45513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45513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45513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45513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45513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45513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45513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45513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45513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45513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45513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45513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45513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45513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45513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45513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45513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45513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45513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45513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45513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45513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45513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45513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45513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45513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45513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45513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45513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45513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45513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45513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45513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45513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45513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45513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45513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45513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45513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45513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45513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45513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45513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45513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45513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45513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45513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45513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45513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45513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45513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45513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45513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45513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45513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45513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45513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45513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45513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45513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45513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45513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45513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45513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45513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45513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45513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45513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45513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45513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45513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45513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45513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45513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45513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45513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45513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45513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45513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45513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45513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45513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45513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45513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45513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45513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45513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45513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45513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45513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45513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45513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45513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45513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45513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45513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45513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45513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45513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45513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45513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45513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45513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45513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45513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45513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45513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45513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45513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45513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45513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45513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45513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45513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45513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45513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45513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45513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45513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45513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45513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45513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45513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45513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45513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45513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45513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45513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45513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45513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45513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45513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45513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45513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45513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45513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45513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45513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45513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45513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45513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45513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45513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45513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45513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45513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45513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45513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45513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45513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45513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45513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45513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45513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45513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45513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45513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45513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45513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45513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45513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45513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45513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45513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45513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45513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45513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45513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45513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45513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45513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45513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45513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45513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45513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45513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45513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45513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45513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45513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45513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45513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45513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45513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45513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45513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45513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45513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45513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45513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45513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45513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45513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45513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45513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45513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45513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45513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45513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45513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45513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45513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45513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45513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45513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45513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45513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45513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45513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45513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45513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45513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45513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45513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45513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45513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45513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45513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45513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45513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45513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45513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45513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45513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45513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45513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45513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45513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45513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45513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45513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45513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45513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45513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45513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45513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45513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45513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45513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45513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45513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45513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45513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45513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45513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45513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45513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45513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45513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45513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45513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45513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45513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45513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45513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45513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45513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45513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45513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45513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45513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45513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45513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45513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45513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45513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45513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45513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45513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45513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45513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45513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45513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45513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45513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45513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45513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45513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45513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45513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45513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45513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45513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45513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45513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45513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45513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45513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45513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45513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45513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45513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45513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45513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45513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45513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45513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45513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45513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45513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45513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45513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45513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45513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45513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45513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45513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45513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45513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45513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45513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45513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45513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45513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45513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45513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45513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45513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45513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45513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45513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45513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45513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45513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45513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45513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45513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45513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45513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45513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45513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45513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45513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45513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45513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45513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45513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45513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45513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45513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45513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45513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45513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45513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45513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45513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45513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45513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45513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45513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45513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45513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45513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45513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45513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45513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45513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45513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45513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45513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45513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45513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45513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45513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45513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45513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45513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45513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45513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45513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45513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45513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45513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45513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45513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45513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45513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45513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45513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45513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45513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45513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45513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45513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45513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45513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45513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45513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45513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45513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45513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45513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45513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45513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45513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45513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45513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45513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45513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45513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45513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45513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45513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45513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45513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45513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45513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45513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45513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45513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45513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45513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45513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45513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45513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45513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45513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45513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45513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45513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45513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45513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45513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45513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45513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45513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45513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45513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45513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45513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45513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45513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45513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45513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45513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45513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45513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45513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45513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45513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45513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45513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45513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45513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45513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45513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45513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45513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45513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45513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45513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45513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45513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45513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45513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45513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45513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45513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45513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45513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45513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45513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45513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45513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45513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45513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45513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45513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45513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45513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45513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45513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45513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45513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45513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45513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45513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45513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45513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45513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45513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45513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45513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45513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45513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45513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45513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45513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45513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45513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45513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45513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45513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45513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45513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45513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45513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45513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45513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45513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45513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45513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45513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45513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45513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45513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45513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45513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45513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45513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45513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45513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45513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45513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45513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45513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45513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45513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45513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45513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45513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45513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45513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45513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45513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45513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45513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45513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45513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45513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45513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45513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45513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45513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45513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45513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45513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45513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45513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45513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45513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45513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45513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45513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45513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45513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45513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45513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45513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45513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45513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45513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45513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45513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45513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45513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45513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45513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45513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45513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45513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45513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45513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45513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45513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45513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45513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45513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45513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45513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45513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29544-2024</t>
        </is>
      </c>
      <c r="B1571" s="1" t="n">
        <v>45484</v>
      </c>
      <c r="C1571" s="1" t="n">
        <v>45513</v>
      </c>
      <c r="D1571" t="inlineStr">
        <is>
          <t>KALMAR LÄN</t>
        </is>
      </c>
      <c r="E1571" t="inlineStr">
        <is>
          <t>NYBRO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29543-2024</t>
        </is>
      </c>
      <c r="B1572" s="1" t="n">
        <v>45484</v>
      </c>
      <c r="C1572" s="1" t="n">
        <v>45513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45513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45513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30174-2024</t>
        </is>
      </c>
      <c r="B1575" s="1" t="n">
        <v>45489</v>
      </c>
      <c r="C1575" s="1" t="n">
        <v>45513</v>
      </c>
      <c r="D1575" t="inlineStr">
        <is>
          <t>KALMAR LÄN</t>
        </is>
      </c>
      <c r="E1575" t="inlineStr">
        <is>
          <t>NYBRO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45513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45513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45513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45513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45513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45513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31381-2024</t>
        </is>
      </c>
      <c r="B1582" s="1" t="n">
        <v>45505</v>
      </c>
      <c r="C1582" s="1" t="n">
        <v>45513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31870-2024</t>
        </is>
      </c>
      <c r="B1583" s="1" t="n">
        <v>45509</v>
      </c>
      <c r="C1583" s="1" t="n">
        <v>45513</v>
      </c>
      <c r="D1583" t="inlineStr">
        <is>
          <t>KALMAR LÄN</t>
        </is>
      </c>
      <c r="E1583" t="inlineStr">
        <is>
          <t>NYBRO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31919-2024</t>
        </is>
      </c>
      <c r="B1584" s="1" t="n">
        <v>45510</v>
      </c>
      <c r="C1584" s="1" t="n">
        <v>45513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31917-2024</t>
        </is>
      </c>
      <c r="B1585" s="1" t="n">
        <v>45510</v>
      </c>
      <c r="C1585" s="1" t="n">
        <v>45513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32264-2024</t>
        </is>
      </c>
      <c r="B1586" s="1" t="n">
        <v>45512</v>
      </c>
      <c r="C1586" s="1" t="n">
        <v>45513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32413-2024</t>
        </is>
      </c>
      <c r="B1587" s="1" t="n">
        <v>45512</v>
      </c>
      <c r="C1587" s="1" t="n">
        <v>45513</v>
      </c>
      <c r="D1587" t="inlineStr">
        <is>
          <t>KALMAR LÄN</t>
        </is>
      </c>
      <c r="E1587" t="inlineStr">
        <is>
          <t>NYBRO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2024-08-09T10:44:31Z</dcterms:created>
  <dcterms:modified xmlns:dcterms="http://purl.org/dc/terms/" xmlns:xsi="http://www.w3.org/2001/XMLSchema-instance" xsi:type="dcterms:W3CDTF">2024-08-09T10:44:33Z</dcterms:modified>
</cp:coreProperties>
</file>