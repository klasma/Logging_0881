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46249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46249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46249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46249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46249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46249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46249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46249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46249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46249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46249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7218-2022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44606</v>
      </c>
      <c r="E13" s="1" t="n">
        <v>46249</v>
      </c>
      <c r="F13" t="inlineStr">
        <is>
          <t>KALMAR LÄN</t>
        </is>
      </c>
      <c r="G13" t="inlineStr">
        <is>
          <t>NYBRO</t>
        </is>
      </c>
      <c r="I13" t="n">
        <v>5.1</v>
      </c>
      <c r="J13" t="n">
        <v>0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Gransotdyna
Ullticka
Vedtrappmossa
Blåmossa
Brandticka
Vanlig flatbagge</t>
        </is>
      </c>
      <c r="W13">
        <f>HYPERLINK("https://klasma.github.io/Logging_0881/artfynd/A 7218-2022 artfynd.xlsx", "A 7218-2022")</f>
        <v/>
      </c>
      <c r="X13">
        <f>HYPERLINK("https://klasma.github.io/Logging_0881/kartor/A 7218-2022 karta.png", "A 7218-2022")</f>
        <v/>
      </c>
      <c r="Y13">
        <f>HYPERLINK("https://klasma.github.io/Logging_0881/kartor_geotiff/A 7218-2022 georefererad karta.tif", "A 7218-2022")</f>
        <v/>
      </c>
      <c r="AA13">
        <f>HYPERLINK("https://klasma.github.io/Logging_0881/klagomål/A 7218-2022 FSC-klagomål.docx", "A 7218-2022")</f>
        <v/>
      </c>
      <c r="AB13">
        <f>HYPERLINK("https://klasma.github.io/Logging_0881/klagomålsmail/A 7218-2022 FSC-klagomål mail.docx", "A 7218-2022")</f>
        <v/>
      </c>
      <c r="AC13">
        <f>HYPERLINK("https://klasma.github.io/Logging_0881/tillsyn/A 7218-2022 tillsynsbegäran.docx", "A 7218-2022")</f>
        <v/>
      </c>
      <c r="AD13">
        <f>HYPERLINK("https://klasma.github.io/Logging_0881/tillsynsmail/A 7218-2022 tillsynsbegäran mail.docx", "A 7218-2022")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46249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46249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46249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46249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46249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46249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46249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46249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46249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46249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46249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26695-2023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45093</v>
      </c>
      <c r="E25" s="1" t="n">
        <v>46249</v>
      </c>
      <c r="F25" t="inlineStr">
        <is>
          <t>KALMAR LÄN</t>
        </is>
      </c>
      <c r="G25" t="inlineStr">
        <is>
          <t>NYBRO</t>
        </is>
      </c>
      <c r="I25" t="n">
        <v>1.4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Talltita
Vågbandad barkbock
Kungsfågel</t>
        </is>
      </c>
      <c r="W25">
        <f>HYPERLINK("https://klasma.github.io/Logging_0881/artfynd/A 26695-2023 artfynd.xlsx", "A 26695-2023")</f>
        <v/>
      </c>
      <c r="X25">
        <f>HYPERLINK("https://klasma.github.io/Logging_0881/kartor/A 26695-2023 karta.png", "A 26695-2023")</f>
        <v/>
      </c>
      <c r="Y25">
        <f>HYPERLINK("https://klasma.github.io/Logging_0881/kartor_geotiff/A 26695-2023 georefererad karta.tif", "A 26695-2023")</f>
        <v/>
      </c>
      <c r="AA25">
        <f>HYPERLINK("https://klasma.github.io/Logging_0881/klagomål/A 26695-2023 FSC-klagomål.docx", "A 26695-2023")</f>
        <v/>
      </c>
      <c r="AB25">
        <f>HYPERLINK("https://klasma.github.io/Logging_0881/klagomålsmail/A 26695-2023 FSC-klagomål mail.docx", "A 26695-2023")</f>
        <v/>
      </c>
      <c r="AC25">
        <f>HYPERLINK("https://klasma.github.io/Logging_0881/tillsyn/A 26695-2023 tillsynsbegäran.docx", "A 26695-2023")</f>
        <v/>
      </c>
      <c r="AD25">
        <f>HYPERLINK("https://klasma.github.io/Logging_0881/tillsynsmail/A 26695-2023 tillsynsbegäran mail.docx", "A 26695-2023")</f>
        <v/>
      </c>
      <c r="AE25">
        <f>HYPERLINK("https://klasma.github.io/Logging_0881/fåglar/A 26695-2023 prioriterade fågelarter.docx", "A 26695-2023")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46249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46249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46249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46249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A 33405-2026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46247</v>
      </c>
      <c r="E30" s="1" t="n">
        <v>46249</v>
      </c>
      <c r="F30" t="inlineStr">
        <is>
          <t>KALMAR LÄN</t>
        </is>
      </c>
      <c r="G30" t="inlineStr">
        <is>
          <t>NYBRO</t>
        </is>
      </c>
      <c r="H30" t="inlineStr">
        <is>
          <t>Sveaskog</t>
        </is>
      </c>
      <c r="I30" t="n">
        <v>10.1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Svinrot
Blåmossa
Mattlummer
Nattskärra</t>
        </is>
      </c>
      <c r="W30">
        <f>HYPERLINK("https://klasma.github.io/Logging_0881/artfynd/A 33405-2026 artfynd.xlsx", "A 33405-2026")</f>
        <v/>
      </c>
      <c r="X30">
        <f>HYPERLINK("https://klasma.github.io/Logging_0881/kartor/A 33405-2026 karta.png", "A 33405-2026")</f>
        <v/>
      </c>
      <c r="Y30">
        <f>HYPERLINK("https://klasma.github.io/Logging_0881/kartor_geotiff/A 33405-2026 georefererad karta.tif", "A 33405-2026")</f>
        <v/>
      </c>
      <c r="AA30">
        <f>HYPERLINK("https://klasma.github.io/Logging_0881/klagomål/A 33405-2026 FSC-klagomål.docx", "A 33405-2026")</f>
        <v/>
      </c>
      <c r="AB30">
        <f>HYPERLINK("https://klasma.github.io/Logging_0881/klagomålsmail/A 33405-2026 FSC-klagomål mail.docx", "A 33405-2026")</f>
        <v/>
      </c>
      <c r="AC30">
        <f>HYPERLINK("https://klasma.github.io/Logging_0881/tillsyn/A 33405-2026 tillsynsbegäran.docx", "A 33405-2026")</f>
        <v/>
      </c>
      <c r="AD30">
        <f>HYPERLINK("https://klasma.github.io/Logging_0881/tillsynsmail/A 33405-2026 tillsynsbegäran mail.docx", "A 33405-2026")</f>
        <v/>
      </c>
      <c r="AE30">
        <f>HYPERLINK("https://klasma.github.io/Logging_0881/fåglar/A 33405-2026 prioriterade fågelarter.docx", "A 33405-2026")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46249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46249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46249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46249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46249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46249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46249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46249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46249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46249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46249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46249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46249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46249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46249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46249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46249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41164-2023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46249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Tallticka</t>
        </is>
      </c>
      <c r="W48">
        <f>HYPERLINK("https://klasma.github.io/Logging_0881/artfynd/A 41164-2023 artfynd.xlsx", "A 41164-2023")</f>
        <v/>
      </c>
      <c r="X48">
        <f>HYPERLINK("https://klasma.github.io/Logging_0881/kartor/A 41164-2023 karta.png", "A 41164-2023")</f>
        <v/>
      </c>
      <c r="Y48">
        <f>HYPERLINK("https://klasma.github.io/Logging_0881/kartor_geotiff/A 41164-2023 georefererad karta.tif", "A 41164-2023")</f>
        <v/>
      </c>
      <c r="AA48">
        <f>HYPERLINK("https://klasma.github.io/Logging_0881/klagomål/A 41164-2023 FSC-klagomål.docx", "A 41164-2023")</f>
        <v/>
      </c>
      <c r="AB48">
        <f>HYPERLINK("https://klasma.github.io/Logging_0881/klagomålsmail/A 41164-2023 FSC-klagomål mail.docx", "A 41164-2023")</f>
        <v/>
      </c>
      <c r="AC48">
        <f>HYPERLINK("https://klasma.github.io/Logging_0881/tillsyn/A 41164-2023 tillsynsbegäran.docx", "A 41164-2023")</f>
        <v/>
      </c>
      <c r="AD48">
        <f>HYPERLINK("https://klasma.github.io/Logging_0881/tillsynsmail/A 41164-2023 tillsynsbegäran mail.docx", "A 41164-2023")</f>
        <v/>
      </c>
      <c r="AE48">
        <f>HYPERLINK("https://klasma.github.io/Logging_0881/fåglar/A 41164-2023 prioriterade fågelarter.docx", "A 41164-2023")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46249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46249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46249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46249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46249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46249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46249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61771-2022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46249</v>
      </c>
      <c r="F56" t="inlineStr">
        <is>
          <t>KALMAR LÄN</t>
        </is>
      </c>
      <c r="G56" t="inlineStr">
        <is>
          <t>NYBRO</t>
        </is>
      </c>
      <c r="H56" t="inlineStr">
        <is>
          <t>Kommuner</t>
        </is>
      </c>
      <c r="I56" t="n">
        <v>10.4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Talltita
Kungsfågel</t>
        </is>
      </c>
      <c r="W56">
        <f>HYPERLINK("https://klasma.github.io/Logging_0881/artfynd/A 61771-2022 artfynd.xlsx", "A 61771-2022")</f>
        <v/>
      </c>
      <c r="X56">
        <f>HYPERLINK("https://klasma.github.io/Logging_0881/kartor/A 61771-2022 karta.png", "A 61771-2022")</f>
        <v/>
      </c>
      <c r="Y56">
        <f>HYPERLINK("https://klasma.github.io/Logging_0881/kartor_geotiff/A 61771-2022 georefererad karta.tif", "A 61771-2022")</f>
        <v/>
      </c>
      <c r="AA56">
        <f>HYPERLINK("https://klasma.github.io/Logging_0881/klagomål/A 61771-2022 FSC-klagomål.docx", "A 61771-2022")</f>
        <v/>
      </c>
      <c r="AB56">
        <f>HYPERLINK("https://klasma.github.io/Logging_0881/klagomålsmail/A 61771-2022 FSC-klagomål mail.docx", "A 61771-2022")</f>
        <v/>
      </c>
      <c r="AC56">
        <f>HYPERLINK("https://klasma.github.io/Logging_0881/tillsyn/A 61771-2022 tillsynsbegäran.docx", "A 61771-2022")</f>
        <v/>
      </c>
      <c r="AD56">
        <f>HYPERLINK("https://klasma.github.io/Logging_0881/tillsynsmail/A 61771-2022 tillsynsbegäran mail.docx", "A 61771-2022")</f>
        <v/>
      </c>
      <c r="AE56">
        <f>HYPERLINK("https://klasma.github.io/Logging_0881/fåglar/A 61771-2022 prioriterade fågelarter.docx", "A 61771-2022")</f>
        <v/>
      </c>
    </row>
    <row r="57" ht="15" customHeight="1">
      <c r="A57" t="inlineStr">
        <is>
          <t>A 51784-2023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46249</v>
      </c>
      <c r="F57" t="inlineStr">
        <is>
          <t>KALMAR LÄN</t>
        </is>
      </c>
      <c r="G57" t="inlineStr">
        <is>
          <t>NYBRO</t>
        </is>
      </c>
      <c r="I57" t="n">
        <v>1.2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Solvända
Tvåblad</t>
        </is>
      </c>
      <c r="W57">
        <f>HYPERLINK("https://klasma.github.io/Logging_0881/artfynd/A 51784-2023 artfynd.xlsx", "A 51784-2023")</f>
        <v/>
      </c>
      <c r="X57">
        <f>HYPERLINK("https://klasma.github.io/Logging_0881/kartor/A 51784-2023 karta.png", "A 51784-2023")</f>
        <v/>
      </c>
      <c r="Y57">
        <f>HYPERLINK("https://klasma.github.io/Logging_0881/kartor_geotiff/A 51784-2023 georefererad karta.tif", "A 51784-2023")</f>
        <v/>
      </c>
      <c r="AA57">
        <f>HYPERLINK("https://klasma.github.io/Logging_0881/klagomål/A 51784-2023 FSC-klagomål.docx", "A 51784-2023")</f>
        <v/>
      </c>
      <c r="AB57">
        <f>HYPERLINK("https://klasma.github.io/Logging_0881/klagomålsmail/A 51784-2023 FSC-klagomål mail.docx", "A 51784-2023")</f>
        <v/>
      </c>
      <c r="AC57">
        <f>HYPERLINK("https://klasma.github.io/Logging_0881/tillsyn/A 51784-2023 tillsynsbegäran.docx", "A 51784-2023")</f>
        <v/>
      </c>
      <c r="AD57">
        <f>HYPERLINK("https://klasma.github.io/Logging_0881/tillsynsmail/A 51784-2023 tillsynsbegäran mail.docx", "A 51784-2023")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46249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46249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20639-2026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46249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0</v>
      </c>
      <c r="V60" s="2" t="inlineStr">
        <is>
          <t>Ljungögontröst
Dvärglin</t>
        </is>
      </c>
      <c r="W60">
        <f>HYPERLINK("https://klasma.github.io/Logging_0881/artfynd/A 20639-2026 artfynd.xlsx", "A 20639-2026")</f>
        <v/>
      </c>
      <c r="X60">
        <f>HYPERLINK("https://klasma.github.io/Logging_0881/kartor/A 20639-2026 karta.png", "A 20639-2026")</f>
        <v/>
      </c>
      <c r="Y60">
        <f>HYPERLINK("https://klasma.github.io/Logging_0881/kartor_geotiff/A 20639-2026 georefererad karta.tif", "A 20639-2026")</f>
        <v/>
      </c>
      <c r="AA60">
        <f>HYPERLINK("https://klasma.github.io/Logging_0881/klagomål/A 20639-2026 FSC-klagomål.docx", "A 20639-2026")</f>
        <v/>
      </c>
      <c r="AB60">
        <f>HYPERLINK("https://klasma.github.io/Logging_0881/klagomålsmail/A 20639-2026 FSC-klagomål mail.docx", "A 20639-2026")</f>
        <v/>
      </c>
      <c r="AC60">
        <f>HYPERLINK("https://klasma.github.io/Logging_0881/tillsyn/A 20639-2026 tillsynsbegäran.docx", "A 20639-2026")</f>
        <v/>
      </c>
      <c r="AD60">
        <f>HYPERLINK("https://klasma.github.io/Logging_0881/tillsynsmail/A 20639-2026 tillsynsbegäran mail.docx", "A 20639-2026")</f>
        <v/>
      </c>
    </row>
    <row r="61" ht="15" customHeight="1">
      <c r="A61" t="inlineStr">
        <is>
          <t>A 9153-2023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44980</v>
      </c>
      <c r="E61" s="1" t="n">
        <v>46249</v>
      </c>
      <c r="F61" t="inlineStr">
        <is>
          <t>KALMAR LÄN</t>
        </is>
      </c>
      <c r="G61" t="inlineStr">
        <is>
          <t>NYBRO</t>
        </is>
      </c>
      <c r="I61" t="n">
        <v>2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Sandödla
Mindre hackspett</t>
        </is>
      </c>
      <c r="W61">
        <f>HYPERLINK("https://klasma.github.io/Logging_0881/artfynd/A 9153-2023 artfynd.xlsx", "A 9153-2023")</f>
        <v/>
      </c>
      <c r="X61">
        <f>HYPERLINK("https://klasma.github.io/Logging_0881/kartor/A 9153-2023 karta.png", "A 9153-2023")</f>
        <v/>
      </c>
      <c r="Y61">
        <f>HYPERLINK("https://klasma.github.io/Logging_0881/kartor_geotiff/A 9153-2023 georefererad karta.tif", "A 9153-2023")</f>
        <v/>
      </c>
      <c r="AA61">
        <f>HYPERLINK("https://klasma.github.io/Logging_0881/klagomål/A 9153-2023 FSC-klagomål.docx", "A 9153-2023")</f>
        <v/>
      </c>
      <c r="AB61">
        <f>HYPERLINK("https://klasma.github.io/Logging_0881/klagomålsmail/A 9153-2023 FSC-klagomål mail.docx", "A 9153-2023")</f>
        <v/>
      </c>
      <c r="AC61">
        <f>HYPERLINK("https://klasma.github.io/Logging_0881/tillsyn/A 9153-2023 tillsynsbegäran.docx", "A 9153-2023")</f>
        <v/>
      </c>
      <c r="AD61">
        <f>HYPERLINK("https://klasma.github.io/Logging_0881/tillsynsmail/A 9153-2023 tillsynsbegäran mail.docx", "A 9153-2023")</f>
        <v/>
      </c>
      <c r="AE61">
        <f>HYPERLINK("https://klasma.github.io/Logging_0881/fåglar/A 9153-2023 prioriterade fågelarter.docx", "A 9153-2023")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46249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22316-2024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46249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Nordfladdermus
Dvärgpipistrell</t>
        </is>
      </c>
      <c r="W63">
        <f>HYPERLINK("https://klasma.github.io/Logging_0881/artfynd/A 22316-2024 artfynd.xlsx", "A 22316-2024")</f>
        <v/>
      </c>
      <c r="X63">
        <f>HYPERLINK("https://klasma.github.io/Logging_0881/kartor/A 22316-2024 karta.png", "A 22316-2024")</f>
        <v/>
      </c>
      <c r="Y63">
        <f>HYPERLINK("https://klasma.github.io/Logging_0881/kartor_geotiff/A 22316-2024 georefererad karta.tif", "A 22316-2024")</f>
        <v/>
      </c>
      <c r="AA63">
        <f>HYPERLINK("https://klasma.github.io/Logging_0881/klagomål/A 22316-2024 FSC-klagomål.docx", "A 22316-2024")</f>
        <v/>
      </c>
      <c r="AB63">
        <f>HYPERLINK("https://klasma.github.io/Logging_0881/klagomålsmail/A 22316-2024 FSC-klagomål mail.docx", "A 22316-2024")</f>
        <v/>
      </c>
      <c r="AC63">
        <f>HYPERLINK("https://klasma.github.io/Logging_0881/tillsyn/A 22316-2024 tillsynsbegäran.docx", "A 22316-2024")</f>
        <v/>
      </c>
      <c r="AD63">
        <f>HYPERLINK("https://klasma.github.io/Logging_0881/tillsynsmail/A 22316-2024 tillsynsbegäran mail.docx", "A 22316-2024")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46249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A 28880-2023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46249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1.9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Mattlummer
Nattskärra</t>
        </is>
      </c>
      <c r="W65">
        <f>HYPERLINK("https://klasma.github.io/Logging_0881/artfynd/A 28880-2023 artfynd.xlsx", "A 28880-2023")</f>
        <v/>
      </c>
      <c r="X65">
        <f>HYPERLINK("https://klasma.github.io/Logging_0881/kartor/A 28880-2023 karta.png", "A 28880-2023")</f>
        <v/>
      </c>
      <c r="Y65">
        <f>HYPERLINK("https://klasma.github.io/Logging_0881/kartor_geotiff/A 28880-2023 georefererad karta.tif", "A 28880-2023")</f>
        <v/>
      </c>
      <c r="AA65">
        <f>HYPERLINK("https://klasma.github.io/Logging_0881/klagomål/A 28880-2023 FSC-klagomål.docx", "A 28880-2023")</f>
        <v/>
      </c>
      <c r="AB65">
        <f>HYPERLINK("https://klasma.github.io/Logging_0881/klagomålsmail/A 28880-2023 FSC-klagomål mail.docx", "A 28880-2023")</f>
        <v/>
      </c>
      <c r="AC65">
        <f>HYPERLINK("https://klasma.github.io/Logging_0881/tillsyn/A 28880-2023 tillsynsbegäran.docx", "A 28880-2023")</f>
        <v/>
      </c>
      <c r="AD65">
        <f>HYPERLINK("https://klasma.github.io/Logging_0881/tillsynsmail/A 28880-2023 tillsynsbegäran mail.docx", "A 28880-2023")</f>
        <v/>
      </c>
      <c r="AE65">
        <f>HYPERLINK("https://klasma.github.io/Logging_0881/fåglar/A 28880-2023 prioriterade fågelarter.docx", "A 28880-2023")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46249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46249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46249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46249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46249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46249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46249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46249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46249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46249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46249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16715-2025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46249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Större brunfladdermus</t>
        </is>
      </c>
      <c r="W77">
        <f>HYPERLINK("https://klasma.github.io/Logging_0881/artfynd/A 16715-2025 artfynd.xlsx", "A 16715-2025")</f>
        <v/>
      </c>
      <c r="X77">
        <f>HYPERLINK("https://klasma.github.io/Logging_0881/kartor/A 16715-2025 karta.png", "A 16715-2025")</f>
        <v/>
      </c>
      <c r="Y77">
        <f>HYPERLINK("https://klasma.github.io/Logging_0881/kartor_geotiff/A 16715-2025 georefererad karta.tif", "A 16715-2025")</f>
        <v/>
      </c>
      <c r="AA77">
        <f>HYPERLINK("https://klasma.github.io/Logging_0881/klagomål/A 16715-2025 FSC-klagomål.docx", "A 16715-2025")</f>
        <v/>
      </c>
      <c r="AB77">
        <f>HYPERLINK("https://klasma.github.io/Logging_0881/klagomålsmail/A 16715-2025 FSC-klagomål mail.docx", "A 16715-2025")</f>
        <v/>
      </c>
      <c r="AC77">
        <f>HYPERLINK("https://klasma.github.io/Logging_0881/tillsyn/A 16715-2025 tillsynsbegäran.docx", "A 16715-2025")</f>
        <v/>
      </c>
      <c r="AD77">
        <f>HYPERLINK("https://klasma.github.io/Logging_0881/tillsynsmail/A 16715-2025 tillsynsbegäran mail.docx", "A 16715-2025")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46249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46249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50008-2023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46249</v>
      </c>
      <c r="F80" t="inlineStr">
        <is>
          <t>KALMAR LÄN</t>
        </is>
      </c>
      <c r="G80" t="inlineStr">
        <is>
          <t>NYBRO</t>
        </is>
      </c>
      <c r="I80" t="n">
        <v>2.1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HYPERLINK("https://klasma.github.io/Logging_0881/artfynd/A 50008-2023 artfynd.xlsx", "A 50008-2023")</f>
        <v/>
      </c>
      <c r="X80">
        <f>HYPERLINK("https://klasma.github.io/Logging_0881/kartor/A 50008-2023 karta.png", "A 50008-2023")</f>
        <v/>
      </c>
      <c r="Y80">
        <f>HYPERLINK("https://klasma.github.io/Logging_0881/kartor_geotiff/A 50008-2023 georefererad karta.tif", "A 50008-2023")</f>
        <v/>
      </c>
      <c r="AA80">
        <f>HYPERLINK("https://klasma.github.io/Logging_0881/klagomål/A 50008-2023 FSC-klagomål.docx", "A 50008-2023")</f>
        <v/>
      </c>
      <c r="AB80">
        <f>HYPERLINK("https://klasma.github.io/Logging_0881/klagomålsmail/A 50008-2023 FSC-klagomål mail.docx", "A 50008-2023")</f>
        <v/>
      </c>
      <c r="AC80">
        <f>HYPERLINK("https://klasma.github.io/Logging_0881/tillsyn/A 50008-2023 tillsynsbegäran.docx", "A 50008-2023")</f>
        <v/>
      </c>
      <c r="AD80">
        <f>HYPERLINK("https://klasma.github.io/Logging_0881/tillsynsmail/A 50008-2023 tillsynsbegäran mail.docx", "A 50008-2023")</f>
        <v/>
      </c>
    </row>
    <row r="81" ht="15" customHeight="1">
      <c r="A81" t="inlineStr">
        <is>
          <t>A 38265-2024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46249</v>
      </c>
      <c r="F81" t="inlineStr">
        <is>
          <t>KALMAR LÄN</t>
        </is>
      </c>
      <c r="G81" t="inlineStr">
        <is>
          <t>NYBRO</t>
        </is>
      </c>
      <c r="I81" t="n">
        <v>4.2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Mindre bastardsvärmare</t>
        </is>
      </c>
      <c r="W81">
        <f>HYPERLINK("https://klasma.github.io/Logging_0881/artfynd/A 38265-2024 artfynd.xlsx", "A 38265-2024")</f>
        <v/>
      </c>
      <c r="X81">
        <f>HYPERLINK("https://klasma.github.io/Logging_0881/kartor/A 38265-2024 karta.png", "A 38265-2024")</f>
        <v/>
      </c>
      <c r="Y81">
        <f>HYPERLINK("https://klasma.github.io/Logging_0881/kartor_geotiff/A 38265-2024 georefererad karta.tif", "A 38265-2024")</f>
        <v/>
      </c>
      <c r="AA81">
        <f>HYPERLINK("https://klasma.github.io/Logging_0881/klagomål/A 38265-2024 FSC-klagomål.docx", "A 38265-2024")</f>
        <v/>
      </c>
      <c r="AB81">
        <f>HYPERLINK("https://klasma.github.io/Logging_0881/klagomålsmail/A 38265-2024 FSC-klagomål mail.docx", "A 38265-2024")</f>
        <v/>
      </c>
      <c r="AC81">
        <f>HYPERLINK("https://klasma.github.io/Logging_0881/tillsyn/A 38265-2024 tillsynsbegäran.docx", "A 38265-2024")</f>
        <v/>
      </c>
      <c r="AD81">
        <f>HYPERLINK("https://klasma.github.io/Logging_0881/tillsynsmail/A 38265-2024 tillsynsbegäran mail.docx", "A 38265-2024")</f>
        <v/>
      </c>
    </row>
    <row r="82" ht="15" customHeight="1">
      <c r="A82" t="inlineStr">
        <is>
          <t>A 61140-2022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46249</v>
      </c>
      <c r="F82" t="inlineStr">
        <is>
          <t>KALMAR LÄN</t>
        </is>
      </c>
      <c r="G82" t="inlineStr">
        <is>
          <t>NYBRO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HYPERLINK("https://klasma.github.io/Logging_0881/artfynd/A 61140-2022 artfynd.xlsx", "A 61140-2022")</f>
        <v/>
      </c>
      <c r="X82">
        <f>HYPERLINK("https://klasma.github.io/Logging_0881/kartor/A 61140-2022 karta.png", "A 61140-2022")</f>
        <v/>
      </c>
      <c r="Y82">
        <f>HYPERLINK("https://klasma.github.io/Logging_0881/kartor_geotiff/A 61140-2022 georefererad karta.tif", "A 61140-2022")</f>
        <v/>
      </c>
      <c r="AA82">
        <f>HYPERLINK("https://klasma.github.io/Logging_0881/klagomål/A 61140-2022 FSC-klagomål.docx", "A 61140-2022")</f>
        <v/>
      </c>
      <c r="AB82">
        <f>HYPERLINK("https://klasma.github.io/Logging_0881/klagomålsmail/A 61140-2022 FSC-klagomål mail.docx", "A 61140-2022")</f>
        <v/>
      </c>
      <c r="AC82">
        <f>HYPERLINK("https://klasma.github.io/Logging_0881/tillsyn/A 61140-2022 tillsynsbegäran.docx", "A 61140-2022")</f>
        <v/>
      </c>
      <c r="AD82">
        <f>HYPERLINK("https://klasma.github.io/Logging_0881/tillsynsmail/A 61140-2022 tillsynsbegäran mail.docx", "A 61140-2022")</f>
        <v/>
      </c>
      <c r="AE82">
        <f>HYPERLINK("https://klasma.github.io/Logging_0881/fåglar/A 61140-2022 prioriterade fågelarter.docx", "A 61140-2022")</f>
        <v/>
      </c>
    </row>
    <row r="83" ht="15" customHeight="1">
      <c r="A83" t="inlineStr">
        <is>
          <t>A 1717-2024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45307</v>
      </c>
      <c r="E83" s="1" t="n">
        <v>46249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0.7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HYPERLINK("https://klasma.github.io/Logging_0881/artfynd/A 1717-2024 artfynd.xlsx", "A 1717-2024")</f>
        <v/>
      </c>
      <c r="X83">
        <f>HYPERLINK("https://klasma.github.io/Logging_0881/kartor/A 1717-2024 karta.png", "A 1717-2024")</f>
        <v/>
      </c>
      <c r="Y83">
        <f>HYPERLINK("https://klasma.github.io/Logging_0881/kartor_geotiff/A 1717-2024 georefererad karta.tif", "A 1717-2024")</f>
        <v/>
      </c>
      <c r="AA83">
        <f>HYPERLINK("https://klasma.github.io/Logging_0881/klagomål/A 1717-2024 FSC-klagomål.docx", "A 1717-2024")</f>
        <v/>
      </c>
      <c r="AB83">
        <f>HYPERLINK("https://klasma.github.io/Logging_0881/klagomålsmail/A 1717-2024 FSC-klagomål mail.docx", "A 1717-2024")</f>
        <v/>
      </c>
      <c r="AC83">
        <f>HYPERLINK("https://klasma.github.io/Logging_0881/tillsyn/A 1717-2024 tillsynsbegäran.docx", "A 1717-2024")</f>
        <v/>
      </c>
      <c r="AD83">
        <f>HYPERLINK("https://klasma.github.io/Logging_0881/tillsynsmail/A 1717-2024 tillsynsbegäran mail.docx", "A 1717-2024")</f>
        <v/>
      </c>
    </row>
    <row r="84" ht="15" customHeight="1">
      <c r="A84" t="inlineStr">
        <is>
          <t>A 12323-2025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46249</v>
      </c>
      <c r="F84" t="inlineStr">
        <is>
          <t>KALMAR LÄN</t>
        </is>
      </c>
      <c r="G84" t="inlineStr">
        <is>
          <t>NYBRO</t>
        </is>
      </c>
      <c r="I84" t="n">
        <v>14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Mindre hackspett</t>
        </is>
      </c>
      <c r="W84">
        <f>HYPERLINK("https://klasma.github.io/Logging_0881/artfynd/A 12323-2025 artfynd.xlsx", "A 12323-2025")</f>
        <v/>
      </c>
      <c r="X84">
        <f>HYPERLINK("https://klasma.github.io/Logging_0881/kartor/A 12323-2025 karta.png", "A 12323-2025")</f>
        <v/>
      </c>
      <c r="Y84">
        <f>HYPERLINK("https://klasma.github.io/Logging_0881/kartor_geotiff/A 12323-2025 georefererad karta.tif", "A 12323-2025")</f>
        <v/>
      </c>
      <c r="AA84">
        <f>HYPERLINK("https://klasma.github.io/Logging_0881/klagomål/A 12323-2025 FSC-klagomål.docx", "A 12323-2025")</f>
        <v/>
      </c>
      <c r="AB84">
        <f>HYPERLINK("https://klasma.github.io/Logging_0881/klagomålsmail/A 12323-2025 FSC-klagomål mail.docx", "A 12323-2025")</f>
        <v/>
      </c>
      <c r="AC84">
        <f>HYPERLINK("https://klasma.github.io/Logging_0881/tillsyn/A 12323-2025 tillsynsbegäran.docx", "A 12323-2025")</f>
        <v/>
      </c>
      <c r="AD84">
        <f>HYPERLINK("https://klasma.github.io/Logging_0881/tillsynsmail/A 12323-2025 tillsynsbegäran mail.docx", "A 12323-2025")</f>
        <v/>
      </c>
      <c r="AE84">
        <f>HYPERLINK("https://klasma.github.io/Logging_0881/fåglar/A 12323-2025 prioriterade fågelarter.docx", "A 12323-2025")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46249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17741-2025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45758</v>
      </c>
      <c r="E86" s="1" t="n">
        <v>46249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Tårkragskivling</t>
        </is>
      </c>
      <c r="W86">
        <f>HYPERLINK("https://klasma.github.io/Logging_0881/artfynd/A 17741-2025 artfynd.xlsx", "A 17741-2025")</f>
        <v/>
      </c>
      <c r="X86">
        <f>HYPERLINK("https://klasma.github.io/Logging_0881/kartor/A 17741-2025 karta.png", "A 17741-2025")</f>
        <v/>
      </c>
      <c r="Y86">
        <f>HYPERLINK("https://klasma.github.io/Logging_0881/kartor_geotiff/A 17741-2025 georefererad karta.tif", "A 17741-2025")</f>
        <v/>
      </c>
      <c r="AA86">
        <f>HYPERLINK("https://klasma.github.io/Logging_0881/klagomål/A 17741-2025 FSC-klagomål.docx", "A 17741-2025")</f>
        <v/>
      </c>
      <c r="AB86">
        <f>HYPERLINK("https://klasma.github.io/Logging_0881/klagomålsmail/A 17741-2025 FSC-klagomål mail.docx", "A 17741-2025")</f>
        <v/>
      </c>
      <c r="AC86">
        <f>HYPERLINK("https://klasma.github.io/Logging_0881/tillsyn/A 17741-2025 tillsynsbegäran.docx", "A 17741-2025")</f>
        <v/>
      </c>
      <c r="AD86">
        <f>HYPERLINK("https://klasma.github.io/Logging_0881/tillsynsmail/A 17741-2025 tillsynsbegäran mail.docx", "A 17741-2025")</f>
        <v/>
      </c>
    </row>
    <row r="87" ht="15" customHeight="1">
      <c r="A87" t="inlineStr">
        <is>
          <t>A 13412-2026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46249</v>
      </c>
      <c r="F87" t="inlineStr">
        <is>
          <t>KALMAR LÄN</t>
        </is>
      </c>
      <c r="G87" t="inlineStr">
        <is>
          <t>NYBRO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Slåtterfibbla</t>
        </is>
      </c>
      <c r="W87">
        <f>HYPERLINK("https://klasma.github.io/Logging_0881/artfynd/A 13412-2026 artfynd.xlsx", "A 13412-2026")</f>
        <v/>
      </c>
      <c r="X87">
        <f>HYPERLINK("https://klasma.github.io/Logging_0881/kartor/A 13412-2026 karta.png", "A 13412-2026")</f>
        <v/>
      </c>
      <c r="Y87">
        <f>HYPERLINK("https://klasma.github.io/Logging_0881/kartor_geotiff/A 13412-2026 georefererad karta.tif", "A 13412-2026")</f>
        <v/>
      </c>
      <c r="AA87">
        <f>HYPERLINK("https://klasma.github.io/Logging_0881/klagomål/A 13412-2026 FSC-klagomål.docx", "A 13412-2026")</f>
        <v/>
      </c>
      <c r="AB87">
        <f>HYPERLINK("https://klasma.github.io/Logging_0881/klagomålsmail/A 13412-2026 FSC-klagomål mail.docx", "A 13412-2026")</f>
        <v/>
      </c>
      <c r="AC87">
        <f>HYPERLINK("https://klasma.github.io/Logging_0881/tillsyn/A 13412-2026 tillsynsbegäran.docx", "A 13412-2026")</f>
        <v/>
      </c>
      <c r="AD87">
        <f>HYPERLINK("https://klasma.github.io/Logging_0881/tillsynsmail/A 13412-2026 tillsynsbegäran mail.docx", "A 13412-2026")</f>
        <v/>
      </c>
    </row>
    <row r="88" ht="15" customHeight="1">
      <c r="A88" t="inlineStr">
        <is>
          <t>A 22952-2024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45449</v>
      </c>
      <c r="E88" s="1" t="n">
        <v>46249</v>
      </c>
      <c r="F88" t="inlineStr">
        <is>
          <t>KALMAR LÄN</t>
        </is>
      </c>
      <c r="G88" t="inlineStr">
        <is>
          <t>NYBRO</t>
        </is>
      </c>
      <c r="I88" t="n">
        <v>14.1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HYPERLINK("https://klasma.github.io/Logging_0881/artfynd/A 22952-2024 artfynd.xlsx", "A 22952-2024")</f>
        <v/>
      </c>
      <c r="X88">
        <f>HYPERLINK("https://klasma.github.io/Logging_0881/kartor/A 22952-2024 karta.png", "A 22952-2024")</f>
        <v/>
      </c>
      <c r="Y88">
        <f>HYPERLINK("https://klasma.github.io/Logging_0881/kartor_geotiff/A 22952-2024 georefererad karta.tif", "A 22952-2024")</f>
        <v/>
      </c>
      <c r="AA88">
        <f>HYPERLINK("https://klasma.github.io/Logging_0881/klagomål/A 22952-2024 FSC-klagomål.docx", "A 22952-2024")</f>
        <v/>
      </c>
      <c r="AB88">
        <f>HYPERLINK("https://klasma.github.io/Logging_0881/klagomålsmail/A 22952-2024 FSC-klagomål mail.docx", "A 22952-2024")</f>
        <v/>
      </c>
      <c r="AC88">
        <f>HYPERLINK("https://klasma.github.io/Logging_0881/tillsyn/A 22952-2024 tillsynsbegäran.docx", "A 22952-2024")</f>
        <v/>
      </c>
      <c r="AD88">
        <f>HYPERLINK("https://klasma.github.io/Logging_0881/tillsynsmail/A 22952-2024 tillsynsbegäran mail.docx", "A 22952-2024")</f>
        <v/>
      </c>
    </row>
    <row r="89" ht="15" customHeight="1">
      <c r="A89" t="inlineStr">
        <is>
          <t>A 47582-2021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46249</v>
      </c>
      <c r="F89" t="inlineStr">
        <is>
          <t>KALMAR LÄN</t>
        </is>
      </c>
      <c r="G89" t="inlineStr">
        <is>
          <t>NYBRO</t>
        </is>
      </c>
      <c r="I89" t="n">
        <v>4.5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Kungsfågel</t>
        </is>
      </c>
      <c r="W89">
        <f>HYPERLINK("https://klasma.github.io/Logging_0881/artfynd/A 47582-2021 artfynd.xlsx", "A 47582-2021")</f>
        <v/>
      </c>
      <c r="X89">
        <f>HYPERLINK("https://klasma.github.io/Logging_0881/kartor/A 47582-2021 karta.png", "A 47582-2021")</f>
        <v/>
      </c>
      <c r="Y89">
        <f>HYPERLINK("https://klasma.github.io/Logging_0881/kartor_geotiff/A 47582-2021 georefererad karta.tif", "A 47582-2021")</f>
        <v/>
      </c>
      <c r="AA89">
        <f>HYPERLINK("https://klasma.github.io/Logging_0881/klagomål/A 47582-2021 FSC-klagomål.docx", "A 47582-2021")</f>
        <v/>
      </c>
      <c r="AB89">
        <f>HYPERLINK("https://klasma.github.io/Logging_0881/klagomålsmail/A 47582-2021 FSC-klagomål mail.docx", "A 47582-2021")</f>
        <v/>
      </c>
      <c r="AC89">
        <f>HYPERLINK("https://klasma.github.io/Logging_0881/tillsyn/A 47582-2021 tillsynsbegäran.docx", "A 47582-2021")</f>
        <v/>
      </c>
      <c r="AD89">
        <f>HYPERLINK("https://klasma.github.io/Logging_0881/tillsynsmail/A 47582-2021 tillsynsbegäran mail.docx", "A 47582-2021")</f>
        <v/>
      </c>
    </row>
    <row r="90" ht="15" customHeight="1">
      <c r="A90" t="inlineStr">
        <is>
          <t>A 61790-2022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46249</v>
      </c>
      <c r="F90" t="inlineStr">
        <is>
          <t>KALMAR LÄN</t>
        </is>
      </c>
      <c r="G90" t="inlineStr">
        <is>
          <t>NYBRO</t>
        </is>
      </c>
      <c r="H90" t="inlineStr">
        <is>
          <t>Kommuner</t>
        </is>
      </c>
      <c r="I90" t="n">
        <v>3.7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Grönpyrola</t>
        </is>
      </c>
      <c r="W90">
        <f>HYPERLINK("https://klasma.github.io/Logging_0881/artfynd/A 61790-2022 artfynd.xlsx", "A 61790-2022")</f>
        <v/>
      </c>
      <c r="X90">
        <f>HYPERLINK("https://klasma.github.io/Logging_0881/kartor/A 61790-2022 karta.png", "A 61790-2022")</f>
        <v/>
      </c>
      <c r="Y90">
        <f>HYPERLINK("https://klasma.github.io/Logging_0881/kartor_geotiff/A 61790-2022 georefererad karta.tif", "A 61790-2022")</f>
        <v/>
      </c>
      <c r="AA90">
        <f>HYPERLINK("https://klasma.github.io/Logging_0881/klagomål/A 61790-2022 FSC-klagomål.docx", "A 61790-2022")</f>
        <v/>
      </c>
      <c r="AB90">
        <f>HYPERLINK("https://klasma.github.io/Logging_0881/klagomålsmail/A 61790-2022 FSC-klagomål mail.docx", "A 61790-2022")</f>
        <v/>
      </c>
      <c r="AC90">
        <f>HYPERLINK("https://klasma.github.io/Logging_0881/tillsyn/A 61790-2022 tillsynsbegäran.docx", "A 61790-2022")</f>
        <v/>
      </c>
      <c r="AD90">
        <f>HYPERLINK("https://klasma.github.io/Logging_0881/tillsynsmail/A 61790-2022 tillsynsbegäran mail.docx", "A 61790-2022")</f>
        <v/>
      </c>
    </row>
    <row r="91" ht="15" customHeight="1">
      <c r="A91" t="inlineStr">
        <is>
          <t>A 16161-2026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46109</v>
      </c>
      <c r="E91" s="1" t="n">
        <v>46249</v>
      </c>
      <c r="F91" t="inlineStr">
        <is>
          <t>KALMAR LÄN</t>
        </is>
      </c>
      <c r="G91" t="inlineStr">
        <is>
          <t>NYBRO</t>
        </is>
      </c>
      <c r="I91" t="n">
        <v>6.1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Mosippa</t>
        </is>
      </c>
      <c r="W91">
        <f>HYPERLINK("https://klasma.github.io/Logging_0881/artfynd/A 16161-2026 artfynd.xlsx", "A 16161-2026")</f>
        <v/>
      </c>
      <c r="X91">
        <f>HYPERLINK("https://klasma.github.io/Logging_0881/kartor/A 16161-2026 karta.png", "A 16161-2026")</f>
        <v/>
      </c>
      <c r="Y91">
        <f>HYPERLINK("https://klasma.github.io/Logging_0881/kartor_geotiff/A 16161-2026 georefererad karta.tif", "A 16161-2026")</f>
        <v/>
      </c>
      <c r="AA91">
        <f>HYPERLINK("https://klasma.github.io/Logging_0881/klagomål/A 16161-2026 FSC-klagomål.docx", "A 16161-2026")</f>
        <v/>
      </c>
      <c r="AB91">
        <f>HYPERLINK("https://klasma.github.io/Logging_0881/klagomålsmail/A 16161-2026 FSC-klagomål mail.docx", "A 16161-2026")</f>
        <v/>
      </c>
      <c r="AC91">
        <f>HYPERLINK("https://klasma.github.io/Logging_0881/tillsyn/A 16161-2026 tillsynsbegäran.docx", "A 16161-2026")</f>
        <v/>
      </c>
      <c r="AD91">
        <f>HYPERLINK("https://klasma.github.io/Logging_0881/tillsynsmail/A 16161-2026 tillsynsbegäran mail.docx", "A 16161-2026")</f>
        <v/>
      </c>
    </row>
    <row r="92" ht="15" customHeight="1">
      <c r="A92" t="inlineStr">
        <is>
          <t>A 46223-2024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46249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Sumpviol</t>
        </is>
      </c>
      <c r="W92">
        <f>HYPERLINK("https://klasma.github.io/Logging_0881/artfynd/A 46223-2024 artfynd.xlsx", "A 46223-2024")</f>
        <v/>
      </c>
      <c r="X92">
        <f>HYPERLINK("https://klasma.github.io/Logging_0881/kartor/A 46223-2024 karta.png", "A 46223-2024")</f>
        <v/>
      </c>
      <c r="Y92">
        <f>HYPERLINK("https://klasma.github.io/Logging_0881/kartor_geotiff/A 46223-2024 georefererad karta.tif", "A 46223-2024")</f>
        <v/>
      </c>
      <c r="AA92">
        <f>HYPERLINK("https://klasma.github.io/Logging_0881/klagomål/A 46223-2024 FSC-klagomål.docx", "A 46223-2024")</f>
        <v/>
      </c>
      <c r="AB92">
        <f>HYPERLINK("https://klasma.github.io/Logging_0881/klagomålsmail/A 46223-2024 FSC-klagomål mail.docx", "A 46223-2024")</f>
        <v/>
      </c>
      <c r="AC92">
        <f>HYPERLINK("https://klasma.github.io/Logging_0881/tillsyn/A 46223-2024 tillsynsbegäran.docx", "A 46223-2024")</f>
        <v/>
      </c>
      <c r="AD92">
        <f>HYPERLINK("https://klasma.github.io/Logging_0881/tillsynsmail/A 46223-2024 tillsynsbegäran mail.docx", "A 46223-2024")</f>
        <v/>
      </c>
    </row>
    <row r="93" ht="15" customHeight="1">
      <c r="A93" t="inlineStr">
        <is>
          <t>A 18402-2026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46126</v>
      </c>
      <c r="E93" s="1" t="n">
        <v>46249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18402-2026 artfynd.xlsx", "A 18402-2026")</f>
        <v/>
      </c>
      <c r="X93">
        <f>HYPERLINK("https://klasma.github.io/Logging_0881/kartor/A 18402-2026 karta.png", "A 18402-2026")</f>
        <v/>
      </c>
      <c r="Y93">
        <f>HYPERLINK("https://klasma.github.io/Logging_0881/kartor_geotiff/A 18402-2026 georefererad karta.tif", "A 18402-2026")</f>
        <v/>
      </c>
      <c r="AA93">
        <f>HYPERLINK("https://klasma.github.io/Logging_0881/klagomål/A 18402-2026 FSC-klagomål.docx", "A 18402-2026")</f>
        <v/>
      </c>
      <c r="AB93">
        <f>HYPERLINK("https://klasma.github.io/Logging_0881/klagomålsmail/A 18402-2026 FSC-klagomål mail.docx", "A 18402-2026")</f>
        <v/>
      </c>
      <c r="AC93">
        <f>HYPERLINK("https://klasma.github.io/Logging_0881/tillsyn/A 18402-2026 tillsynsbegäran.docx", "A 18402-2026")</f>
        <v/>
      </c>
      <c r="AD93">
        <f>HYPERLINK("https://klasma.github.io/Logging_0881/tillsynsmail/A 18402-2026 tillsynsbegäran mail.docx", "A 18402-2026")</f>
        <v/>
      </c>
      <c r="AE93">
        <f>HYPERLINK("https://klasma.github.io/Logging_0881/fåglar/A 18402-2026 prioriterade fågelarter.docx", "A 18402-2026")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46249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46249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35388-2022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46249</v>
      </c>
      <c r="F96" t="inlineStr">
        <is>
          <t>KALMAR LÄN</t>
        </is>
      </c>
      <c r="G96" t="inlineStr">
        <is>
          <t>NYBRO</t>
        </is>
      </c>
      <c r="I96" t="n">
        <v>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Motaggsvamp</t>
        </is>
      </c>
      <c r="W96">
        <f>HYPERLINK("https://klasma.github.io/Logging_0881/artfynd/A 35388-2022 artfynd.xlsx", "A 35388-2022")</f>
        <v/>
      </c>
      <c r="X96">
        <f>HYPERLINK("https://klasma.github.io/Logging_0881/kartor/A 35388-2022 karta.png", "A 35388-2022")</f>
        <v/>
      </c>
      <c r="Y96">
        <f>HYPERLINK("https://klasma.github.io/Logging_0881/kartor_geotiff/A 35388-2022 georefererad karta.tif", "A 35388-2022")</f>
        <v/>
      </c>
      <c r="AA96">
        <f>HYPERLINK("https://klasma.github.io/Logging_0881/klagomål/A 35388-2022 FSC-klagomål.docx", "A 35388-2022")</f>
        <v/>
      </c>
      <c r="AB96">
        <f>HYPERLINK("https://klasma.github.io/Logging_0881/klagomålsmail/A 35388-2022 FSC-klagomål mail.docx", "A 35388-2022")</f>
        <v/>
      </c>
      <c r="AC96">
        <f>HYPERLINK("https://klasma.github.io/Logging_0881/tillsyn/A 35388-2022 tillsynsbegäran.docx", "A 35388-2022")</f>
        <v/>
      </c>
      <c r="AD96">
        <f>HYPERLINK("https://klasma.github.io/Logging_0881/tillsynsmail/A 35388-2022 tillsynsbegäran mail.docx", "A 35388-2022")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46249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46249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30510-2023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46249</v>
      </c>
      <c r="F99" t="inlineStr">
        <is>
          <t>KALMAR LÄN</t>
        </is>
      </c>
      <c r="G99" t="inlineStr">
        <is>
          <t>NYBRO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Tjäder</t>
        </is>
      </c>
      <c r="W99">
        <f>HYPERLINK("https://klasma.github.io/Logging_0881/artfynd/A 30510-2023 artfynd.xlsx", "A 30510-2023")</f>
        <v/>
      </c>
      <c r="X99">
        <f>HYPERLINK("https://klasma.github.io/Logging_0881/kartor/A 30510-2023 karta.png", "A 30510-2023")</f>
        <v/>
      </c>
      <c r="Y99">
        <f>HYPERLINK("https://klasma.github.io/Logging_0881/kartor_geotiff/A 30510-2023 georefererad karta.tif", "A 30510-2023")</f>
        <v/>
      </c>
      <c r="AA99">
        <f>HYPERLINK("https://klasma.github.io/Logging_0881/klagomål/A 30510-2023 FSC-klagomål.docx", "A 30510-2023")</f>
        <v/>
      </c>
      <c r="AB99">
        <f>HYPERLINK("https://klasma.github.io/Logging_0881/klagomålsmail/A 30510-2023 FSC-klagomål mail.docx", "A 30510-2023")</f>
        <v/>
      </c>
      <c r="AC99">
        <f>HYPERLINK("https://klasma.github.io/Logging_0881/tillsyn/A 30510-2023 tillsynsbegäran.docx", "A 30510-2023")</f>
        <v/>
      </c>
      <c r="AD99">
        <f>HYPERLINK("https://klasma.github.io/Logging_0881/tillsynsmail/A 30510-2023 tillsynsbegäran mail.docx", "A 30510-2023")</f>
        <v/>
      </c>
      <c r="AE99">
        <f>HYPERLINK("https://klasma.github.io/Logging_0881/fåglar/A 30510-2023 prioriterade fågelarter.docx", "A 30510-2023")</f>
        <v/>
      </c>
    </row>
    <row r="100" ht="15" customHeight="1">
      <c r="A100" t="inlineStr">
        <is>
          <t>A 6676-2023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44966</v>
      </c>
      <c r="E100" s="1" t="n">
        <v>46249</v>
      </c>
      <c r="F100" t="inlineStr">
        <is>
          <t>KALMAR LÄN</t>
        </is>
      </c>
      <c r="G100" t="inlineStr">
        <is>
          <t>NYBRO</t>
        </is>
      </c>
      <c r="I100" t="n">
        <v>0.7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Etternässla</t>
        </is>
      </c>
      <c r="W100">
        <f>HYPERLINK("https://klasma.github.io/Logging_0881/artfynd/A 6676-2023 artfynd.xlsx", "A 6676-2023")</f>
        <v/>
      </c>
      <c r="X100">
        <f>HYPERLINK("https://klasma.github.io/Logging_0881/kartor/A 6676-2023 karta.png", "A 6676-2023")</f>
        <v/>
      </c>
      <c r="Y100">
        <f>HYPERLINK("https://klasma.github.io/Logging_0881/kartor_geotiff/A 6676-2023 georefererad karta.tif", "A 6676-2023")</f>
        <v/>
      </c>
      <c r="AA100">
        <f>HYPERLINK("https://klasma.github.io/Logging_0881/klagomål/A 6676-2023 FSC-klagomål.docx", "A 6676-2023")</f>
        <v/>
      </c>
      <c r="AB100">
        <f>HYPERLINK("https://klasma.github.io/Logging_0881/klagomålsmail/A 6676-2023 FSC-klagomål mail.docx", "A 6676-2023")</f>
        <v/>
      </c>
      <c r="AC100">
        <f>HYPERLINK("https://klasma.github.io/Logging_0881/tillsyn/A 6676-2023 tillsynsbegäran.docx", "A 6676-2023")</f>
        <v/>
      </c>
      <c r="AD100">
        <f>HYPERLINK("https://klasma.github.io/Logging_0881/tillsynsmail/A 6676-2023 tillsynsbegäran mail.docx", "A 6676-2023")</f>
        <v/>
      </c>
    </row>
    <row r="101" ht="15" customHeight="1">
      <c r="A101" t="inlineStr">
        <is>
          <t>A 3726-2023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44951</v>
      </c>
      <c r="E101" s="1" t="n">
        <v>46249</v>
      </c>
      <c r="F101" t="inlineStr">
        <is>
          <t>KALMAR LÄN</t>
        </is>
      </c>
      <c r="G101" t="inlineStr">
        <is>
          <t>NYBRO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HYPERLINK("https://klasma.github.io/Logging_0881/artfynd/A 3726-2023 artfynd.xlsx", "A 3726-2023")</f>
        <v/>
      </c>
      <c r="X101">
        <f>HYPERLINK("https://klasma.github.io/Logging_0881/kartor/A 3726-2023 karta.png", "A 3726-2023")</f>
        <v/>
      </c>
      <c r="Y101">
        <f>HYPERLINK("https://klasma.github.io/Logging_0881/kartor_geotiff/A 3726-2023 georefererad karta.tif", "A 3726-2023")</f>
        <v/>
      </c>
      <c r="AA101">
        <f>HYPERLINK("https://klasma.github.io/Logging_0881/klagomål/A 3726-2023 FSC-klagomål.docx", "A 3726-2023")</f>
        <v/>
      </c>
      <c r="AB101">
        <f>HYPERLINK("https://klasma.github.io/Logging_0881/klagomålsmail/A 3726-2023 FSC-klagomål mail.docx", "A 3726-2023")</f>
        <v/>
      </c>
      <c r="AC101">
        <f>HYPERLINK("https://klasma.github.io/Logging_0881/tillsyn/A 3726-2023 tillsynsbegäran.docx", "A 3726-2023")</f>
        <v/>
      </c>
      <c r="AD101">
        <f>HYPERLINK("https://klasma.github.io/Logging_0881/tillsynsmail/A 3726-2023 tillsynsbegäran mail.docx", "A 3726-2023")</f>
        <v/>
      </c>
    </row>
    <row r="102" ht="15" customHeight="1">
      <c r="A102" t="inlineStr">
        <is>
          <t>A 7038-2026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46249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flatbagge</t>
        </is>
      </c>
      <c r="W102">
        <f>HYPERLINK("https://klasma.github.io/Logging_0881/artfynd/A 7038-2026 artfynd.xlsx", "A 7038-2026")</f>
        <v/>
      </c>
      <c r="X102">
        <f>HYPERLINK("https://klasma.github.io/Logging_0881/kartor/A 7038-2026 karta.png", "A 7038-2026")</f>
        <v/>
      </c>
      <c r="Y102">
        <f>HYPERLINK("https://klasma.github.io/Logging_0881/kartor_geotiff/A 7038-2026 georefererad karta.tif", "A 7038-2026")</f>
        <v/>
      </c>
      <c r="AA102">
        <f>HYPERLINK("https://klasma.github.io/Logging_0881/klagomål/A 7038-2026 FSC-klagomål.docx", "A 7038-2026")</f>
        <v/>
      </c>
      <c r="AB102">
        <f>HYPERLINK("https://klasma.github.io/Logging_0881/klagomålsmail/A 7038-2026 FSC-klagomål mail.docx", "A 7038-2026")</f>
        <v/>
      </c>
      <c r="AC102">
        <f>HYPERLINK("https://klasma.github.io/Logging_0881/tillsyn/A 7038-2026 tillsynsbegäran.docx", "A 7038-2026")</f>
        <v/>
      </c>
      <c r="AD102">
        <f>HYPERLINK("https://klasma.github.io/Logging_0881/tillsynsmail/A 7038-2026 tillsynsbegäran mail.docx", "A 7038-2026")</f>
        <v/>
      </c>
    </row>
    <row r="103" ht="15" customHeight="1">
      <c r="A103" t="inlineStr">
        <is>
          <t>A 61809-2024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45649</v>
      </c>
      <c r="E103" s="1" t="n">
        <v>46249</v>
      </c>
      <c r="F103" t="inlineStr">
        <is>
          <t>KALMAR LÄN</t>
        </is>
      </c>
      <c r="G103" t="inlineStr">
        <is>
          <t>NYBRO</t>
        </is>
      </c>
      <c r="I103" t="n">
        <v>15.8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61809-2024 artfynd.xlsx", "A 61809-2024")</f>
        <v/>
      </c>
      <c r="X103">
        <f>HYPERLINK("https://klasma.github.io/Logging_0881/kartor/A 61809-2024 karta.png", "A 61809-2024")</f>
        <v/>
      </c>
      <c r="Y103">
        <f>HYPERLINK("https://klasma.github.io/Logging_0881/kartor_geotiff/A 61809-2024 georefererad karta.tif", "A 61809-2024")</f>
        <v/>
      </c>
      <c r="AA103">
        <f>HYPERLINK("https://klasma.github.io/Logging_0881/klagomål/A 61809-2024 FSC-klagomål.docx", "A 61809-2024")</f>
        <v/>
      </c>
      <c r="AB103">
        <f>HYPERLINK("https://klasma.github.io/Logging_0881/klagomålsmail/A 61809-2024 FSC-klagomål mail.docx", "A 61809-2024")</f>
        <v/>
      </c>
      <c r="AC103">
        <f>HYPERLINK("https://klasma.github.io/Logging_0881/tillsyn/A 61809-2024 tillsynsbegäran.docx", "A 61809-2024")</f>
        <v/>
      </c>
      <c r="AD103">
        <f>HYPERLINK("https://klasma.github.io/Logging_0881/tillsynsmail/A 61809-2024 tillsynsbegäran mail.docx", "A 61809-2024")</f>
        <v/>
      </c>
      <c r="AE103">
        <f>HYPERLINK("https://klasma.github.io/Logging_0881/fåglar/A 61809-2024 prioriterade fågelarter.docx", "A 61809-2024")</f>
        <v/>
      </c>
    </row>
    <row r="104" ht="15" customHeight="1">
      <c r="A104" t="inlineStr">
        <is>
          <t>A 20647-2026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46249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Ljungögontröst</t>
        </is>
      </c>
      <c r="W104">
        <f>HYPERLINK("https://klasma.github.io/Logging_0881/artfynd/A 20647-2026 artfynd.xlsx", "A 20647-2026")</f>
        <v/>
      </c>
      <c r="X104">
        <f>HYPERLINK("https://klasma.github.io/Logging_0881/kartor/A 20647-2026 karta.png", "A 20647-2026")</f>
        <v/>
      </c>
      <c r="Y104">
        <f>HYPERLINK("https://klasma.github.io/Logging_0881/kartor_geotiff/A 20647-2026 georefererad karta.tif", "A 20647-2026")</f>
        <v/>
      </c>
      <c r="AA104">
        <f>HYPERLINK("https://klasma.github.io/Logging_0881/klagomål/A 20647-2026 FSC-klagomål.docx", "A 20647-2026")</f>
        <v/>
      </c>
      <c r="AB104">
        <f>HYPERLINK("https://klasma.github.io/Logging_0881/klagomålsmail/A 20647-2026 FSC-klagomål mail.docx", "A 20647-2026")</f>
        <v/>
      </c>
      <c r="AC104">
        <f>HYPERLINK("https://klasma.github.io/Logging_0881/tillsyn/A 20647-2026 tillsynsbegäran.docx", "A 20647-2026")</f>
        <v/>
      </c>
      <c r="AD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46249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64315-2023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45279</v>
      </c>
      <c r="E106" s="1" t="n">
        <v>46249</v>
      </c>
      <c r="F106" t="inlineStr">
        <is>
          <t>KALMAR LÄN</t>
        </is>
      </c>
      <c r="G106" t="inlineStr">
        <is>
          <t>NYBRO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HYPERLINK("https://klasma.github.io/Logging_0881/artfynd/A 64315-2023 artfynd.xlsx", "A 64315-2023")</f>
        <v/>
      </c>
      <c r="X106">
        <f>HYPERLINK("https://klasma.github.io/Logging_0881/kartor/A 64315-2023 karta.png", "A 64315-2023")</f>
        <v/>
      </c>
      <c r="Y106">
        <f>HYPERLINK("https://klasma.github.io/Logging_0881/kartor_geotiff/A 64315-2023 georefererad karta.tif", "A 64315-2023")</f>
        <v/>
      </c>
      <c r="AA106">
        <f>HYPERLINK("https://klasma.github.io/Logging_0881/klagomål/A 64315-2023 FSC-klagomål.docx", "A 64315-2023")</f>
        <v/>
      </c>
      <c r="AB106">
        <f>HYPERLINK("https://klasma.github.io/Logging_0881/klagomålsmail/A 64315-2023 FSC-klagomål mail.docx", "A 64315-2023")</f>
        <v/>
      </c>
      <c r="AC106">
        <f>HYPERLINK("https://klasma.github.io/Logging_0881/tillsyn/A 64315-2023 tillsynsbegäran.docx", "A 64315-2023")</f>
        <v/>
      </c>
      <c r="AD106">
        <f>HYPERLINK("https://klasma.github.io/Logging_0881/tillsynsmail/A 64315-2023 tillsynsbegäran mail.docx", "A 64315-2023")</f>
        <v/>
      </c>
    </row>
    <row r="107" ht="15" customHeight="1">
      <c r="A107" t="inlineStr">
        <is>
          <t>A 22086-2026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46249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2.6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Talltita</t>
        </is>
      </c>
      <c r="W107">
        <f>HYPERLINK("https://klasma.github.io/Logging_0881/artfynd/A 22086-2026 artfynd.xlsx", "A 22086-2026")</f>
        <v/>
      </c>
      <c r="X107">
        <f>HYPERLINK("https://klasma.github.io/Logging_0881/kartor/A 22086-2026 karta.png", "A 22086-2026")</f>
        <v/>
      </c>
      <c r="Y107">
        <f>HYPERLINK("https://klasma.github.io/Logging_0881/kartor_geotiff/A 22086-2026 georefererad karta.tif", "A 22086-2026")</f>
        <v/>
      </c>
      <c r="AA107">
        <f>HYPERLINK("https://klasma.github.io/Logging_0881/klagomål/A 22086-2026 FSC-klagomål.docx", "A 22086-2026")</f>
        <v/>
      </c>
      <c r="AB107">
        <f>HYPERLINK("https://klasma.github.io/Logging_0881/klagomålsmail/A 22086-2026 FSC-klagomål mail.docx", "A 22086-2026")</f>
        <v/>
      </c>
      <c r="AC107">
        <f>HYPERLINK("https://klasma.github.io/Logging_0881/tillsyn/A 22086-2026 tillsynsbegäran.docx", "A 22086-2026")</f>
        <v/>
      </c>
      <c r="AD107">
        <f>HYPERLINK("https://klasma.github.io/Logging_0881/tillsynsmail/A 22086-2026 tillsynsbegäran mail.docx", "A 22086-2026")</f>
        <v/>
      </c>
      <c r="AE107">
        <f>HYPERLINK("https://klasma.github.io/Logging_0881/fåglar/A 22086-2026 prioriterade fågelarter.docx", "A 22086-2026")</f>
        <v/>
      </c>
    </row>
    <row r="108" ht="15" customHeight="1">
      <c r="A108" t="inlineStr">
        <is>
          <t>A 22097-2026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46249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t="n">
        <v>0</v>
      </c>
      <c r="V108" s="2" t="inlineStr">
        <is>
          <t>Talltita</t>
        </is>
      </c>
      <c r="W108">
        <f>HYPERLINK("https://klasma.github.io/Logging_0881/artfynd/A 22097-2026 artfynd.xlsx", "A 22097-2026")</f>
        <v/>
      </c>
      <c r="X108">
        <f>HYPERLINK("https://klasma.github.io/Logging_0881/kartor/A 22097-2026 karta.png", "A 22097-2026")</f>
        <v/>
      </c>
      <c r="Y108">
        <f>HYPERLINK("https://klasma.github.io/Logging_0881/kartor_geotiff/A 22097-2026 georefererad karta.tif", "A 22097-2026")</f>
        <v/>
      </c>
      <c r="AA108">
        <f>HYPERLINK("https://klasma.github.io/Logging_0881/klagomål/A 22097-2026 FSC-klagomål.docx", "A 22097-2026")</f>
        <v/>
      </c>
      <c r="AB108">
        <f>HYPERLINK("https://klasma.github.io/Logging_0881/klagomålsmail/A 22097-2026 FSC-klagomål mail.docx", "A 22097-2026")</f>
        <v/>
      </c>
      <c r="AC108">
        <f>HYPERLINK("https://klasma.github.io/Logging_0881/tillsyn/A 22097-2026 tillsynsbegäran.docx", "A 22097-2026")</f>
        <v/>
      </c>
      <c r="AD108">
        <f>HYPERLINK("https://klasma.github.io/Logging_0881/tillsynsmail/A 22097-2026 tillsynsbegäran mail.docx", "A 22097-2026")</f>
        <v/>
      </c>
      <c r="AE108">
        <f>HYPERLINK("https://klasma.github.io/Logging_0881/fåglar/A 22097-2026 prioriterade fågelarter.docx", "A 22097-2026")</f>
        <v/>
      </c>
    </row>
    <row r="109" ht="15" customHeight="1">
      <c r="A109" t="inlineStr">
        <is>
          <t>A 22089-2026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46249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Talltita</t>
        </is>
      </c>
      <c r="W109">
        <f>HYPERLINK("https://klasma.github.io/Logging_0881/artfynd/A 22089-2026 artfynd.xlsx", "A 22089-2026")</f>
        <v/>
      </c>
      <c r="X109">
        <f>HYPERLINK("https://klasma.github.io/Logging_0881/kartor/A 22089-2026 karta.png", "A 22089-2026")</f>
        <v/>
      </c>
      <c r="Y109">
        <f>HYPERLINK("https://klasma.github.io/Logging_0881/kartor_geotiff/A 22089-2026 georefererad karta.tif", "A 22089-2026")</f>
        <v/>
      </c>
      <c r="AA109">
        <f>HYPERLINK("https://klasma.github.io/Logging_0881/klagomål/A 22089-2026 FSC-klagomål.docx", "A 22089-2026")</f>
        <v/>
      </c>
      <c r="AB109">
        <f>HYPERLINK("https://klasma.github.io/Logging_0881/klagomålsmail/A 22089-2026 FSC-klagomål mail.docx", "A 22089-2026")</f>
        <v/>
      </c>
      <c r="AC109">
        <f>HYPERLINK("https://klasma.github.io/Logging_0881/tillsyn/A 22089-2026 tillsynsbegäran.docx", "A 22089-2026")</f>
        <v/>
      </c>
      <c r="AD109">
        <f>HYPERLINK("https://klasma.github.io/Logging_0881/tillsynsmail/A 22089-2026 tillsynsbegäran mail.docx", "A 22089-2026")</f>
        <v/>
      </c>
      <c r="AE109">
        <f>HYPERLINK("https://klasma.github.io/Logging_0881/fåglar/A 22089-2026 prioriterade fågelarter.docx", "A 22089-2026")</f>
        <v/>
      </c>
    </row>
    <row r="110" ht="15" customHeight="1">
      <c r="A110" t="inlineStr">
        <is>
          <t>A 22127-2026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46249</v>
      </c>
      <c r="F110" t="inlineStr">
        <is>
          <t>KALMAR LÄN</t>
        </is>
      </c>
      <c r="G110" t="inlineStr">
        <is>
          <t>NYBRO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HYPERLINK("https://klasma.github.io/Logging_0881/artfynd/A 22127-2026 artfynd.xlsx", "A 22127-2026")</f>
        <v/>
      </c>
      <c r="X110">
        <f>HYPERLINK("https://klasma.github.io/Logging_0881/kartor/A 22127-2026 karta.png", "A 22127-2026")</f>
        <v/>
      </c>
      <c r="Y110">
        <f>HYPERLINK("https://klasma.github.io/Logging_0881/kartor_geotiff/A 22127-2026 georefererad karta.tif", "A 22127-2026")</f>
        <v/>
      </c>
      <c r="AA110">
        <f>HYPERLINK("https://klasma.github.io/Logging_0881/klagomål/A 22127-2026 FSC-klagomål.docx", "A 22127-2026")</f>
        <v/>
      </c>
      <c r="AB110">
        <f>HYPERLINK("https://klasma.github.io/Logging_0881/klagomålsmail/A 22127-2026 FSC-klagomål mail.docx", "A 22127-2026")</f>
        <v/>
      </c>
      <c r="AC110">
        <f>HYPERLINK("https://klasma.github.io/Logging_0881/tillsyn/A 22127-2026 tillsynsbegäran.docx", "A 22127-2026")</f>
        <v/>
      </c>
      <c r="AD110">
        <f>HYPERLINK("https://klasma.github.io/Logging_0881/tillsynsmail/A 22127-2026 tillsynsbegäran mail.docx", "A 22127-2026")</f>
        <v/>
      </c>
      <c r="AE110">
        <f>HYPERLINK("https://klasma.github.io/Logging_0881/fåglar/A 22127-2026 prioriterade fågelarter.docx", "A 22127-2026")</f>
        <v/>
      </c>
    </row>
    <row r="111" ht="15" customHeight="1">
      <c r="A111" t="inlineStr">
        <is>
          <t>A 37621-2024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46249</v>
      </c>
      <c r="F111" t="inlineStr">
        <is>
          <t>KALMAR LÄN</t>
        </is>
      </c>
      <c r="G111" t="inlineStr">
        <is>
          <t>NYBRO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Blåmossa</t>
        </is>
      </c>
      <c r="W111">
        <f>HYPERLINK("https://klasma.github.io/Logging_0881/artfynd/A 37621-2024 artfynd.xlsx", "A 37621-2024")</f>
        <v/>
      </c>
      <c r="X111">
        <f>HYPERLINK("https://klasma.github.io/Logging_0881/kartor/A 37621-2024 karta.png", "A 37621-2024")</f>
        <v/>
      </c>
      <c r="Y111">
        <f>HYPERLINK("https://klasma.github.io/Logging_0881/kartor_geotiff/A 37621-2024 georefererad karta.tif", "A 37621-2024")</f>
        <v/>
      </c>
      <c r="AA111">
        <f>HYPERLINK("https://klasma.github.io/Logging_0881/klagomål/A 37621-2024 FSC-klagomål.docx", "A 37621-2024")</f>
        <v/>
      </c>
      <c r="AB111">
        <f>HYPERLINK("https://klasma.github.io/Logging_0881/klagomålsmail/A 37621-2024 FSC-klagomål mail.docx", "A 37621-2024")</f>
        <v/>
      </c>
      <c r="AC111">
        <f>HYPERLINK("https://klasma.github.io/Logging_0881/tillsyn/A 37621-2024 tillsynsbegäran.docx", "A 37621-2024")</f>
        <v/>
      </c>
      <c r="AD111">
        <f>HYPERLINK("https://klasma.github.io/Logging_0881/tillsynsmail/A 37621-2024 tillsynsbegäran mail.docx", "A 37621-2024")</f>
        <v/>
      </c>
    </row>
    <row r="112" ht="15" customHeight="1">
      <c r="A112" t="inlineStr">
        <is>
          <t>A 37016-2023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46249</v>
      </c>
      <c r="F112" t="inlineStr">
        <is>
          <t>KALMAR LÄN</t>
        </is>
      </c>
      <c r="G112" t="inlineStr">
        <is>
          <t>NYBRO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Slåttergubbe</t>
        </is>
      </c>
      <c r="W112">
        <f>HYPERLINK("https://klasma.github.io/Logging_0881/artfynd/A 37016-2023 artfynd.xlsx", "A 37016-2023")</f>
        <v/>
      </c>
      <c r="X112">
        <f>HYPERLINK("https://klasma.github.io/Logging_0881/kartor/A 37016-2023 karta.png", "A 37016-2023")</f>
        <v/>
      </c>
      <c r="Y112">
        <f>HYPERLINK("https://klasma.github.io/Logging_0881/kartor_geotiff/A 37016-2023 georefererad karta.tif", "A 37016-2023")</f>
        <v/>
      </c>
      <c r="AA112">
        <f>HYPERLINK("https://klasma.github.io/Logging_0881/klagomål/A 37016-2023 FSC-klagomål.docx", "A 37016-2023")</f>
        <v/>
      </c>
      <c r="AB112">
        <f>HYPERLINK("https://klasma.github.io/Logging_0881/klagomålsmail/A 37016-2023 FSC-klagomål mail.docx", "A 37016-2023")</f>
        <v/>
      </c>
      <c r="AC112">
        <f>HYPERLINK("https://klasma.github.io/Logging_0881/tillsyn/A 37016-2023 tillsynsbegäran.docx", "A 37016-2023")</f>
        <v/>
      </c>
      <c r="AD112">
        <f>HYPERLINK("https://klasma.github.io/Logging_0881/tillsynsmail/A 37016-2023 tillsynsbegäran mail.docx", "A 37016-2023")</f>
        <v/>
      </c>
    </row>
    <row r="113" ht="15" customHeight="1">
      <c r="A113" t="inlineStr">
        <is>
          <t>A 60036-2022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44909</v>
      </c>
      <c r="E113" s="1" t="n">
        <v>46249</v>
      </c>
      <c r="F113" t="inlineStr">
        <is>
          <t>KALMAR LÄN</t>
        </is>
      </c>
      <c r="G113" t="inlineStr">
        <is>
          <t>NYBRO</t>
        </is>
      </c>
      <c r="I113" t="n">
        <v>8.699999999999999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13</v>
      </c>
      <c r="U113" t="n">
        <v>0</v>
      </c>
      <c r="V113" s="2" t="inlineStr">
        <is>
          <t>Knärot</t>
        </is>
      </c>
      <c r="W113">
        <f>HYPERLINK("https://klasma.github.io/Logging_0881/artfynd/A 60036-2022 artfynd.xlsx", "A 60036-2022")</f>
        <v/>
      </c>
      <c r="X113">
        <f>HYPERLINK("https://klasma.github.io/Logging_0881/kartor/A 60036-2022 karta.png", "A 60036-2022")</f>
        <v/>
      </c>
      <c r="Y113">
        <f>HYPERLINK("https://klasma.github.io/Logging_0881/kartor_geotiff/A 60036-2022 georefererad karta.tif", "A 60036-2022")</f>
        <v/>
      </c>
      <c r="Z113">
        <f>HYPERLINK("https://klasma.github.io/Logging_0881/knärot/A 60036-2022 karta knärot.png", "A 60036-2022")</f>
        <v/>
      </c>
      <c r="AA113">
        <f>HYPERLINK("https://klasma.github.io/Logging_0881/klagomål/A 60036-2022 FSC-klagomål.docx", "A 60036-2022")</f>
        <v/>
      </c>
      <c r="AB113">
        <f>HYPERLINK("https://klasma.github.io/Logging_0881/klagomålsmail/A 60036-2022 FSC-klagomål mail.docx", "A 60036-2022")</f>
        <v/>
      </c>
      <c r="AC113">
        <f>HYPERLINK("https://klasma.github.io/Logging_0881/tillsyn/A 60036-2022 tillsynsbegäran.docx", "A 60036-2022")</f>
        <v/>
      </c>
      <c r="AD113">
        <f>HYPERLINK("https://klasma.github.io/Logging_0881/tillsynsmail/A 60036-2022 tillsynsbegäran mail.docx", "A 60036-2022")</f>
        <v/>
      </c>
    </row>
    <row r="114" ht="15" customHeight="1">
      <c r="A114" t="inlineStr">
        <is>
          <t>A 38798-2024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45547</v>
      </c>
      <c r="E114" s="1" t="n">
        <v>46249</v>
      </c>
      <c r="F114" t="inlineStr">
        <is>
          <t>KALMAR LÄN</t>
        </is>
      </c>
      <c r="G114" t="inlineStr">
        <is>
          <t>NYBRO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Nattskärra</t>
        </is>
      </c>
      <c r="W114">
        <f>HYPERLINK("https://klasma.github.io/Logging_0881/artfynd/A 38798-2024 artfynd.xlsx", "A 38798-2024")</f>
        <v/>
      </c>
      <c r="X114">
        <f>HYPERLINK("https://klasma.github.io/Logging_0881/kartor/A 38798-2024 karta.png", "A 38798-2024")</f>
        <v/>
      </c>
      <c r="Y114">
        <f>HYPERLINK("https://klasma.github.io/Logging_0881/kartor_geotiff/A 38798-2024 georefererad karta.tif", "A 38798-2024")</f>
        <v/>
      </c>
      <c r="AA114">
        <f>HYPERLINK("https://klasma.github.io/Logging_0881/klagomål/A 38798-2024 FSC-klagomål.docx", "A 38798-2024")</f>
        <v/>
      </c>
      <c r="AB114">
        <f>HYPERLINK("https://klasma.github.io/Logging_0881/klagomålsmail/A 38798-2024 FSC-klagomål mail.docx", "A 38798-2024")</f>
        <v/>
      </c>
      <c r="AC114">
        <f>HYPERLINK("https://klasma.github.io/Logging_0881/tillsyn/A 38798-2024 tillsynsbegäran.docx", "A 38798-2024")</f>
        <v/>
      </c>
      <c r="AD114">
        <f>HYPERLINK("https://klasma.github.io/Logging_0881/tillsynsmail/A 38798-2024 tillsynsbegäran mail.docx", "A 38798-2024")</f>
        <v/>
      </c>
      <c r="AE114">
        <f>HYPERLINK("https://klasma.github.io/Logging_0881/fåglar/A 38798-2024 prioriterade fågelarter.docx", "A 38798-2024")</f>
        <v/>
      </c>
    </row>
    <row r="115" ht="15" customHeight="1">
      <c r="A115" t="inlineStr">
        <is>
          <t>A 48980-2024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46249</v>
      </c>
      <c r="F115" t="inlineStr">
        <is>
          <t>KALMAR LÄN</t>
        </is>
      </c>
      <c r="G115" t="inlineStr">
        <is>
          <t>NYBRO</t>
        </is>
      </c>
      <c r="I115" t="n">
        <v>41.9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Hjärtstilla</t>
        </is>
      </c>
      <c r="W115">
        <f>HYPERLINK("https://klasma.github.io/Logging_0881/artfynd/A 48980-2024 artfynd.xlsx", "A 48980-2024")</f>
        <v/>
      </c>
      <c r="X115">
        <f>HYPERLINK("https://klasma.github.io/Logging_0881/kartor/A 48980-2024 karta.png", "A 48980-2024")</f>
        <v/>
      </c>
      <c r="Y115">
        <f>HYPERLINK("https://klasma.github.io/Logging_0881/kartor_geotiff/A 48980-2024 georefererad karta.tif", "A 48980-2024")</f>
        <v/>
      </c>
      <c r="AA115">
        <f>HYPERLINK("https://klasma.github.io/Logging_0881/klagomål/A 48980-2024 FSC-klagomål.docx", "A 48980-2024")</f>
        <v/>
      </c>
      <c r="AB115">
        <f>HYPERLINK("https://klasma.github.io/Logging_0881/klagomålsmail/A 48980-2024 FSC-klagomål mail.docx", "A 48980-2024")</f>
        <v/>
      </c>
      <c r="AC115">
        <f>HYPERLINK("https://klasma.github.io/Logging_0881/tillsyn/A 48980-2024 tillsynsbegäran.docx", "A 48980-2024")</f>
        <v/>
      </c>
      <c r="AD115">
        <f>HYPERLINK("https://klasma.github.io/Logging_0881/tillsynsmail/A 48980-2024 tillsynsbegäran mail.docx", "A 48980-2024")</f>
        <v/>
      </c>
    </row>
    <row r="116" ht="15" customHeight="1">
      <c r="A116" t="inlineStr">
        <is>
          <t>A 6931-2025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46249</v>
      </c>
      <c r="F116" t="inlineStr">
        <is>
          <t>KALMAR LÄN</t>
        </is>
      </c>
      <c r="G116" t="inlineStr">
        <is>
          <t>NYBRO</t>
        </is>
      </c>
      <c r="I116" t="n">
        <v>2.7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Grönpyrola</t>
        </is>
      </c>
      <c r="W116">
        <f>HYPERLINK("https://klasma.github.io/Logging_0881/artfynd/A 6931-2025 artfynd.xlsx", "A 6931-2025")</f>
        <v/>
      </c>
      <c r="X116">
        <f>HYPERLINK("https://klasma.github.io/Logging_0881/kartor/A 6931-2025 karta.png", "A 6931-2025")</f>
        <v/>
      </c>
      <c r="Y116">
        <f>HYPERLINK("https://klasma.github.io/Logging_0881/kartor_geotiff/A 6931-2025 georefererad karta.tif", "A 6931-2025")</f>
        <v/>
      </c>
      <c r="AA116">
        <f>HYPERLINK("https://klasma.github.io/Logging_0881/klagomål/A 6931-2025 FSC-klagomål.docx", "A 6931-2025")</f>
        <v/>
      </c>
      <c r="AB116">
        <f>HYPERLINK("https://klasma.github.io/Logging_0881/klagomålsmail/A 6931-2025 FSC-klagomål mail.docx", "A 6931-2025")</f>
        <v/>
      </c>
      <c r="AC116">
        <f>HYPERLINK("https://klasma.github.io/Logging_0881/tillsyn/A 6931-2025 tillsynsbegäran.docx", "A 6931-2025")</f>
        <v/>
      </c>
      <c r="AD116">
        <f>HYPERLINK("https://klasma.github.io/Logging_0881/tillsynsmail/A 6931-2025 tillsynsbegäran mail.docx", "A 6931-2025")</f>
        <v/>
      </c>
    </row>
    <row r="117" ht="15" customHeight="1">
      <c r="A117" t="inlineStr">
        <is>
          <t>A 24315-2026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46249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8.5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HYPERLINK("https://klasma.github.io/Logging_0881/artfynd/A 24315-2026 artfynd.xlsx", "A 24315-2026")</f>
        <v/>
      </c>
      <c r="X117">
        <f>HYPERLINK("https://klasma.github.io/Logging_0881/kartor/A 24315-2026 karta.png", "A 24315-2026")</f>
        <v/>
      </c>
      <c r="Y117">
        <f>HYPERLINK("https://klasma.github.io/Logging_0881/kartor_geotiff/A 24315-2026 georefererad karta.tif", "A 24315-2026")</f>
        <v/>
      </c>
      <c r="AA117">
        <f>HYPERLINK("https://klasma.github.io/Logging_0881/klagomål/A 24315-2026 FSC-klagomål.docx", "A 24315-2026")</f>
        <v/>
      </c>
      <c r="AB117">
        <f>HYPERLINK("https://klasma.github.io/Logging_0881/klagomålsmail/A 24315-2026 FSC-klagomål mail.docx", "A 24315-2026")</f>
        <v/>
      </c>
      <c r="AC117">
        <f>HYPERLINK("https://klasma.github.io/Logging_0881/tillsyn/A 24315-2026 tillsynsbegäran.docx", "A 24315-2026")</f>
        <v/>
      </c>
      <c r="AD117">
        <f>HYPERLINK("https://klasma.github.io/Logging_0881/tillsynsmail/A 24315-2026 tillsynsbegäran mail.docx", "A 24315-2026")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46249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A 13690-2022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46249</v>
      </c>
      <c r="F119" t="inlineStr">
        <is>
          <t>KALMAR LÄN</t>
        </is>
      </c>
      <c r="G119" t="inlineStr">
        <is>
          <t>NYBRO</t>
        </is>
      </c>
      <c r="H119" t="inlineStr">
        <is>
          <t>Kommuner</t>
        </is>
      </c>
      <c r="I119" t="n">
        <v>8.300000000000001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t="n">
        <v>7</v>
      </c>
      <c r="V119" s="2" t="inlineStr">
        <is>
          <t>Knärot</t>
        </is>
      </c>
      <c r="W119">
        <f>HYPERLINK("https://klasma.github.io/Logging_0881/artfynd/A 13690-2022 artfynd.xlsx", "A 13690-2022")</f>
        <v/>
      </c>
      <c r="X119">
        <f>HYPERLINK("https://klasma.github.io/Logging_0881/kartor/A 13690-2022 karta.png", "A 13690-2022")</f>
        <v/>
      </c>
      <c r="Y119">
        <f>HYPERLINK("https://klasma.github.io/Logging_0881/kartor_geotiff/A 13690-2022 georefererad karta.tif", "A 13690-2022")</f>
        <v/>
      </c>
      <c r="Z119">
        <f>HYPERLINK("https://klasma.github.io/Logging_0881/knärot/A 13690-2022 karta knärot.png", "A 13690-2022")</f>
        <v/>
      </c>
      <c r="AA119">
        <f>HYPERLINK("https://klasma.github.io/Logging_0881/klagomål/A 13690-2022 FSC-klagomål.docx", "A 13690-2022")</f>
        <v/>
      </c>
      <c r="AB119">
        <f>HYPERLINK("https://klasma.github.io/Logging_0881/klagomålsmail/A 13690-2022 FSC-klagomål mail.docx", "A 13690-2022")</f>
        <v/>
      </c>
      <c r="AC119">
        <f>HYPERLINK("https://klasma.github.io/Logging_0881/tillsyn/A 13690-2022 tillsynsbegäran.docx", "A 13690-2022")</f>
        <v/>
      </c>
      <c r="AD119">
        <f>HYPERLINK("https://klasma.github.io/Logging_0881/tillsynsmail/A 13690-2022 tillsynsbegäran mail.docx", "A 13690-2022")</f>
        <v/>
      </c>
    </row>
    <row r="120" ht="15" customHeight="1">
      <c r="A120" t="inlineStr">
        <is>
          <t>A 26463-2026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46183</v>
      </c>
      <c r="E120" s="1" t="n">
        <v>46249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Blåmossa</t>
        </is>
      </c>
      <c r="W120">
        <f>HYPERLINK("https://klasma.github.io/Logging_0881/artfynd/A 26463-2026 artfynd.xlsx", "A 26463-2026")</f>
        <v/>
      </c>
      <c r="X120">
        <f>HYPERLINK("https://klasma.github.io/Logging_0881/kartor/A 26463-2026 karta.png", "A 26463-2026")</f>
        <v/>
      </c>
      <c r="Y120">
        <f>HYPERLINK("https://klasma.github.io/Logging_0881/kartor_geotiff/A 26463-2026 georefererad karta.tif", "A 26463-2026")</f>
        <v/>
      </c>
      <c r="AA120">
        <f>HYPERLINK("https://klasma.github.io/Logging_0881/klagomål/A 26463-2026 FSC-klagomål.docx", "A 26463-2026")</f>
        <v/>
      </c>
      <c r="AB120">
        <f>HYPERLINK("https://klasma.github.io/Logging_0881/klagomålsmail/A 26463-2026 FSC-klagomål mail.docx", "A 26463-2026")</f>
        <v/>
      </c>
      <c r="AC120">
        <f>HYPERLINK("https://klasma.github.io/Logging_0881/tillsyn/A 26463-2026 tillsynsbegäran.docx", "A 26463-2026")</f>
        <v/>
      </c>
      <c r="AD120">
        <f>HYPERLINK("https://klasma.github.io/Logging_0881/tillsynsmail/A 26463-2026 tillsynsbegäran mail.docx", "A 26463-2026")</f>
        <v/>
      </c>
    </row>
    <row r="121" ht="15" customHeight="1">
      <c r="A121" t="inlineStr">
        <is>
          <t>A 31773-2026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46230</v>
      </c>
      <c r="E121" s="1" t="n">
        <v>46249</v>
      </c>
      <c r="F121" t="inlineStr">
        <is>
          <t>KALMAR LÄN</t>
        </is>
      </c>
      <c r="G121" t="inlineStr">
        <is>
          <t>NYBRO</t>
        </is>
      </c>
      <c r="I121" t="n">
        <v>1.1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Blompraktbagge</t>
        </is>
      </c>
      <c r="W121">
        <f>HYPERLINK("https://klasma.github.io/Logging_0881/artfynd/A 31773-2026 artfynd.xlsx", "A 31773-2026")</f>
        <v/>
      </c>
      <c r="X121">
        <f>HYPERLINK("https://klasma.github.io/Logging_0881/kartor/A 31773-2026 karta.png", "A 31773-2026")</f>
        <v/>
      </c>
      <c r="Y121">
        <f>HYPERLINK("https://klasma.github.io/Logging_0881/kartor_geotiff/A 31773-2026 georefererad karta.tif", "A 31773-2026")</f>
        <v/>
      </c>
      <c r="AA121">
        <f>HYPERLINK("https://klasma.github.io/Logging_0881/klagomål/A 31773-2026 FSC-klagomål.docx", "A 31773-2026")</f>
        <v/>
      </c>
      <c r="AB121">
        <f>HYPERLINK("https://klasma.github.io/Logging_0881/klagomålsmail/A 31773-2026 FSC-klagomål mail.docx", "A 31773-2026")</f>
        <v/>
      </c>
      <c r="AC121">
        <f>HYPERLINK("https://klasma.github.io/Logging_0881/tillsyn/A 31773-2026 tillsynsbegäran.docx", "A 31773-2026")</f>
        <v/>
      </c>
      <c r="AD121">
        <f>HYPERLINK("https://klasma.github.io/Logging_0881/tillsynsmail/A 31773-2026 tillsynsbegäran mail.docx", "A 31773-2026")</f>
        <v/>
      </c>
    </row>
    <row r="122" ht="15" customHeight="1">
      <c r="A122" t="inlineStr">
        <is>
          <t>A 27669-2026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46190</v>
      </c>
      <c r="E122" s="1" t="n">
        <v>46249</v>
      </c>
      <c r="F122" t="inlineStr">
        <is>
          <t>KALMAR LÄN</t>
        </is>
      </c>
      <c r="G122" t="inlineStr">
        <is>
          <t>NYBRO</t>
        </is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Blomkålssvamp</t>
        </is>
      </c>
      <c r="W122">
        <f>HYPERLINK("https://klasma.github.io/Logging_0881/artfynd/A 27669-2026 artfynd.xlsx", "A 27669-2026")</f>
        <v/>
      </c>
      <c r="X122">
        <f>HYPERLINK("https://klasma.github.io/Logging_0881/kartor/A 27669-2026 karta.png", "A 27669-2026")</f>
        <v/>
      </c>
      <c r="Y122">
        <f>HYPERLINK("https://klasma.github.io/Logging_0881/kartor_geotiff/A 27669-2026 georefererad karta.tif", "A 27669-2026")</f>
        <v/>
      </c>
      <c r="AA122">
        <f>HYPERLINK("https://klasma.github.io/Logging_0881/klagomål/A 27669-2026 FSC-klagomål.docx", "A 27669-2026")</f>
        <v/>
      </c>
      <c r="AB122">
        <f>HYPERLINK("https://klasma.github.io/Logging_0881/klagomålsmail/A 27669-2026 FSC-klagomål mail.docx", "A 27669-2026")</f>
        <v/>
      </c>
      <c r="AC122">
        <f>HYPERLINK("https://klasma.github.io/Logging_0881/tillsyn/A 27669-2026 tillsynsbegäran.docx", "A 27669-2026")</f>
        <v/>
      </c>
      <c r="AD122">
        <f>HYPERLINK("https://klasma.github.io/Logging_0881/tillsynsmail/A 27669-2026 tillsynsbegäran mail.docx", "A 27669-2026")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46249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46249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46249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46249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46249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46249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46249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46249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46249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46249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46249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46249</v>
      </c>
      <c r="F134" t="inlineStr">
        <is>
          <t>KALMAR LÄN</t>
        </is>
      </c>
      <c r="G134" t="inlineStr">
        <is>
          <t>NYBRO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44691</v>
      </c>
      <c r="E135" s="1" t="n">
        <v>46249</v>
      </c>
      <c r="F135" t="inlineStr">
        <is>
          <t>KALMAR LÄN</t>
        </is>
      </c>
      <c r="G135" t="inlineStr">
        <is>
          <t>NYBRO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46249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46249</v>
      </c>
      <c r="F137" t="inlineStr">
        <is>
          <t>KALMAR LÄN</t>
        </is>
      </c>
      <c r="G137" t="inlineStr">
        <is>
          <t>NYBRO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46249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46249</v>
      </c>
      <c r="F139" t="inlineStr">
        <is>
          <t>KALMAR LÄN</t>
        </is>
      </c>
      <c r="G139" t="inlineStr">
        <is>
          <t>NYBRO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46249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44449</v>
      </c>
      <c r="E141" s="1" t="n">
        <v>46249</v>
      </c>
      <c r="F141" t="inlineStr">
        <is>
          <t>KALMAR LÄN</t>
        </is>
      </c>
      <c r="G141" t="inlineStr">
        <is>
          <t>NYBRO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46249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38772-2022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44816</v>
      </c>
      <c r="E143" s="1" t="n">
        <v>46249</v>
      </c>
      <c r="F143" t="inlineStr">
        <is>
          <t>KALMAR LÄN</t>
        </is>
      </c>
      <c r="G143" t="inlineStr">
        <is>
          <t>NYBRO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44571</v>
      </c>
      <c r="E144" s="1" t="n">
        <v>46249</v>
      </c>
      <c r="F144" t="inlineStr">
        <is>
          <t>KALMAR LÄN</t>
        </is>
      </c>
      <c r="G144" t="inlineStr">
        <is>
          <t>NYBRO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46249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44645</v>
      </c>
      <c r="E146" s="1" t="n">
        <v>46249</v>
      </c>
      <c r="F146" t="inlineStr">
        <is>
          <t>KALMAR LÄN</t>
        </is>
      </c>
      <c r="G146" t="inlineStr">
        <is>
          <t>NYBRO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46249</v>
      </c>
      <c r="F147" t="inlineStr">
        <is>
          <t>KALMAR LÄN</t>
        </is>
      </c>
      <c r="G147" t="inlineStr">
        <is>
          <t>NYBRO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46249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46249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46249</v>
      </c>
      <c r="F150" t="inlineStr">
        <is>
          <t>KALMAR LÄN</t>
        </is>
      </c>
      <c r="G150" t="inlineStr">
        <is>
          <t>NYBRO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46249</v>
      </c>
      <c r="F151" t="inlineStr">
        <is>
          <t>KALMAR LÄN</t>
        </is>
      </c>
      <c r="G151" t="inlineStr">
        <is>
          <t>NYBRO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46249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44493</v>
      </c>
      <c r="E153" s="1" t="n">
        <v>46249</v>
      </c>
      <c r="F153" t="inlineStr">
        <is>
          <t>KALMAR LÄN</t>
        </is>
      </c>
      <c r="G153" t="inlineStr">
        <is>
          <t>NYBRO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46249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46249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46249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46249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46249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46249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46249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46249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46249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44771</v>
      </c>
      <c r="E163" s="1" t="n">
        <v>46249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44657</v>
      </c>
      <c r="E164" s="1" t="n">
        <v>46249</v>
      </c>
      <c r="F164" t="inlineStr">
        <is>
          <t>KALMAR LÄN</t>
        </is>
      </c>
      <c r="G164" t="inlineStr">
        <is>
          <t>NYBRO</t>
        </is>
      </c>
      <c r="H164" t="inlineStr">
        <is>
          <t>Kommuner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46249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46249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46249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46249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46249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46249</v>
      </c>
      <c r="F170" t="inlineStr">
        <is>
          <t>KALMAR LÄN</t>
        </is>
      </c>
      <c r="G170" t="inlineStr">
        <is>
          <t>NYBRO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46249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46249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46249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46249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46249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44796</v>
      </c>
      <c r="E176" s="1" t="n">
        <v>46249</v>
      </c>
      <c r="F176" t="inlineStr">
        <is>
          <t>KALMAR LÄN</t>
        </is>
      </c>
      <c r="G176" t="inlineStr">
        <is>
          <t>NYBRO</t>
        </is>
      </c>
      <c r="H176" t="inlineStr">
        <is>
          <t>Kyrkan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73474-2021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46249</v>
      </c>
      <c r="F177" t="inlineStr">
        <is>
          <t>KALMAR LÄN</t>
        </is>
      </c>
      <c r="G177" t="inlineStr">
        <is>
          <t>NYBRO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46249</v>
      </c>
      <c r="F178" t="inlineStr">
        <is>
          <t>KALMAR LÄN</t>
        </is>
      </c>
      <c r="G178" t="inlineStr">
        <is>
          <t>NYBRO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46249</v>
      </c>
      <c r="F179" t="inlineStr">
        <is>
          <t>KALMAR LÄN</t>
        </is>
      </c>
      <c r="G179" t="inlineStr">
        <is>
          <t>NYBRO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46249</v>
      </c>
      <c r="F180" t="inlineStr">
        <is>
          <t>KALMAR LÄN</t>
        </is>
      </c>
      <c r="G180" t="inlineStr">
        <is>
          <t>NYBRO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46249</v>
      </c>
      <c r="F181" t="inlineStr">
        <is>
          <t>KALMAR LÄN</t>
        </is>
      </c>
      <c r="G181" t="inlineStr">
        <is>
          <t>NYBRO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23933-2023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46249</v>
      </c>
      <c r="F182" t="inlineStr">
        <is>
          <t>KALMAR LÄN</t>
        </is>
      </c>
      <c r="G182" t="inlineStr">
        <is>
          <t>NYBRO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46249</v>
      </c>
      <c r="F183" t="inlineStr">
        <is>
          <t>KALMAR LÄN</t>
        </is>
      </c>
      <c r="G183" t="inlineStr">
        <is>
          <t>NYBRO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46249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46249</v>
      </c>
      <c r="F185" t="inlineStr">
        <is>
          <t>KALMAR LÄN</t>
        </is>
      </c>
      <c r="G185" t="inlineStr">
        <is>
          <t>NYBRO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46249</v>
      </c>
      <c r="F186" t="inlineStr">
        <is>
          <t>KALMAR LÄN</t>
        </is>
      </c>
      <c r="G186" t="inlineStr">
        <is>
          <t>NYBRO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46249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46249</v>
      </c>
      <c r="F188" t="inlineStr">
        <is>
          <t>KALMAR LÄN</t>
        </is>
      </c>
      <c r="G188" t="inlineStr">
        <is>
          <t>NYBRO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46249</v>
      </c>
      <c r="F189" t="inlineStr">
        <is>
          <t>KALMAR LÄN</t>
        </is>
      </c>
      <c r="G189" t="inlineStr">
        <is>
          <t>NYBRO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46249</v>
      </c>
      <c r="F190" t="inlineStr">
        <is>
          <t>KALMAR LÄN</t>
        </is>
      </c>
      <c r="G190" t="inlineStr">
        <is>
          <t>NYBRO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46249</v>
      </c>
      <c r="F191" t="inlineStr">
        <is>
          <t>KALMAR LÄN</t>
        </is>
      </c>
      <c r="G191" t="inlineStr">
        <is>
          <t>NYBRO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45407</v>
      </c>
      <c r="E192" s="1" t="n">
        <v>46249</v>
      </c>
      <c r="F192" t="inlineStr">
        <is>
          <t>KALMAR LÄN</t>
        </is>
      </c>
      <c r="G192" t="inlineStr">
        <is>
          <t>NYBRO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44785</v>
      </c>
      <c r="E193" s="1" t="n">
        <v>46249</v>
      </c>
      <c r="F193" t="inlineStr">
        <is>
          <t>KALMAR LÄN</t>
        </is>
      </c>
      <c r="G193" t="inlineStr">
        <is>
          <t>NYBRO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46249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46249</v>
      </c>
      <c r="F195" t="inlineStr">
        <is>
          <t>KALMAR LÄN</t>
        </is>
      </c>
      <c r="G195" t="inlineStr">
        <is>
          <t>NYBRO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44650</v>
      </c>
      <c r="E196" s="1" t="n">
        <v>46249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46249</v>
      </c>
      <c r="F197" t="inlineStr">
        <is>
          <t>KALMAR LÄN</t>
        </is>
      </c>
      <c r="G197" t="inlineStr">
        <is>
          <t>NYBRO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44839</v>
      </c>
      <c r="E198" s="1" t="n">
        <v>46249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44742</v>
      </c>
      <c r="E199" s="1" t="n">
        <v>46249</v>
      </c>
      <c r="F199" t="inlineStr">
        <is>
          <t>KALMAR LÄN</t>
        </is>
      </c>
      <c r="G199" t="inlineStr">
        <is>
          <t>NYBRO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46249</v>
      </c>
      <c r="F200" t="inlineStr">
        <is>
          <t>KALMAR LÄN</t>
        </is>
      </c>
      <c r="G200" t="inlineStr">
        <is>
          <t>NYBRO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46249</v>
      </c>
      <c r="F201" t="inlineStr">
        <is>
          <t>KALMAR LÄN</t>
        </is>
      </c>
      <c r="G201" t="inlineStr">
        <is>
          <t>NYBRO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46249</v>
      </c>
      <c r="F202" t="inlineStr">
        <is>
          <t>KALMAR LÄN</t>
        </is>
      </c>
      <c r="G202" t="inlineStr">
        <is>
          <t>NYBRO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46249</v>
      </c>
      <c r="F203" t="inlineStr">
        <is>
          <t>KALMAR LÄN</t>
        </is>
      </c>
      <c r="G203" t="inlineStr">
        <is>
          <t>NYBRO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46249</v>
      </c>
      <c r="F204" t="inlineStr">
        <is>
          <t>KALMAR LÄN</t>
        </is>
      </c>
      <c r="G204" t="inlineStr">
        <is>
          <t>NYBRO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46249</v>
      </c>
      <c r="F205" t="inlineStr">
        <is>
          <t>KALMAR LÄN</t>
        </is>
      </c>
      <c r="G205" t="inlineStr">
        <is>
          <t>NYBRO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46249</v>
      </c>
      <c r="F206" t="inlineStr">
        <is>
          <t>KALMAR LÄN</t>
        </is>
      </c>
      <c r="G206" t="inlineStr">
        <is>
          <t>NYBRO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46249</v>
      </c>
      <c r="F207" t="inlineStr">
        <is>
          <t>KALMAR LÄN</t>
        </is>
      </c>
      <c r="G207" t="inlineStr">
        <is>
          <t>NYBRO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46249</v>
      </c>
      <c r="F208" t="inlineStr">
        <is>
          <t>KALMAR LÄN</t>
        </is>
      </c>
      <c r="G208" t="inlineStr">
        <is>
          <t>NYBRO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45376</v>
      </c>
      <c r="E209" s="1" t="n">
        <v>46249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21388-2024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45440</v>
      </c>
      <c r="E210" s="1" t="n">
        <v>46249</v>
      </c>
      <c r="F210" t="inlineStr">
        <is>
          <t>KALMAR LÄN</t>
        </is>
      </c>
      <c r="G210" t="inlineStr">
        <is>
          <t>NYBRO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46249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46249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11828-2022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44634</v>
      </c>
      <c r="E213" s="1" t="n">
        <v>46249</v>
      </c>
      <c r="F213" t="inlineStr">
        <is>
          <t>KALMAR LÄN</t>
        </is>
      </c>
      <c r="G213" t="inlineStr">
        <is>
          <t>NYBRO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46249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46249</v>
      </c>
      <c r="F215" t="inlineStr">
        <is>
          <t>KALMAR LÄN</t>
        </is>
      </c>
      <c r="G215" t="inlineStr">
        <is>
          <t>NYBRO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44727</v>
      </c>
      <c r="E216" s="1" t="n">
        <v>46249</v>
      </c>
      <c r="F216" t="inlineStr">
        <is>
          <t>KALMAR LÄN</t>
        </is>
      </c>
      <c r="G216" t="inlineStr">
        <is>
          <t>NYBRO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46249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68074-2021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44526</v>
      </c>
      <c r="E218" s="1" t="n">
        <v>46249</v>
      </c>
      <c r="F218" t="inlineStr">
        <is>
          <t>KALMAR LÄN</t>
        </is>
      </c>
      <c r="G218" t="inlineStr">
        <is>
          <t>NYBRO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46249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46249</v>
      </c>
      <c r="F220" t="inlineStr">
        <is>
          <t>KALMAR LÄN</t>
        </is>
      </c>
      <c r="G220" t="inlineStr">
        <is>
          <t>NYBRO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46249</v>
      </c>
      <c r="F221" t="inlineStr">
        <is>
          <t>KALMAR LÄN</t>
        </is>
      </c>
      <c r="G221" t="inlineStr">
        <is>
          <t>NYBRO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46249</v>
      </c>
      <c r="F222" t="inlineStr">
        <is>
          <t>KALMAR LÄN</t>
        </is>
      </c>
      <c r="G222" t="inlineStr">
        <is>
          <t>NYBRO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46249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46249</v>
      </c>
      <c r="F224" t="inlineStr">
        <is>
          <t>KALMAR LÄN</t>
        </is>
      </c>
      <c r="G224" t="inlineStr">
        <is>
          <t>NYBRO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46249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45881</v>
      </c>
      <c r="E226" s="1" t="n">
        <v>46249</v>
      </c>
      <c r="F226" t="inlineStr">
        <is>
          <t>KALMAR LÄN</t>
        </is>
      </c>
      <c r="G226" t="inlineStr">
        <is>
          <t>NYBRO</t>
        </is>
      </c>
      <c r="H226" t="inlineStr">
        <is>
          <t>Kommuner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46249</v>
      </c>
      <c r="F227" t="inlineStr">
        <is>
          <t>KALMAR LÄN</t>
        </is>
      </c>
      <c r="G227" t="inlineStr">
        <is>
          <t>NYBRO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44395-2022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46249</v>
      </c>
      <c r="F228" t="inlineStr">
        <is>
          <t>KALMAR LÄN</t>
        </is>
      </c>
      <c r="G228" t="inlineStr">
        <is>
          <t>NYBRO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46249</v>
      </c>
      <c r="F229" t="inlineStr">
        <is>
          <t>KALMAR LÄN</t>
        </is>
      </c>
      <c r="G229" t="inlineStr">
        <is>
          <t>NYBRO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46249</v>
      </c>
      <c r="F230" t="inlineStr">
        <is>
          <t>KALMAR LÄN</t>
        </is>
      </c>
      <c r="G230" t="inlineStr">
        <is>
          <t>NYBRO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45414</v>
      </c>
      <c r="E231" s="1" t="n">
        <v>46249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46249</v>
      </c>
      <c r="F232" t="inlineStr">
        <is>
          <t>KALMAR LÄN</t>
        </is>
      </c>
      <c r="G232" t="inlineStr">
        <is>
          <t>NYBRO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46249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46249</v>
      </c>
      <c r="F234" t="inlineStr">
        <is>
          <t>KALMAR LÄN</t>
        </is>
      </c>
      <c r="G234" t="inlineStr">
        <is>
          <t>NYBRO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46249</v>
      </c>
      <c r="F235" t="inlineStr">
        <is>
          <t>KALMAR LÄN</t>
        </is>
      </c>
      <c r="G235" t="inlineStr">
        <is>
          <t>NYBRO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46249</v>
      </c>
      <c r="F236" t="inlineStr">
        <is>
          <t>KALMAR LÄN</t>
        </is>
      </c>
      <c r="G236" t="inlineStr">
        <is>
          <t>NYBRO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46249</v>
      </c>
      <c r="F237" t="inlineStr">
        <is>
          <t>KALMAR LÄN</t>
        </is>
      </c>
      <c r="G237" t="inlineStr">
        <is>
          <t>NYBRO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46249</v>
      </c>
      <c r="F238" t="inlineStr">
        <is>
          <t>KALMAR LÄN</t>
        </is>
      </c>
      <c r="G238" t="inlineStr">
        <is>
          <t>NYBRO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46249</v>
      </c>
      <c r="F239" t="inlineStr">
        <is>
          <t>KALMAR LÄN</t>
        </is>
      </c>
      <c r="G239" t="inlineStr">
        <is>
          <t>NYBRO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46249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46249</v>
      </c>
      <c r="F241" t="inlineStr">
        <is>
          <t>KALMAR LÄN</t>
        </is>
      </c>
      <c r="G241" t="inlineStr">
        <is>
          <t>NYBRO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45770</v>
      </c>
      <c r="E242" s="1" t="n">
        <v>46249</v>
      </c>
      <c r="F242" t="inlineStr">
        <is>
          <t>KALMAR LÄN</t>
        </is>
      </c>
      <c r="G242" t="inlineStr">
        <is>
          <t>NYBRO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73297-2021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46249</v>
      </c>
      <c r="F243" t="inlineStr">
        <is>
          <t>KALMAR LÄN</t>
        </is>
      </c>
      <c r="G243" t="inlineStr">
        <is>
          <t>NYBRO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63260-2021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44505</v>
      </c>
      <c r="E244" s="1" t="n">
        <v>46249</v>
      </c>
      <c r="F244" t="inlineStr">
        <is>
          <t>KALMAR LÄN</t>
        </is>
      </c>
      <c r="G244" t="inlineStr">
        <is>
          <t>NYBRO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46249</v>
      </c>
      <c r="F245" t="inlineStr">
        <is>
          <t>KALMAR LÄN</t>
        </is>
      </c>
      <c r="G245" t="inlineStr">
        <is>
          <t>NYBRO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46249</v>
      </c>
      <c r="F246" t="inlineStr">
        <is>
          <t>KALMAR LÄN</t>
        </is>
      </c>
      <c r="G246" t="inlineStr">
        <is>
          <t>NYBRO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46249</v>
      </c>
      <c r="F247" t="inlineStr">
        <is>
          <t>KALMAR LÄN</t>
        </is>
      </c>
      <c r="G247" t="inlineStr">
        <is>
          <t>NYBRO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46249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46249</v>
      </c>
      <c r="F249" t="inlineStr">
        <is>
          <t>KALMAR LÄN</t>
        </is>
      </c>
      <c r="G249" t="inlineStr">
        <is>
          <t>NYBRO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44870</v>
      </c>
      <c r="E250" s="1" t="n">
        <v>46249</v>
      </c>
      <c r="F250" t="inlineStr">
        <is>
          <t>KALMAR LÄN</t>
        </is>
      </c>
      <c r="G250" t="inlineStr">
        <is>
          <t>NYBRO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46249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46249</v>
      </c>
      <c r="F252" t="inlineStr">
        <is>
          <t>KALMAR LÄN</t>
        </is>
      </c>
      <c r="G252" t="inlineStr">
        <is>
          <t>NYBRO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46249</v>
      </c>
      <c r="F253" t="inlineStr">
        <is>
          <t>KALMAR LÄN</t>
        </is>
      </c>
      <c r="G253" t="inlineStr">
        <is>
          <t>NYBRO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46249</v>
      </c>
      <c r="F254" t="inlineStr">
        <is>
          <t>KALMAR LÄN</t>
        </is>
      </c>
      <c r="G254" t="inlineStr">
        <is>
          <t>NYBRO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36247-2022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44803</v>
      </c>
      <c r="E255" s="1" t="n">
        <v>46249</v>
      </c>
      <c r="F255" t="inlineStr">
        <is>
          <t>KALMAR LÄN</t>
        </is>
      </c>
      <c r="G255" t="inlineStr">
        <is>
          <t>NYBRO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46249</v>
      </c>
      <c r="F256" t="inlineStr">
        <is>
          <t>KALMAR LÄN</t>
        </is>
      </c>
      <c r="G256" t="inlineStr">
        <is>
          <t>NYBRO</t>
        </is>
      </c>
      <c r="H256" t="inlineStr">
        <is>
          <t>Sveaskog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46249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44587</v>
      </c>
      <c r="E258" s="1" t="n">
        <v>46249</v>
      </c>
      <c r="F258" t="inlineStr">
        <is>
          <t>KALMAR LÄN</t>
        </is>
      </c>
      <c r="G258" t="inlineStr">
        <is>
          <t>NYBRO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45882</v>
      </c>
      <c r="E259" s="1" t="n">
        <v>46249</v>
      </c>
      <c r="F259" t="inlineStr">
        <is>
          <t>KALMAR LÄN</t>
        </is>
      </c>
      <c r="G259" t="inlineStr">
        <is>
          <t>NYBRO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46249</v>
      </c>
      <c r="F260" t="inlineStr">
        <is>
          <t>KALMAR LÄN</t>
        </is>
      </c>
      <c r="G260" t="inlineStr">
        <is>
          <t>NYBRO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22744-2024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46249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46249</v>
      </c>
      <c r="F262" t="inlineStr">
        <is>
          <t>KALMAR LÄN</t>
        </is>
      </c>
      <c r="G262" t="inlineStr">
        <is>
          <t>NYBRO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46249</v>
      </c>
      <c r="F263" t="inlineStr">
        <is>
          <t>KALMAR LÄN</t>
        </is>
      </c>
      <c r="G263" t="inlineStr">
        <is>
          <t>NYBRO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46249</v>
      </c>
      <c r="F264" t="inlineStr">
        <is>
          <t>KALMAR LÄN</t>
        </is>
      </c>
      <c r="G264" t="inlineStr">
        <is>
          <t>NYBRO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46249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54512-2023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45233</v>
      </c>
      <c r="E266" s="1" t="n">
        <v>46249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44957</v>
      </c>
      <c r="E267" s="1" t="n">
        <v>46249</v>
      </c>
      <c r="F267" t="inlineStr">
        <is>
          <t>KALMAR LÄN</t>
        </is>
      </c>
      <c r="G267" t="inlineStr">
        <is>
          <t>NYBRO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46249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8150-2022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46249</v>
      </c>
      <c r="F269" t="inlineStr">
        <is>
          <t>KALMAR LÄN</t>
        </is>
      </c>
      <c r="G269" t="inlineStr">
        <is>
          <t>NYBRO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46249</v>
      </c>
      <c r="F270" t="inlineStr">
        <is>
          <t>KALMAR LÄN</t>
        </is>
      </c>
      <c r="G270" t="inlineStr">
        <is>
          <t>NYBRO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46249</v>
      </c>
      <c r="F271" t="inlineStr">
        <is>
          <t>KALMAR LÄN</t>
        </is>
      </c>
      <c r="G271" t="inlineStr">
        <is>
          <t>NYBRO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44779-2023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45190</v>
      </c>
      <c r="E272" s="1" t="n">
        <v>46249</v>
      </c>
      <c r="F272" t="inlineStr">
        <is>
          <t>KALMAR LÄN</t>
        </is>
      </c>
      <c r="G272" t="inlineStr">
        <is>
          <t>NYBRO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44746</v>
      </c>
      <c r="E273" s="1" t="n">
        <v>46249</v>
      </c>
      <c r="F273" t="inlineStr">
        <is>
          <t>KALMAR LÄN</t>
        </is>
      </c>
      <c r="G273" t="inlineStr">
        <is>
          <t>NYBRO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51908-2023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46249</v>
      </c>
      <c r="F274" t="inlineStr">
        <is>
          <t>KALMAR LÄN</t>
        </is>
      </c>
      <c r="G274" t="inlineStr">
        <is>
          <t>NYBRO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45341</v>
      </c>
      <c r="E275" s="1" t="n">
        <v>46249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46249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46249</v>
      </c>
      <c r="F277" t="inlineStr">
        <is>
          <t>KALMAR LÄN</t>
        </is>
      </c>
      <c r="G277" t="inlineStr">
        <is>
          <t>NYBRO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45054</v>
      </c>
      <c r="E278" s="1" t="n">
        <v>46249</v>
      </c>
      <c r="F278" t="inlineStr">
        <is>
          <t>KALMAR LÄN</t>
        </is>
      </c>
      <c r="G278" t="inlineStr">
        <is>
          <t>NYBRO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46249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68345-2021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44528</v>
      </c>
      <c r="E280" s="1" t="n">
        <v>46249</v>
      </c>
      <c r="F280" t="inlineStr">
        <is>
          <t>KALMAR LÄN</t>
        </is>
      </c>
      <c r="G280" t="inlineStr">
        <is>
          <t>NYBRO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46249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46249</v>
      </c>
      <c r="F282" t="inlineStr">
        <is>
          <t>KALMAR LÄN</t>
        </is>
      </c>
      <c r="G282" t="inlineStr">
        <is>
          <t>NYBRO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45510</v>
      </c>
      <c r="E283" s="1" t="n">
        <v>46249</v>
      </c>
      <c r="F283" t="inlineStr">
        <is>
          <t>KALMAR LÄN</t>
        </is>
      </c>
      <c r="G283" t="inlineStr">
        <is>
          <t>NYBRO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45798</v>
      </c>
      <c r="E284" s="1" t="n">
        <v>46249</v>
      </c>
      <c r="F284" t="inlineStr">
        <is>
          <t>KALMAR LÄN</t>
        </is>
      </c>
      <c r="G284" t="inlineStr">
        <is>
          <t>NYBRO</t>
        </is>
      </c>
      <c r="I284" t="n">
        <v>16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46249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46249</v>
      </c>
      <c r="F286" t="inlineStr">
        <is>
          <t>KALMAR LÄN</t>
        </is>
      </c>
      <c r="G286" t="inlineStr">
        <is>
          <t>NYBRO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45475</v>
      </c>
      <c r="E287" s="1" t="n">
        <v>46249</v>
      </c>
      <c r="F287" t="inlineStr">
        <is>
          <t>KALMAR LÄN</t>
        </is>
      </c>
      <c r="G287" t="inlineStr">
        <is>
          <t>NYBRO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45475</v>
      </c>
      <c r="E288" s="1" t="n">
        <v>46249</v>
      </c>
      <c r="F288" t="inlineStr">
        <is>
          <t>KALMAR LÄN</t>
        </is>
      </c>
      <c r="G288" t="inlineStr">
        <is>
          <t>NYBRO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46249</v>
      </c>
      <c r="F289" t="inlineStr">
        <is>
          <t>KALMAR LÄN</t>
        </is>
      </c>
      <c r="G289" t="inlineStr">
        <is>
          <t>NYBRO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45840</v>
      </c>
      <c r="E290" s="1" t="n">
        <v>46249</v>
      </c>
      <c r="F290" t="inlineStr">
        <is>
          <t>KALMAR LÄN</t>
        </is>
      </c>
      <c r="G290" t="inlineStr">
        <is>
          <t>NYBRO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12213-2025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46249</v>
      </c>
      <c r="F291" t="inlineStr">
        <is>
          <t>KALMAR LÄN</t>
        </is>
      </c>
      <c r="G291" t="inlineStr">
        <is>
          <t>NYBRO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46249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46249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44972</v>
      </c>
      <c r="E294" s="1" t="n">
        <v>46249</v>
      </c>
      <c r="F294" t="inlineStr">
        <is>
          <t>KALMAR LÄN</t>
        </is>
      </c>
      <c r="G294" t="inlineStr">
        <is>
          <t>NYBRO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46249</v>
      </c>
      <c r="F295" t="inlineStr">
        <is>
          <t>KALMAR LÄN</t>
        </is>
      </c>
      <c r="G295" t="inlineStr">
        <is>
          <t>NYBRO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45089</v>
      </c>
      <c r="E296" s="1" t="n">
        <v>46249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46249</v>
      </c>
      <c r="F297" t="inlineStr">
        <is>
          <t>KALMAR LÄN</t>
        </is>
      </c>
      <c r="G297" t="inlineStr">
        <is>
          <t>NYBRO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46249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39351-2024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45551</v>
      </c>
      <c r="E299" s="1" t="n">
        <v>46249</v>
      </c>
      <c r="F299" t="inlineStr">
        <is>
          <t>KALMAR LÄN</t>
        </is>
      </c>
      <c r="G299" t="inlineStr">
        <is>
          <t>NYBRO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46249</v>
      </c>
      <c r="F300" t="inlineStr">
        <is>
          <t>KALMAR LÄN</t>
        </is>
      </c>
      <c r="G300" t="inlineStr">
        <is>
          <t>NYBRO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46249</v>
      </c>
      <c r="F301" t="inlineStr">
        <is>
          <t>KALMAR LÄN</t>
        </is>
      </c>
      <c r="G301" t="inlineStr">
        <is>
          <t>NYBRO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60896-2022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44914</v>
      </c>
      <c r="E302" s="1" t="n">
        <v>46249</v>
      </c>
      <c r="F302" t="inlineStr">
        <is>
          <t>KALMAR LÄN</t>
        </is>
      </c>
      <c r="G302" t="inlineStr">
        <is>
          <t>NYBRO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46249</v>
      </c>
      <c r="F303" t="inlineStr">
        <is>
          <t>KALMAR LÄN</t>
        </is>
      </c>
      <c r="G303" t="inlineStr">
        <is>
          <t>NYBRO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46249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46249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46249</v>
      </c>
      <c r="F306" t="inlineStr">
        <is>
          <t>KALMAR LÄN</t>
        </is>
      </c>
      <c r="G306" t="inlineStr">
        <is>
          <t>NYBRO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45330</v>
      </c>
      <c r="E307" s="1" t="n">
        <v>46249</v>
      </c>
      <c r="F307" t="inlineStr">
        <is>
          <t>KALMAR LÄN</t>
        </is>
      </c>
      <c r="G307" t="inlineStr">
        <is>
          <t>NYBRO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46249</v>
      </c>
      <c r="F308" t="inlineStr">
        <is>
          <t>KALMAR LÄN</t>
        </is>
      </c>
      <c r="G308" t="inlineStr">
        <is>
          <t>NYBRO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61060-2021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44497</v>
      </c>
      <c r="E309" s="1" t="n">
        <v>46249</v>
      </c>
      <c r="F309" t="inlineStr">
        <is>
          <t>KALMAR LÄN</t>
        </is>
      </c>
      <c r="G309" t="inlineStr">
        <is>
          <t>NYBRO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44904</v>
      </c>
      <c r="E310" s="1" t="n">
        <v>46249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46249</v>
      </c>
      <c r="F311" t="inlineStr">
        <is>
          <t>KALMAR LÄN</t>
        </is>
      </c>
      <c r="G311" t="inlineStr">
        <is>
          <t>NYBRO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45442</v>
      </c>
      <c r="E312" s="1" t="n">
        <v>46249</v>
      </c>
      <c r="F312" t="inlineStr">
        <is>
          <t>KALMAR LÄN</t>
        </is>
      </c>
      <c r="G312" t="inlineStr">
        <is>
          <t>NYBRO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46249</v>
      </c>
      <c r="F313" t="inlineStr">
        <is>
          <t>KALMAR LÄN</t>
        </is>
      </c>
      <c r="G313" t="inlineStr">
        <is>
          <t>NYBRO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44959</v>
      </c>
      <c r="E314" s="1" t="n">
        <v>46249</v>
      </c>
      <c r="F314" t="inlineStr">
        <is>
          <t>KALMAR LÄN</t>
        </is>
      </c>
      <c r="G314" t="inlineStr">
        <is>
          <t>NYBRO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46249</v>
      </c>
      <c r="F315" t="inlineStr">
        <is>
          <t>KALMAR LÄN</t>
        </is>
      </c>
      <c r="G315" t="inlineStr">
        <is>
          <t>NYBRO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46249</v>
      </c>
      <c r="F316" t="inlineStr">
        <is>
          <t>KALMAR LÄN</t>
        </is>
      </c>
      <c r="G316" t="inlineStr">
        <is>
          <t>NYBRO</t>
        </is>
      </c>
      <c r="H316" t="inlineStr">
        <is>
          <t>Kommuner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46249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46249</v>
      </c>
      <c r="F318" t="inlineStr">
        <is>
          <t>KALMAR LÄN</t>
        </is>
      </c>
      <c r="G318" t="inlineStr">
        <is>
          <t>NYBRO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46249</v>
      </c>
      <c r="F319" t="inlineStr">
        <is>
          <t>KALMAR LÄN</t>
        </is>
      </c>
      <c r="G319" t="inlineStr">
        <is>
          <t>NYBRO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46249</v>
      </c>
      <c r="F320" t="inlineStr">
        <is>
          <t>KALMAR LÄN</t>
        </is>
      </c>
      <c r="G320" t="inlineStr">
        <is>
          <t>NYBRO</t>
        </is>
      </c>
      <c r="H320" t="inlineStr">
        <is>
          <t>Kommuner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46249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45301</v>
      </c>
      <c r="E322" s="1" t="n">
        <v>46249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45763</v>
      </c>
      <c r="E323" s="1" t="n">
        <v>46249</v>
      </c>
      <c r="F323" t="inlineStr">
        <is>
          <t>KALMAR LÄN</t>
        </is>
      </c>
      <c r="G323" t="inlineStr">
        <is>
          <t>NYBRO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49338-2025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45938</v>
      </c>
      <c r="E324" s="1" t="n">
        <v>46249</v>
      </c>
      <c r="F324" t="inlineStr">
        <is>
          <t>KALMAR LÄN</t>
        </is>
      </c>
      <c r="G324" t="inlineStr">
        <is>
          <t>NYBRO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46249</v>
      </c>
      <c r="F325" t="inlineStr">
        <is>
          <t>KALMAR LÄN</t>
        </is>
      </c>
      <c r="G325" t="inlineStr">
        <is>
          <t>NYBRO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46249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49739-2025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45940</v>
      </c>
      <c r="E327" s="1" t="n">
        <v>46249</v>
      </c>
      <c r="F327" t="inlineStr">
        <is>
          <t>KALMAR LÄN</t>
        </is>
      </c>
      <c r="G327" t="inlineStr">
        <is>
          <t>NYBRO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46249</v>
      </c>
      <c r="F328" t="inlineStr">
        <is>
          <t>KALMAR LÄN</t>
        </is>
      </c>
      <c r="G328" t="inlineStr">
        <is>
          <t>NYBRO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44928</v>
      </c>
      <c r="E329" s="1" t="n">
        <v>46249</v>
      </c>
      <c r="F329" t="inlineStr">
        <is>
          <t>KALMAR LÄN</t>
        </is>
      </c>
      <c r="G329" t="inlineStr">
        <is>
          <t>NYBRO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46249</v>
      </c>
      <c r="F330" t="inlineStr">
        <is>
          <t>KALMAR LÄN</t>
        </is>
      </c>
      <c r="G330" t="inlineStr">
        <is>
          <t>NYBRO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46249</v>
      </c>
      <c r="F331" t="inlineStr">
        <is>
          <t>KALMAR LÄN</t>
        </is>
      </c>
      <c r="G331" t="inlineStr">
        <is>
          <t>NYBRO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46249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46249</v>
      </c>
      <c r="F333" t="inlineStr">
        <is>
          <t>KALMAR LÄN</t>
        </is>
      </c>
      <c r="G333" t="inlineStr">
        <is>
          <t>NYBRO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45346</v>
      </c>
      <c r="E334" s="1" t="n">
        <v>46249</v>
      </c>
      <c r="F334" t="inlineStr">
        <is>
          <t>KALMAR LÄN</t>
        </is>
      </c>
      <c r="G334" t="inlineStr">
        <is>
          <t>NYBRO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72166-2021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44544</v>
      </c>
      <c r="E335" s="1" t="n">
        <v>46249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45728</v>
      </c>
      <c r="E336" s="1" t="n">
        <v>46249</v>
      </c>
      <c r="F336" t="inlineStr">
        <is>
          <t>KALMAR LÄN</t>
        </is>
      </c>
      <c r="G336" t="inlineStr">
        <is>
          <t>NYBRO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46249</v>
      </c>
      <c r="F337" t="inlineStr">
        <is>
          <t>KALMAR LÄN</t>
        </is>
      </c>
      <c r="G337" t="inlineStr">
        <is>
          <t>NYBRO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63945-2023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46249</v>
      </c>
      <c r="F338" t="inlineStr">
        <is>
          <t>KALMAR LÄN</t>
        </is>
      </c>
      <c r="G338" t="inlineStr">
        <is>
          <t>NYBRO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46249</v>
      </c>
      <c r="F339" t="inlineStr">
        <is>
          <t>KALMAR LÄN</t>
        </is>
      </c>
      <c r="G339" t="inlineStr">
        <is>
          <t>NYBRO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46249</v>
      </c>
      <c r="F340" t="inlineStr">
        <is>
          <t>KALMAR LÄN</t>
        </is>
      </c>
      <c r="G340" t="inlineStr">
        <is>
          <t>NYBRO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29847-2022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44756</v>
      </c>
      <c r="E341" s="1" t="n">
        <v>46249</v>
      </c>
      <c r="F341" t="inlineStr">
        <is>
          <t>KALMAR LÄN</t>
        </is>
      </c>
      <c r="G341" t="inlineStr">
        <is>
          <t>NYBRO</t>
        </is>
      </c>
      <c r="H341" t="inlineStr">
        <is>
          <t>Kyrkan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19244-2022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44692</v>
      </c>
      <c r="E342" s="1" t="n">
        <v>46249</v>
      </c>
      <c r="F342" t="inlineStr">
        <is>
          <t>KALMAR LÄN</t>
        </is>
      </c>
      <c r="G342" t="inlineStr">
        <is>
          <t>NYBRO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45091</v>
      </c>
      <c r="E343" s="1" t="n">
        <v>46249</v>
      </c>
      <c r="F343" t="inlineStr">
        <is>
          <t>KALMAR LÄN</t>
        </is>
      </c>
      <c r="G343" t="inlineStr">
        <is>
          <t>NYBRO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46249</v>
      </c>
      <c r="F344" t="inlineStr">
        <is>
          <t>KALMAR LÄN</t>
        </is>
      </c>
      <c r="G344" t="inlineStr">
        <is>
          <t>NYBRO</t>
        </is>
      </c>
      <c r="H344" t="inlineStr">
        <is>
          <t>Kyrkan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45561</v>
      </c>
      <c r="E345" s="1" t="n">
        <v>46249</v>
      </c>
      <c r="F345" t="inlineStr">
        <is>
          <t>KALMAR LÄN</t>
        </is>
      </c>
      <c r="G345" t="inlineStr">
        <is>
          <t>NYBRO</t>
        </is>
      </c>
      <c r="H345" t="inlineStr">
        <is>
          <t>Kyrkan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50477-2025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46249</v>
      </c>
      <c r="F346" t="inlineStr">
        <is>
          <t>KALMAR LÄN</t>
        </is>
      </c>
      <c r="G346" t="inlineStr">
        <is>
          <t>NYBRO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46249</v>
      </c>
      <c r="F347" t="inlineStr">
        <is>
          <t>KALMAR LÄN</t>
        </is>
      </c>
      <c r="G347" t="inlineStr">
        <is>
          <t>NYBRO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51082-2022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44868</v>
      </c>
      <c r="E348" s="1" t="n">
        <v>46249</v>
      </c>
      <c r="F348" t="inlineStr">
        <is>
          <t>KALMAR LÄN</t>
        </is>
      </c>
      <c r="G348" t="inlineStr">
        <is>
          <t>NYBRO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46249</v>
      </c>
      <c r="F349" t="inlineStr">
        <is>
          <t>KALMAR LÄN</t>
        </is>
      </c>
      <c r="G349" t="inlineStr">
        <is>
          <t>NYBRO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46249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45408</v>
      </c>
      <c r="E351" s="1" t="n">
        <v>46249</v>
      </c>
      <c r="F351" t="inlineStr">
        <is>
          <t>KALMAR LÄN</t>
        </is>
      </c>
      <c r="G351" t="inlineStr">
        <is>
          <t>NYBRO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10114-2022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44621</v>
      </c>
      <c r="E352" s="1" t="n">
        <v>46249</v>
      </c>
      <c r="F352" t="inlineStr">
        <is>
          <t>KALMAR LÄN</t>
        </is>
      </c>
      <c r="G352" t="inlineStr">
        <is>
          <t>NYBRO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46249</v>
      </c>
      <c r="F353" t="inlineStr">
        <is>
          <t>KALMAR LÄN</t>
        </is>
      </c>
      <c r="G353" t="inlineStr">
        <is>
          <t>NYBRO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45484</v>
      </c>
      <c r="E354" s="1" t="n">
        <v>46249</v>
      </c>
      <c r="F354" t="inlineStr">
        <is>
          <t>KALMAR LÄN</t>
        </is>
      </c>
      <c r="G354" t="inlineStr">
        <is>
          <t>NYBRO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27997-2023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45098</v>
      </c>
      <c r="E355" s="1" t="n">
        <v>46249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46249</v>
      </c>
      <c r="F356" t="inlineStr">
        <is>
          <t>KALMAR LÄN</t>
        </is>
      </c>
      <c r="G356" t="inlineStr">
        <is>
          <t>NYBRO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46249</v>
      </c>
      <c r="F357" t="inlineStr">
        <is>
          <t>KALMAR LÄN</t>
        </is>
      </c>
      <c r="G357" t="inlineStr">
        <is>
          <t>NYBRO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44873</v>
      </c>
      <c r="E358" s="1" t="n">
        <v>46249</v>
      </c>
      <c r="F358" t="inlineStr">
        <is>
          <t>KALMAR LÄN</t>
        </is>
      </c>
      <c r="G358" t="inlineStr">
        <is>
          <t>NYBRO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46249</v>
      </c>
      <c r="F359" t="inlineStr">
        <is>
          <t>KALMAR LÄN</t>
        </is>
      </c>
      <c r="G359" t="inlineStr">
        <is>
          <t>NYBRO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46249</v>
      </c>
      <c r="F360" t="inlineStr">
        <is>
          <t>KALMAR LÄN</t>
        </is>
      </c>
      <c r="G360" t="inlineStr">
        <is>
          <t>NYBRO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46249</v>
      </c>
      <c r="F361" t="inlineStr">
        <is>
          <t>KALMAR LÄN</t>
        </is>
      </c>
      <c r="G361" t="inlineStr">
        <is>
          <t>NYBRO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45145</v>
      </c>
      <c r="E362" s="1" t="n">
        <v>46249</v>
      </c>
      <c r="F362" t="inlineStr">
        <is>
          <t>KALMAR LÄN</t>
        </is>
      </c>
      <c r="G362" t="inlineStr">
        <is>
          <t>NYBRO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45145</v>
      </c>
      <c r="E363" s="1" t="n">
        <v>46249</v>
      </c>
      <c r="F363" t="inlineStr">
        <is>
          <t>KALMAR LÄN</t>
        </is>
      </c>
      <c r="G363" t="inlineStr">
        <is>
          <t>NYBRO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46249</v>
      </c>
      <c r="F364" t="inlineStr">
        <is>
          <t>KALMAR LÄN</t>
        </is>
      </c>
      <c r="G364" t="inlineStr">
        <is>
          <t>NYBRO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45335</v>
      </c>
      <c r="E365" s="1" t="n">
        <v>46249</v>
      </c>
      <c r="F365" t="inlineStr">
        <is>
          <t>KALMAR LÄN</t>
        </is>
      </c>
      <c r="G365" t="inlineStr">
        <is>
          <t>NYBRO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51582-2023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46249</v>
      </c>
      <c r="F366" t="inlineStr">
        <is>
          <t>KALMAR LÄN</t>
        </is>
      </c>
      <c r="G366" t="inlineStr">
        <is>
          <t>NYBRO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46249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46249</v>
      </c>
      <c r="F368" t="inlineStr">
        <is>
          <t>KALMAR LÄN</t>
        </is>
      </c>
      <c r="G368" t="inlineStr">
        <is>
          <t>NYBRO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44985</v>
      </c>
      <c r="E369" s="1" t="n">
        <v>46249</v>
      </c>
      <c r="F369" t="inlineStr">
        <is>
          <t>KALMAR LÄN</t>
        </is>
      </c>
      <c r="G369" t="inlineStr">
        <is>
          <t>NYBRO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44910</v>
      </c>
      <c r="E370" s="1" t="n">
        <v>46249</v>
      </c>
      <c r="F370" t="inlineStr">
        <is>
          <t>KALMAR LÄN</t>
        </is>
      </c>
      <c r="G370" t="inlineStr">
        <is>
          <t>NYBRO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46249</v>
      </c>
      <c r="F371" t="inlineStr">
        <is>
          <t>KALMAR LÄN</t>
        </is>
      </c>
      <c r="G371" t="inlineStr">
        <is>
          <t>NYBRO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45463</v>
      </c>
      <c r="E372" s="1" t="n">
        <v>46249</v>
      </c>
      <c r="F372" t="inlineStr">
        <is>
          <t>KALMAR LÄN</t>
        </is>
      </c>
      <c r="G372" t="inlineStr">
        <is>
          <t>NYBRO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46249</v>
      </c>
      <c r="F373" t="inlineStr">
        <is>
          <t>KALMAR LÄN</t>
        </is>
      </c>
      <c r="G373" t="inlineStr">
        <is>
          <t>NYBRO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45037</v>
      </c>
      <c r="E374" s="1" t="n">
        <v>46249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46249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44939</v>
      </c>
      <c r="E376" s="1" t="n">
        <v>46249</v>
      </c>
      <c r="F376" t="inlineStr">
        <is>
          <t>KALMAR LÄN</t>
        </is>
      </c>
      <c r="G376" t="inlineStr">
        <is>
          <t>NYBRO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45534</v>
      </c>
      <c r="E377" s="1" t="n">
        <v>46249</v>
      </c>
      <c r="F377" t="inlineStr">
        <is>
          <t>KALMAR LÄN</t>
        </is>
      </c>
      <c r="G377" t="inlineStr">
        <is>
          <t>NYBRO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45223</v>
      </c>
      <c r="E378" s="1" t="n">
        <v>46249</v>
      </c>
      <c r="F378" t="inlineStr">
        <is>
          <t>KALMAR LÄN</t>
        </is>
      </c>
      <c r="G378" t="inlineStr">
        <is>
          <t>NYBRO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53650-2023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46249</v>
      </c>
      <c r="F379" t="inlineStr">
        <is>
          <t>KALMAR LÄN</t>
        </is>
      </c>
      <c r="G379" t="inlineStr">
        <is>
          <t>NYBRO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45367</v>
      </c>
      <c r="E380" s="1" t="n">
        <v>46249</v>
      </c>
      <c r="F380" t="inlineStr">
        <is>
          <t>KALMAR LÄN</t>
        </is>
      </c>
      <c r="G380" t="inlineStr">
        <is>
          <t>NYBRO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46249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46249</v>
      </c>
      <c r="F382" t="inlineStr">
        <is>
          <t>KALMAR LÄN</t>
        </is>
      </c>
      <c r="G382" t="inlineStr">
        <is>
          <t>NYBRO</t>
        </is>
      </c>
      <c r="H382" t="inlineStr">
        <is>
          <t>Kommuner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45090</v>
      </c>
      <c r="E383" s="1" t="n">
        <v>46249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25717-2022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44733</v>
      </c>
      <c r="E384" s="1" t="n">
        <v>46249</v>
      </c>
      <c r="F384" t="inlineStr">
        <is>
          <t>KALMAR LÄN</t>
        </is>
      </c>
      <c r="G384" t="inlineStr">
        <is>
          <t>NYBRO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46249</v>
      </c>
      <c r="F385" t="inlineStr">
        <is>
          <t>KALMAR LÄN</t>
        </is>
      </c>
      <c r="G385" t="inlineStr">
        <is>
          <t>NYBRO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50976-2022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44867</v>
      </c>
      <c r="E386" s="1" t="n">
        <v>46249</v>
      </c>
      <c r="F386" t="inlineStr">
        <is>
          <t>KALMAR LÄN</t>
        </is>
      </c>
      <c r="G386" t="inlineStr">
        <is>
          <t>NYBRO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45400</v>
      </c>
      <c r="E387" s="1" t="n">
        <v>46249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44970</v>
      </c>
      <c r="E388" s="1" t="n">
        <v>46249</v>
      </c>
      <c r="F388" t="inlineStr">
        <is>
          <t>KALMAR LÄN</t>
        </is>
      </c>
      <c r="G388" t="inlineStr">
        <is>
          <t>NYBRO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45552</v>
      </c>
      <c r="E389" s="1" t="n">
        <v>46249</v>
      </c>
      <c r="F389" t="inlineStr">
        <is>
          <t>KALMAR LÄN</t>
        </is>
      </c>
      <c r="G389" t="inlineStr">
        <is>
          <t>NYBRO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46249</v>
      </c>
      <c r="F390" t="inlineStr">
        <is>
          <t>KALMAR LÄN</t>
        </is>
      </c>
      <c r="G390" t="inlineStr">
        <is>
          <t>NYBRO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46249</v>
      </c>
      <c r="F391" t="inlineStr">
        <is>
          <t>KALMAR LÄN</t>
        </is>
      </c>
      <c r="G391" t="inlineStr">
        <is>
          <t>NYBRO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60030-2022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44909</v>
      </c>
      <c r="E392" s="1" t="n">
        <v>46249</v>
      </c>
      <c r="F392" t="inlineStr">
        <is>
          <t>KALMAR LÄN</t>
        </is>
      </c>
      <c r="G392" t="inlineStr">
        <is>
          <t>NYBRO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44973</v>
      </c>
      <c r="E393" s="1" t="n">
        <v>46249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45113-2023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46249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46249</v>
      </c>
      <c r="F395" t="inlineStr">
        <is>
          <t>KALMAR LÄN</t>
        </is>
      </c>
      <c r="G395" t="inlineStr">
        <is>
          <t>NYBRO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46249</v>
      </c>
      <c r="F396" t="inlineStr">
        <is>
          <t>KALMAR LÄN</t>
        </is>
      </c>
      <c r="G396" t="inlineStr">
        <is>
          <t>NYBRO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46249</v>
      </c>
      <c r="F397" t="inlineStr">
        <is>
          <t>KALMAR LÄN</t>
        </is>
      </c>
      <c r="G397" t="inlineStr">
        <is>
          <t>NYBRO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46249</v>
      </c>
      <c r="F398" t="inlineStr">
        <is>
          <t>KALMAR LÄN</t>
        </is>
      </c>
      <c r="G398" t="inlineStr">
        <is>
          <t>NYBRO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46249</v>
      </c>
      <c r="F399" t="inlineStr">
        <is>
          <t>KALMAR LÄN</t>
        </is>
      </c>
      <c r="G399" t="inlineStr">
        <is>
          <t>NYBRO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46249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22488-2022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44713</v>
      </c>
      <c r="E401" s="1" t="n">
        <v>46249</v>
      </c>
      <c r="F401" t="inlineStr">
        <is>
          <t>KALMAR LÄN</t>
        </is>
      </c>
      <c r="G401" t="inlineStr">
        <is>
          <t>NYBRO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57476-2025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45980</v>
      </c>
      <c r="E402" s="1" t="n">
        <v>46249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46249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45980</v>
      </c>
      <c r="E404" s="1" t="n">
        <v>46249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46249</v>
      </c>
      <c r="F405" t="inlineStr">
        <is>
          <t>KALMAR LÄN</t>
        </is>
      </c>
      <c r="G405" t="inlineStr">
        <is>
          <t>NYBRO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59052-2022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46249</v>
      </c>
      <c r="F406" t="inlineStr">
        <is>
          <t>KALMAR LÄN</t>
        </is>
      </c>
      <c r="G406" t="inlineStr">
        <is>
          <t>NYBRO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46249</v>
      </c>
      <c r="F407" t="inlineStr">
        <is>
          <t>KALMAR LÄN</t>
        </is>
      </c>
      <c r="G407" t="inlineStr">
        <is>
          <t>NYBRO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46249</v>
      </c>
      <c r="F408" t="inlineStr">
        <is>
          <t>KALMAR LÄN</t>
        </is>
      </c>
      <c r="G408" t="inlineStr">
        <is>
          <t>NYBRO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46249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46249</v>
      </c>
      <c r="F410" t="inlineStr">
        <is>
          <t>KALMAR LÄN</t>
        </is>
      </c>
      <c r="G410" t="inlineStr">
        <is>
          <t>NYBRO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45335</v>
      </c>
      <c r="E411" s="1" t="n">
        <v>46249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47270-2024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45586</v>
      </c>
      <c r="E412" s="1" t="n">
        <v>46249</v>
      </c>
      <c r="F412" t="inlineStr">
        <is>
          <t>KALMAR LÄN</t>
        </is>
      </c>
      <c r="G412" t="inlineStr">
        <is>
          <t>NYBRO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45439</v>
      </c>
      <c r="E413" s="1" t="n">
        <v>46249</v>
      </c>
      <c r="F413" t="inlineStr">
        <is>
          <t>KALMAR LÄN</t>
        </is>
      </c>
      <c r="G413" t="inlineStr">
        <is>
          <t>NYBRO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46249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44825</v>
      </c>
      <c r="E415" s="1" t="n">
        <v>46249</v>
      </c>
      <c r="F415" t="inlineStr">
        <is>
          <t>KALMAR LÄN</t>
        </is>
      </c>
      <c r="G415" t="inlineStr">
        <is>
          <t>NYBRO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22429-2023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45070</v>
      </c>
      <c r="E416" s="1" t="n">
        <v>46249</v>
      </c>
      <c r="F416" t="inlineStr">
        <is>
          <t>KALMAR LÄN</t>
        </is>
      </c>
      <c r="G416" t="inlineStr">
        <is>
          <t>NYBRO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10630-2024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45367</v>
      </c>
      <c r="E417" s="1" t="n">
        <v>46249</v>
      </c>
      <c r="F417" t="inlineStr">
        <is>
          <t>KALMAR LÄN</t>
        </is>
      </c>
      <c r="G417" t="inlineStr">
        <is>
          <t>NYBRO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45411</v>
      </c>
      <c r="E418" s="1" t="n">
        <v>46249</v>
      </c>
      <c r="F418" t="inlineStr">
        <is>
          <t>KALMAR LÄN</t>
        </is>
      </c>
      <c r="G418" t="inlineStr">
        <is>
          <t>NYBRO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44992</v>
      </c>
      <c r="E419" s="1" t="n">
        <v>46249</v>
      </c>
      <c r="F419" t="inlineStr">
        <is>
          <t>KALMAR LÄN</t>
        </is>
      </c>
      <c r="G419" t="inlineStr">
        <is>
          <t>NYBRO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46249</v>
      </c>
      <c r="F420" t="inlineStr">
        <is>
          <t>KALMAR LÄN</t>
        </is>
      </c>
      <c r="G420" t="inlineStr">
        <is>
          <t>NYBRO</t>
        </is>
      </c>
      <c r="I420" t="n">
        <v>12.2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45986</v>
      </c>
      <c r="E421" s="1" t="n">
        <v>46249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52133-2021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44462</v>
      </c>
      <c r="E422" s="1" t="n">
        <v>46249</v>
      </c>
      <c r="F422" t="inlineStr">
        <is>
          <t>KALMAR LÄN</t>
        </is>
      </c>
      <c r="G422" t="inlineStr">
        <is>
          <t>NYBRO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52135-2021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44463</v>
      </c>
      <c r="E423" s="1" t="n">
        <v>46249</v>
      </c>
      <c r="F423" t="inlineStr">
        <is>
          <t>KALMAR LÄN</t>
        </is>
      </c>
      <c r="G423" t="inlineStr">
        <is>
          <t>NYBRO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46249</v>
      </c>
      <c r="F424" t="inlineStr">
        <is>
          <t>KALMAR LÄN</t>
        </is>
      </c>
      <c r="G424" t="inlineStr">
        <is>
          <t>NYBRO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46249</v>
      </c>
      <c r="F425" t="inlineStr">
        <is>
          <t>KALMAR LÄN</t>
        </is>
      </c>
      <c r="G425" t="inlineStr">
        <is>
          <t>NYBRO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44579</v>
      </c>
      <c r="E426" s="1" t="n">
        <v>46249</v>
      </c>
      <c r="F426" t="inlineStr">
        <is>
          <t>KALMAR LÄN</t>
        </is>
      </c>
      <c r="G426" t="inlineStr">
        <is>
          <t>NYBRO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22489-2022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44713</v>
      </c>
      <c r="E427" s="1" t="n">
        <v>46249</v>
      </c>
      <c r="F427" t="inlineStr">
        <is>
          <t>KALMAR LÄN</t>
        </is>
      </c>
      <c r="G427" t="inlineStr">
        <is>
          <t>NYBRO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46249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45121</v>
      </c>
      <c r="E429" s="1" t="n">
        <v>46249</v>
      </c>
      <c r="F429" t="inlineStr">
        <is>
          <t>KALMAR LÄN</t>
        </is>
      </c>
      <c r="G429" t="inlineStr">
        <is>
          <t>NYBRO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46125</v>
      </c>
      <c r="E430" s="1" t="n">
        <v>46249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28164-2022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44746</v>
      </c>
      <c r="E431" s="1" t="n">
        <v>46249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46249</v>
      </c>
      <c r="F432" t="inlineStr">
        <is>
          <t>KALMAR LÄN</t>
        </is>
      </c>
      <c r="G432" t="inlineStr">
        <is>
          <t>NYBRO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46249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44594</v>
      </c>
      <c r="E434" s="1" t="n">
        <v>46249</v>
      </c>
      <c r="F434" t="inlineStr">
        <is>
          <t>KALMAR LÄN</t>
        </is>
      </c>
      <c r="G434" t="inlineStr">
        <is>
          <t>NYBRO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44933</v>
      </c>
      <c r="E435" s="1" t="n">
        <v>46249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8489-2023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46249</v>
      </c>
      <c r="F436" t="inlineStr">
        <is>
          <t>KALMAR LÄN</t>
        </is>
      </c>
      <c r="G436" t="inlineStr">
        <is>
          <t>NYBRO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46125</v>
      </c>
      <c r="E437" s="1" t="n">
        <v>46249</v>
      </c>
      <c r="F437" t="inlineStr">
        <is>
          <t>KALMAR LÄN</t>
        </is>
      </c>
      <c r="G437" t="inlineStr">
        <is>
          <t>NYBRO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46249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46249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46249</v>
      </c>
      <c r="F440" t="inlineStr">
        <is>
          <t>KALMAR LÄN</t>
        </is>
      </c>
      <c r="G440" t="inlineStr">
        <is>
          <t>NYBRO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45359</v>
      </c>
      <c r="E441" s="1" t="n">
        <v>46249</v>
      </c>
      <c r="F441" t="inlineStr">
        <is>
          <t>KALMAR LÄN</t>
        </is>
      </c>
      <c r="G441" t="inlineStr">
        <is>
          <t>NYBRO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45089</v>
      </c>
      <c r="E442" s="1" t="n">
        <v>46249</v>
      </c>
      <c r="F442" t="inlineStr">
        <is>
          <t>KALMAR LÄN</t>
        </is>
      </c>
      <c r="G442" t="inlineStr">
        <is>
          <t>NYBRO</t>
        </is>
      </c>
      <c r="H442" t="inlineStr">
        <is>
          <t>Kommuner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46249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44931</v>
      </c>
      <c r="E444" s="1" t="n">
        <v>46249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46249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46127</v>
      </c>
      <c r="E446" s="1" t="n">
        <v>46249</v>
      </c>
      <c r="F446" t="inlineStr">
        <is>
          <t>KALMAR LÄN</t>
        </is>
      </c>
      <c r="G446" t="inlineStr">
        <is>
          <t>NYBRO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29557-2023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46249</v>
      </c>
      <c r="F447" t="inlineStr">
        <is>
          <t>KALMAR LÄN</t>
        </is>
      </c>
      <c r="G447" t="inlineStr">
        <is>
          <t>NYBRO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46249</v>
      </c>
      <c r="F448" t="inlineStr">
        <is>
          <t>KALMAR LÄN</t>
        </is>
      </c>
      <c r="G448" t="inlineStr">
        <is>
          <t>NYBRO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46249</v>
      </c>
      <c r="F449" t="inlineStr">
        <is>
          <t>KALMAR LÄN</t>
        </is>
      </c>
      <c r="G449" t="inlineStr">
        <is>
          <t>NYBRO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46249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46249</v>
      </c>
      <c r="F451" t="inlineStr">
        <is>
          <t>KALMAR LÄN</t>
        </is>
      </c>
      <c r="G451" t="inlineStr">
        <is>
          <t>NYBRO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46249</v>
      </c>
      <c r="F452" t="inlineStr">
        <is>
          <t>KALMAR LÄN</t>
        </is>
      </c>
      <c r="G452" t="inlineStr">
        <is>
          <t>NYBRO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45057</v>
      </c>
      <c r="E453" s="1" t="n">
        <v>46249</v>
      </c>
      <c r="F453" t="inlineStr">
        <is>
          <t>KALMAR LÄN</t>
        </is>
      </c>
      <c r="G453" t="inlineStr">
        <is>
          <t>NYBRO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46249</v>
      </c>
      <c r="F454" t="inlineStr">
        <is>
          <t>KALMAR LÄN</t>
        </is>
      </c>
      <c r="G454" t="inlineStr">
        <is>
          <t>NYBRO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11150-2024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45371</v>
      </c>
      <c r="E455" s="1" t="n">
        <v>46249</v>
      </c>
      <c r="F455" t="inlineStr">
        <is>
          <t>KALMAR LÄN</t>
        </is>
      </c>
      <c r="G455" t="inlineStr">
        <is>
          <t>NYBRO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46249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60819-2022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46249</v>
      </c>
      <c r="F457" t="inlineStr">
        <is>
          <t>KALMAR LÄN</t>
        </is>
      </c>
      <c r="G457" t="inlineStr">
        <is>
          <t>NYBRO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46249</v>
      </c>
      <c r="F458" t="inlineStr">
        <is>
          <t>KALMAR LÄN</t>
        </is>
      </c>
      <c r="G458" t="inlineStr">
        <is>
          <t>NYBRO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44819</v>
      </c>
      <c r="E459" s="1" t="n">
        <v>46249</v>
      </c>
      <c r="F459" t="inlineStr">
        <is>
          <t>KALMAR LÄN</t>
        </is>
      </c>
      <c r="G459" t="inlineStr">
        <is>
          <t>NYBRO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60794-2021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46249</v>
      </c>
      <c r="F460" t="inlineStr">
        <is>
          <t>KALMAR LÄN</t>
        </is>
      </c>
      <c r="G460" t="inlineStr">
        <is>
          <t>NYBRO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44949</v>
      </c>
      <c r="E461" s="1" t="n">
        <v>46249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46249</v>
      </c>
      <c r="F462" t="inlineStr">
        <is>
          <t>KALMAR LÄN</t>
        </is>
      </c>
      <c r="G462" t="inlineStr">
        <is>
          <t>NYBRO</t>
        </is>
      </c>
      <c r="H462" t="inlineStr">
        <is>
          <t>Kyrkan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45512</v>
      </c>
      <c r="E463" s="1" t="n">
        <v>46249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46249</v>
      </c>
      <c r="F464" t="inlineStr">
        <is>
          <t>KALMAR LÄN</t>
        </is>
      </c>
      <c r="G464" t="inlineStr">
        <is>
          <t>NYBRO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46249</v>
      </c>
      <c r="F465" t="inlineStr">
        <is>
          <t>KALMAR LÄN</t>
        </is>
      </c>
      <c r="G465" t="inlineStr">
        <is>
          <t>NYBRO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46249</v>
      </c>
      <c r="F466" t="inlineStr">
        <is>
          <t>KALMAR LÄN</t>
        </is>
      </c>
      <c r="G466" t="inlineStr">
        <is>
          <t>NYBRO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44030-2023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45188</v>
      </c>
      <c r="E467" s="1" t="n">
        <v>46249</v>
      </c>
      <c r="F467" t="inlineStr">
        <is>
          <t>KALMAR LÄN</t>
        </is>
      </c>
      <c r="G467" t="inlineStr">
        <is>
          <t>NYBRO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46249</v>
      </c>
      <c r="F468" t="inlineStr">
        <is>
          <t>KALMAR LÄN</t>
        </is>
      </c>
      <c r="G468" t="inlineStr">
        <is>
          <t>NYBRO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46249</v>
      </c>
      <c r="F469" t="inlineStr">
        <is>
          <t>KALMAR LÄN</t>
        </is>
      </c>
      <c r="G469" t="inlineStr">
        <is>
          <t>NYBRO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46249</v>
      </c>
      <c r="F470" t="inlineStr">
        <is>
          <t>KALMAR LÄN</t>
        </is>
      </c>
      <c r="G470" t="inlineStr">
        <is>
          <t>NYBRO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46249</v>
      </c>
      <c r="F471" t="inlineStr">
        <is>
          <t>KALMAR LÄN</t>
        </is>
      </c>
      <c r="G471" t="inlineStr">
        <is>
          <t>NYBRO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46249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45385</v>
      </c>
      <c r="E473" s="1" t="n">
        <v>46249</v>
      </c>
      <c r="F473" t="inlineStr">
        <is>
          <t>KALMAR LÄN</t>
        </is>
      </c>
      <c r="G473" t="inlineStr">
        <is>
          <t>NYBRO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49104-2023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46249</v>
      </c>
      <c r="F474" t="inlineStr">
        <is>
          <t>KALMAR LÄN</t>
        </is>
      </c>
      <c r="G474" t="inlineStr">
        <is>
          <t>NYBRO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20434-2023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46249</v>
      </c>
      <c r="F475" t="inlineStr">
        <is>
          <t>KALMAR LÄN</t>
        </is>
      </c>
      <c r="G475" t="inlineStr">
        <is>
          <t>NYBRO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45475</v>
      </c>
      <c r="E476" s="1" t="n">
        <v>46249</v>
      </c>
      <c r="F476" t="inlineStr">
        <is>
          <t>KALMAR LÄN</t>
        </is>
      </c>
      <c r="G476" t="inlineStr">
        <is>
          <t>NYBRO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19474-2026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46249</v>
      </c>
      <c r="F477" t="inlineStr">
        <is>
          <t>KALMAR LÄN</t>
        </is>
      </c>
      <c r="G477" t="inlineStr">
        <is>
          <t>NYBRO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45606</v>
      </c>
      <c r="E478" s="1" t="n">
        <v>46249</v>
      </c>
      <c r="F478" t="inlineStr">
        <is>
          <t>KALMAR LÄN</t>
        </is>
      </c>
      <c r="G478" t="inlineStr">
        <is>
          <t>NYBRO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23204-2023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45075</v>
      </c>
      <c r="E479" s="1" t="n">
        <v>46249</v>
      </c>
      <c r="F479" t="inlineStr">
        <is>
          <t>KALMAR LÄN</t>
        </is>
      </c>
      <c r="G479" t="inlineStr">
        <is>
          <t>NYBRO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45478</v>
      </c>
      <c r="E480" s="1" t="n">
        <v>46249</v>
      </c>
      <c r="F480" t="inlineStr">
        <is>
          <t>KALMAR LÄN</t>
        </is>
      </c>
      <c r="G480" t="inlineStr">
        <is>
          <t>NYBRO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46249</v>
      </c>
      <c r="F481" t="inlineStr">
        <is>
          <t>KALMAR LÄN</t>
        </is>
      </c>
      <c r="G481" t="inlineStr">
        <is>
          <t>NYBRO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44999</v>
      </c>
      <c r="E482" s="1" t="n">
        <v>46249</v>
      </c>
      <c r="F482" t="inlineStr">
        <is>
          <t>KALMAR LÄN</t>
        </is>
      </c>
      <c r="G482" t="inlineStr">
        <is>
          <t>NYBRO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10005-2024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46249</v>
      </c>
      <c r="F483" t="inlineStr">
        <is>
          <t>KALMAR LÄN</t>
        </is>
      </c>
      <c r="G483" t="inlineStr">
        <is>
          <t>NYBRO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43909-2025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45914</v>
      </c>
      <c r="E484" s="1" t="n">
        <v>46249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45930</v>
      </c>
      <c r="E485" s="1" t="n">
        <v>46249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45820</v>
      </c>
      <c r="E486" s="1" t="n">
        <v>46249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45841</v>
      </c>
      <c r="E487" s="1" t="n">
        <v>46249</v>
      </c>
      <c r="F487" t="inlineStr">
        <is>
          <t>KALMAR LÄN</t>
        </is>
      </c>
      <c r="G487" t="inlineStr">
        <is>
          <t>NYBRO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46249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54848-2025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45966</v>
      </c>
      <c r="E489" s="1" t="n">
        <v>46249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44900</v>
      </c>
      <c r="E490" s="1" t="n">
        <v>46249</v>
      </c>
      <c r="F490" t="inlineStr">
        <is>
          <t>KALMAR LÄN</t>
        </is>
      </c>
      <c r="G490" t="inlineStr">
        <is>
          <t>NYBRO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45213</v>
      </c>
      <c r="E491" s="1" t="n">
        <v>46249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46249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46249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46249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46249</v>
      </c>
      <c r="F495" t="inlineStr">
        <is>
          <t>KALMAR LÄN</t>
        </is>
      </c>
      <c r="G495" t="inlineStr">
        <is>
          <t>NYBRO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45577</v>
      </c>
      <c r="E496" s="1" t="n">
        <v>46249</v>
      </c>
      <c r="F496" t="inlineStr">
        <is>
          <t>KALMAR LÄN</t>
        </is>
      </c>
      <c r="G496" t="inlineStr">
        <is>
          <t>NYBRO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46249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46249</v>
      </c>
      <c r="F498" t="inlineStr">
        <is>
          <t>KALMAR LÄN</t>
        </is>
      </c>
      <c r="G498" t="inlineStr">
        <is>
          <t>NYBRO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47627-2025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46249</v>
      </c>
      <c r="F499" t="inlineStr">
        <is>
          <t>KALMAR LÄN</t>
        </is>
      </c>
      <c r="G499" t="inlineStr">
        <is>
          <t>NYBRO</t>
        </is>
      </c>
      <c r="H499" t="inlineStr">
        <is>
          <t>Kyrkan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46249</v>
      </c>
      <c r="F500" t="inlineStr">
        <is>
          <t>KALMAR LÄN</t>
        </is>
      </c>
      <c r="G500" t="inlineStr">
        <is>
          <t>NYBRO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60041-2022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44909</v>
      </c>
      <c r="E501" s="1" t="n">
        <v>46249</v>
      </c>
      <c r="F501" t="inlineStr">
        <is>
          <t>KALMAR LÄN</t>
        </is>
      </c>
      <c r="G501" t="inlineStr">
        <is>
          <t>NYBRO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46249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46249</v>
      </c>
      <c r="F503" t="inlineStr">
        <is>
          <t>KALMAR LÄN</t>
        </is>
      </c>
      <c r="G503" t="inlineStr">
        <is>
          <t>NYBRO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45859</v>
      </c>
      <c r="E504" s="1" t="n">
        <v>46249</v>
      </c>
      <c r="F504" t="inlineStr">
        <is>
          <t>KALMAR LÄN</t>
        </is>
      </c>
      <c r="G504" t="inlineStr">
        <is>
          <t>NYBRO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45091</v>
      </c>
      <c r="E505" s="1" t="n">
        <v>46249</v>
      </c>
      <c r="F505" t="inlineStr">
        <is>
          <t>KALMAR LÄN</t>
        </is>
      </c>
      <c r="G505" t="inlineStr">
        <is>
          <t>NYBRO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46249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46249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45484</v>
      </c>
      <c r="E508" s="1" t="n">
        <v>46249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16720-2024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45409</v>
      </c>
      <c r="E509" s="1" t="n">
        <v>46249</v>
      </c>
      <c r="F509" t="inlineStr">
        <is>
          <t>KALMAR LÄN</t>
        </is>
      </c>
      <c r="G509" t="inlineStr">
        <is>
          <t>NYBRO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45694</v>
      </c>
      <c r="E510" s="1" t="n">
        <v>46249</v>
      </c>
      <c r="F510" t="inlineStr">
        <is>
          <t>KALMAR LÄN</t>
        </is>
      </c>
      <c r="G510" t="inlineStr">
        <is>
          <t>NYBRO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56574-2025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45975</v>
      </c>
      <c r="E511" s="1" t="n">
        <v>46249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59687-2021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46249</v>
      </c>
      <c r="F512" t="inlineStr">
        <is>
          <t>KALMAR LÄN</t>
        </is>
      </c>
      <c r="G512" t="inlineStr">
        <is>
          <t>NYBRO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52137-2021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44463</v>
      </c>
      <c r="E513" s="1" t="n">
        <v>46249</v>
      </c>
      <c r="F513" t="inlineStr">
        <is>
          <t>KALMAR LÄN</t>
        </is>
      </c>
      <c r="G513" t="inlineStr">
        <is>
          <t>NYBRO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60706-2024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46249</v>
      </c>
      <c r="F514" t="inlineStr">
        <is>
          <t>KALMAR LÄN</t>
        </is>
      </c>
      <c r="G514" t="inlineStr">
        <is>
          <t>NYBRO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46249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47632-2025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45931</v>
      </c>
      <c r="E516" s="1" t="n">
        <v>46249</v>
      </c>
      <c r="F516" t="inlineStr">
        <is>
          <t>KALMAR LÄN</t>
        </is>
      </c>
      <c r="G516" t="inlineStr">
        <is>
          <t>NYBRO</t>
        </is>
      </c>
      <c r="H516" t="inlineStr">
        <is>
          <t>Kyrkan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46249</v>
      </c>
      <c r="F517" t="inlineStr">
        <is>
          <t>KALMAR LÄN</t>
        </is>
      </c>
      <c r="G517" t="inlineStr">
        <is>
          <t>NYBRO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21433-2023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45063</v>
      </c>
      <c r="E518" s="1" t="n">
        <v>46249</v>
      </c>
      <c r="F518" t="inlineStr">
        <is>
          <t>KALMAR LÄN</t>
        </is>
      </c>
      <c r="G518" t="inlineStr">
        <is>
          <t>NYBRO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44798</v>
      </c>
      <c r="E519" s="1" t="n">
        <v>46249</v>
      </c>
      <c r="F519" t="inlineStr">
        <is>
          <t>KALMAR LÄN</t>
        </is>
      </c>
      <c r="G519" t="inlineStr">
        <is>
          <t>NYBRO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46249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47435-2022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44853</v>
      </c>
      <c r="E521" s="1" t="n">
        <v>46249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45470</v>
      </c>
      <c r="E522" s="1" t="n">
        <v>46249</v>
      </c>
      <c r="F522" t="inlineStr">
        <is>
          <t>KALMAR LÄN</t>
        </is>
      </c>
      <c r="G522" t="inlineStr">
        <is>
          <t>NYBRO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45021</v>
      </c>
      <c r="E523" s="1" t="n">
        <v>46249</v>
      </c>
      <c r="F523" t="inlineStr">
        <is>
          <t>KALMAR LÄN</t>
        </is>
      </c>
      <c r="G523" t="inlineStr">
        <is>
          <t>NYBRO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46249</v>
      </c>
      <c r="F524" t="inlineStr">
        <is>
          <t>KALMAR LÄN</t>
        </is>
      </c>
      <c r="G524" t="inlineStr">
        <is>
          <t>NYBRO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45713</v>
      </c>
      <c r="E525" s="1" t="n">
        <v>46249</v>
      </c>
      <c r="F525" t="inlineStr">
        <is>
          <t>KALMAR LÄN</t>
        </is>
      </c>
      <c r="G525" t="inlineStr">
        <is>
          <t>NYBRO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45079</v>
      </c>
      <c r="E526" s="1" t="n">
        <v>46249</v>
      </c>
      <c r="F526" t="inlineStr">
        <is>
          <t>KALMAR LÄN</t>
        </is>
      </c>
      <c r="G526" t="inlineStr">
        <is>
          <t>NYBRO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46249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45887</v>
      </c>
      <c r="E528" s="1" t="n">
        <v>46249</v>
      </c>
      <c r="F528" t="inlineStr">
        <is>
          <t>KALMAR LÄN</t>
        </is>
      </c>
      <c r="G528" t="inlineStr">
        <is>
          <t>NYBRO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45668</v>
      </c>
      <c r="E529" s="1" t="n">
        <v>46249</v>
      </c>
      <c r="F529" t="inlineStr">
        <is>
          <t>KALMAR LÄN</t>
        </is>
      </c>
      <c r="G529" t="inlineStr">
        <is>
          <t>NYBRO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45327</v>
      </c>
      <c r="E530" s="1" t="n">
        <v>46249</v>
      </c>
      <c r="F530" t="inlineStr">
        <is>
          <t>KALMAR LÄN</t>
        </is>
      </c>
      <c r="G530" t="inlineStr">
        <is>
          <t>NYBRO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46249</v>
      </c>
      <c r="F531" t="inlineStr">
        <is>
          <t>KALMAR LÄN</t>
        </is>
      </c>
      <c r="G531" t="inlineStr">
        <is>
          <t>NYBRO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44713</v>
      </c>
      <c r="E532" s="1" t="n">
        <v>46249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61136-2022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44908</v>
      </c>
      <c r="E533" s="1" t="n">
        <v>46249</v>
      </c>
      <c r="F533" t="inlineStr">
        <is>
          <t>KALMAR LÄN</t>
        </is>
      </c>
      <c r="G533" t="inlineStr">
        <is>
          <t>NYBRO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46249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45079</v>
      </c>
      <c r="E535" s="1" t="n">
        <v>46249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48732-2023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46249</v>
      </c>
      <c r="F536" t="inlineStr">
        <is>
          <t>KALMAR LÄN</t>
        </is>
      </c>
      <c r="G536" t="inlineStr">
        <is>
          <t>NYBRO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55255-2023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45231</v>
      </c>
      <c r="E537" s="1" t="n">
        <v>46249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45525</v>
      </c>
      <c r="E538" s="1" t="n">
        <v>46249</v>
      </c>
      <c r="F538" t="inlineStr">
        <is>
          <t>KALMAR LÄN</t>
        </is>
      </c>
      <c r="G538" t="inlineStr">
        <is>
          <t>NYBRO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45590</v>
      </c>
      <c r="E539" s="1" t="n">
        <v>46249</v>
      </c>
      <c r="F539" t="inlineStr">
        <is>
          <t>KALMAR LÄN</t>
        </is>
      </c>
      <c r="G539" t="inlineStr">
        <is>
          <t>NYBRO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46249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46249</v>
      </c>
      <c r="F541" t="inlineStr">
        <is>
          <t>KALMAR LÄN</t>
        </is>
      </c>
      <c r="G541" t="inlineStr">
        <is>
          <t>NYBRO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7958-2023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44973</v>
      </c>
      <c r="E542" s="1" t="n">
        <v>46249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46249</v>
      </c>
      <c r="F543" t="inlineStr">
        <is>
          <t>KALMAR LÄN</t>
        </is>
      </c>
      <c r="G543" t="inlineStr">
        <is>
          <t>NYBRO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39535-2022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46249</v>
      </c>
      <c r="F544" t="inlineStr">
        <is>
          <t>KALMAR LÄN</t>
        </is>
      </c>
      <c r="G544" t="inlineStr">
        <is>
          <t>NYBRO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45369</v>
      </c>
      <c r="E545" s="1" t="n">
        <v>46249</v>
      </c>
      <c r="F545" t="inlineStr">
        <is>
          <t>KALMAR LÄN</t>
        </is>
      </c>
      <c r="G545" t="inlineStr">
        <is>
          <t>NYBRO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46249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29950-2024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45488</v>
      </c>
      <c r="E547" s="1" t="n">
        <v>46249</v>
      </c>
      <c r="F547" t="inlineStr">
        <is>
          <t>KALMAR LÄN</t>
        </is>
      </c>
      <c r="G547" t="inlineStr">
        <is>
          <t>NYBRO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44945</v>
      </c>
      <c r="E548" s="1" t="n">
        <v>46249</v>
      </c>
      <c r="F548" t="inlineStr">
        <is>
          <t>KALMAR LÄN</t>
        </is>
      </c>
      <c r="G548" t="inlineStr">
        <is>
          <t>NYBRO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59689-2021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44494</v>
      </c>
      <c r="E549" s="1" t="n">
        <v>46249</v>
      </c>
      <c r="F549" t="inlineStr">
        <is>
          <t>KALMAR LÄN</t>
        </is>
      </c>
      <c r="G549" t="inlineStr">
        <is>
          <t>NYBRO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46249</v>
      </c>
      <c r="F550" t="inlineStr">
        <is>
          <t>KALMAR LÄN</t>
        </is>
      </c>
      <c r="G550" t="inlineStr">
        <is>
          <t>NYBRO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45401</v>
      </c>
      <c r="E551" s="1" t="n">
        <v>46249</v>
      </c>
      <c r="F551" t="inlineStr">
        <is>
          <t>KALMAR LÄN</t>
        </is>
      </c>
      <c r="G551" t="inlineStr">
        <is>
          <t>NYBRO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45149</v>
      </c>
      <c r="E552" s="1" t="n">
        <v>46249</v>
      </c>
      <c r="F552" t="inlineStr">
        <is>
          <t>KALMAR LÄN</t>
        </is>
      </c>
      <c r="G552" t="inlineStr">
        <is>
          <t>NYBRO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46249</v>
      </c>
      <c r="F553" t="inlineStr">
        <is>
          <t>KALMAR LÄN</t>
        </is>
      </c>
      <c r="G553" t="inlineStr">
        <is>
          <t>NYBRO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23926-2023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45075</v>
      </c>
      <c r="E554" s="1" t="n">
        <v>46249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45946</v>
      </c>
      <c r="E555" s="1" t="n">
        <v>46249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45679</v>
      </c>
      <c r="E556" s="1" t="n">
        <v>46249</v>
      </c>
      <c r="F556" t="inlineStr">
        <is>
          <t>KALMAR LÄN</t>
        </is>
      </c>
      <c r="G556" t="inlineStr">
        <is>
          <t>NYBRO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10895-2023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46249</v>
      </c>
      <c r="F557" t="inlineStr">
        <is>
          <t>KALMAR LÄN</t>
        </is>
      </c>
      <c r="G557" t="inlineStr">
        <is>
          <t>NYBRO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45554</v>
      </c>
      <c r="E558" s="1" t="n">
        <v>46249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44816</v>
      </c>
      <c r="E559" s="1" t="n">
        <v>46249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53681-2022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44880</v>
      </c>
      <c r="E560" s="1" t="n">
        <v>46249</v>
      </c>
      <c r="F560" t="inlineStr">
        <is>
          <t>KALMAR LÄN</t>
        </is>
      </c>
      <c r="G560" t="inlineStr">
        <is>
          <t>NYBRO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46051</v>
      </c>
      <c r="E561" s="1" t="n">
        <v>46249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44881</v>
      </c>
      <c r="E562" s="1" t="n">
        <v>46249</v>
      </c>
      <c r="F562" t="inlineStr">
        <is>
          <t>KALMAR LÄN</t>
        </is>
      </c>
      <c r="G562" t="inlineStr">
        <is>
          <t>NYBRO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44844</v>
      </c>
      <c r="E563" s="1" t="n">
        <v>46249</v>
      </c>
      <c r="F563" t="inlineStr">
        <is>
          <t>KALMAR LÄN</t>
        </is>
      </c>
      <c r="G563" t="inlineStr">
        <is>
          <t>NYBRO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51651-2024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45606</v>
      </c>
      <c r="E564" s="1" t="n">
        <v>46249</v>
      </c>
      <c r="F564" t="inlineStr">
        <is>
          <t>KALMAR LÄN</t>
        </is>
      </c>
      <c r="G564" t="inlineStr">
        <is>
          <t>NYBRO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31870-2024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45509</v>
      </c>
      <c r="E565" s="1" t="n">
        <v>46249</v>
      </c>
      <c r="F565" t="inlineStr">
        <is>
          <t>KALMAR LÄN</t>
        </is>
      </c>
      <c r="G565" t="inlineStr">
        <is>
          <t>NYBRO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45189</v>
      </c>
      <c r="E566" s="1" t="n">
        <v>46249</v>
      </c>
      <c r="F566" t="inlineStr">
        <is>
          <t>KALMAR LÄN</t>
        </is>
      </c>
      <c r="G566" t="inlineStr">
        <is>
          <t>NYBRO</t>
        </is>
      </c>
      <c r="H566" t="inlineStr">
        <is>
          <t>Kyrkan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11968-2025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45728</v>
      </c>
      <c r="E567" s="1" t="n">
        <v>46249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44586</v>
      </c>
      <c r="E568" s="1" t="n">
        <v>46249</v>
      </c>
      <c r="F568" t="inlineStr">
        <is>
          <t>KALMAR LÄN</t>
        </is>
      </c>
      <c r="G568" t="inlineStr">
        <is>
          <t>NYBRO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46249</v>
      </c>
      <c r="F569" t="inlineStr">
        <is>
          <t>KALMAR LÄN</t>
        </is>
      </c>
      <c r="G569" t="inlineStr">
        <is>
          <t>NYBRO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44700</v>
      </c>
      <c r="E570" s="1" t="n">
        <v>46249</v>
      </c>
      <c r="F570" t="inlineStr">
        <is>
          <t>KALMAR LÄN</t>
        </is>
      </c>
      <c r="G570" t="inlineStr">
        <is>
          <t>NYBRO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22873-2023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45072</v>
      </c>
      <c r="E571" s="1" t="n">
        <v>46249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46249</v>
      </c>
      <c r="F572" t="inlineStr">
        <is>
          <t>KALMAR LÄN</t>
        </is>
      </c>
      <c r="G572" t="inlineStr">
        <is>
          <t>NYBRO</t>
        </is>
      </c>
      <c r="I572" t="n">
        <v>13.2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46249</v>
      </c>
      <c r="F573" t="inlineStr">
        <is>
          <t>KALMAR LÄN</t>
        </is>
      </c>
      <c r="G573" t="inlineStr">
        <is>
          <t>NYBRO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46249</v>
      </c>
      <c r="F574" t="inlineStr">
        <is>
          <t>KALMAR LÄN</t>
        </is>
      </c>
      <c r="G574" t="inlineStr">
        <is>
          <t>NYBRO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44889</v>
      </c>
      <c r="E575" s="1" t="n">
        <v>46249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49912-2022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44865</v>
      </c>
      <c r="E576" s="1" t="n">
        <v>46249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60033-2022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46249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45135</v>
      </c>
      <c r="E578" s="1" t="n">
        <v>46249</v>
      </c>
      <c r="F578" t="inlineStr">
        <is>
          <t>KALMAR LÄN</t>
        </is>
      </c>
      <c r="G578" t="inlineStr">
        <is>
          <t>NYBRO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45055</v>
      </c>
      <c r="E579" s="1" t="n">
        <v>46249</v>
      </c>
      <c r="F579" t="inlineStr">
        <is>
          <t>KALMAR LÄN</t>
        </is>
      </c>
      <c r="G579" t="inlineStr">
        <is>
          <t>NYBRO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20391-2026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46139</v>
      </c>
      <c r="E580" s="1" t="n">
        <v>46249</v>
      </c>
      <c r="F580" t="inlineStr">
        <is>
          <t>KALMAR LÄN</t>
        </is>
      </c>
      <c r="G580" t="inlineStr">
        <is>
          <t>NYBRO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46249</v>
      </c>
      <c r="F581" t="inlineStr">
        <is>
          <t>KALMAR LÄN</t>
        </is>
      </c>
      <c r="G581" t="inlineStr">
        <is>
          <t>NYBRO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46249</v>
      </c>
      <c r="F582" t="inlineStr">
        <is>
          <t>KALMAR LÄN</t>
        </is>
      </c>
      <c r="G582" t="inlineStr">
        <is>
          <t>NYBRO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45111</v>
      </c>
      <c r="E583" s="1" t="n">
        <v>46249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31222-2025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45832</v>
      </c>
      <c r="E584" s="1" t="n">
        <v>46249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45649</v>
      </c>
      <c r="E585" s="1" t="n">
        <v>46249</v>
      </c>
      <c r="F585" t="inlineStr">
        <is>
          <t>KALMAR LÄN</t>
        </is>
      </c>
      <c r="G585" t="inlineStr">
        <is>
          <t>NYBRO</t>
        </is>
      </c>
      <c r="I585" t="n">
        <v>14.2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45649</v>
      </c>
      <c r="E586" s="1" t="n">
        <v>46249</v>
      </c>
      <c r="F586" t="inlineStr">
        <is>
          <t>KALMAR LÄN</t>
        </is>
      </c>
      <c r="G586" t="inlineStr">
        <is>
          <t>NYBRO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45240</v>
      </c>
      <c r="E587" s="1" t="n">
        <v>46249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33035-2022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44785</v>
      </c>
      <c r="E588" s="1" t="n">
        <v>46249</v>
      </c>
      <c r="F588" t="inlineStr">
        <is>
          <t>KALMAR LÄN</t>
        </is>
      </c>
      <c r="G588" t="inlineStr">
        <is>
          <t>NYBRO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45761</v>
      </c>
      <c r="E589" s="1" t="n">
        <v>46249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10745-2026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46249</v>
      </c>
      <c r="F590" t="inlineStr">
        <is>
          <t>KALMAR LÄN</t>
        </is>
      </c>
      <c r="G590" t="inlineStr">
        <is>
          <t>NYBRO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18831-2024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45426</v>
      </c>
      <c r="E591" s="1" t="n">
        <v>46249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46249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46249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45011</v>
      </c>
      <c r="E594" s="1" t="n">
        <v>46249</v>
      </c>
      <c r="F594" t="inlineStr">
        <is>
          <t>KALMAR LÄN</t>
        </is>
      </c>
      <c r="G594" t="inlineStr">
        <is>
          <t>NYBRO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49096-2023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45210</v>
      </c>
      <c r="E595" s="1" t="n">
        <v>46249</v>
      </c>
      <c r="F595" t="inlineStr">
        <is>
          <t>KALMAR LÄN</t>
        </is>
      </c>
      <c r="G595" t="inlineStr">
        <is>
          <t>NYBRO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46249</v>
      </c>
      <c r="F596" t="inlineStr">
        <is>
          <t>KALMAR LÄN</t>
        </is>
      </c>
      <c r="G596" t="inlineStr">
        <is>
          <t>NYBRO</t>
        </is>
      </c>
      <c r="H596" t="inlineStr">
        <is>
          <t>Kyrkan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46069</v>
      </c>
      <c r="E597" s="1" t="n">
        <v>46249</v>
      </c>
      <c r="F597" t="inlineStr">
        <is>
          <t>KALMAR LÄN</t>
        </is>
      </c>
      <c r="G597" t="inlineStr">
        <is>
          <t>NYBRO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8883-2026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46067</v>
      </c>
      <c r="E598" s="1" t="n">
        <v>46249</v>
      </c>
      <c r="F598" t="inlineStr">
        <is>
          <t>KALMAR LÄN</t>
        </is>
      </c>
      <c r="G598" t="inlineStr">
        <is>
          <t>NYBRO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46249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48467-2024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45591</v>
      </c>
      <c r="E600" s="1" t="n">
        <v>46249</v>
      </c>
      <c r="F600" t="inlineStr">
        <is>
          <t>KALMAR LÄN</t>
        </is>
      </c>
      <c r="G600" t="inlineStr">
        <is>
          <t>NYBRO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58551-2024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45635</v>
      </c>
      <c r="E601" s="1" t="n">
        <v>46249</v>
      </c>
      <c r="F601" t="inlineStr">
        <is>
          <t>KALMAR LÄN</t>
        </is>
      </c>
      <c r="G601" t="inlineStr">
        <is>
          <t>NYBRO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45028</v>
      </c>
      <c r="E602" s="1" t="n">
        <v>46249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46249</v>
      </c>
      <c r="F603" t="inlineStr">
        <is>
          <t>KALMAR LÄN</t>
        </is>
      </c>
      <c r="G603" t="inlineStr">
        <is>
          <t>NYBRO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46249</v>
      </c>
      <c r="F604" t="inlineStr">
        <is>
          <t>KALMAR LÄN</t>
        </is>
      </c>
      <c r="G604" t="inlineStr">
        <is>
          <t>NYBRO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46249</v>
      </c>
      <c r="F605" t="inlineStr">
        <is>
          <t>KALMAR LÄN</t>
        </is>
      </c>
      <c r="G605" t="inlineStr">
        <is>
          <t>NYBRO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46072</v>
      </c>
      <c r="E606" s="1" t="n">
        <v>46249</v>
      </c>
      <c r="F606" t="inlineStr">
        <is>
          <t>KALMAR LÄN</t>
        </is>
      </c>
      <c r="G606" t="inlineStr">
        <is>
          <t>NYBRO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18586-2025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45763</v>
      </c>
      <c r="E607" s="1" t="n">
        <v>46249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37967-2022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44811</v>
      </c>
      <c r="E608" s="1" t="n">
        <v>46249</v>
      </c>
      <c r="F608" t="inlineStr">
        <is>
          <t>KALMAR LÄN</t>
        </is>
      </c>
      <c r="G608" t="inlineStr">
        <is>
          <t>NYBRO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50978-2022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44867</v>
      </c>
      <c r="E609" s="1" t="n">
        <v>46249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45429</v>
      </c>
      <c r="E610" s="1" t="n">
        <v>46249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5354-2022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44594</v>
      </c>
      <c r="E611" s="1" t="n">
        <v>46249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45331</v>
      </c>
      <c r="E612" s="1" t="n">
        <v>46249</v>
      </c>
      <c r="F612" t="inlineStr">
        <is>
          <t>KALMAR LÄN</t>
        </is>
      </c>
      <c r="G612" t="inlineStr">
        <is>
          <t>NYBRO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46249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42955-2021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44431</v>
      </c>
      <c r="E614" s="1" t="n">
        <v>46249</v>
      </c>
      <c r="F614" t="inlineStr">
        <is>
          <t>KALMAR LÄN</t>
        </is>
      </c>
      <c r="G614" t="inlineStr">
        <is>
          <t>NYBRO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42965-2021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44431</v>
      </c>
      <c r="E615" s="1" t="n">
        <v>46249</v>
      </c>
      <c r="F615" t="inlineStr">
        <is>
          <t>KALMAR LÄN</t>
        </is>
      </c>
      <c r="G615" t="inlineStr">
        <is>
          <t>NYBRO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45022</v>
      </c>
      <c r="E616" s="1" t="n">
        <v>46249</v>
      </c>
      <c r="F616" t="inlineStr">
        <is>
          <t>KALMAR LÄN</t>
        </is>
      </c>
      <c r="G616" t="inlineStr">
        <is>
          <t>NYBRO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46141</v>
      </c>
      <c r="E617" s="1" t="n">
        <v>46249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52382-2022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44874</v>
      </c>
      <c r="E618" s="1" t="n">
        <v>46249</v>
      </c>
      <c r="F618" t="inlineStr">
        <is>
          <t>KALMAR LÄN</t>
        </is>
      </c>
      <c r="G618" t="inlineStr">
        <is>
          <t>NYBRO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32048-2022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44778</v>
      </c>
      <c r="E619" s="1" t="n">
        <v>46249</v>
      </c>
      <c r="F619" t="inlineStr">
        <is>
          <t>KALMAR LÄN</t>
        </is>
      </c>
      <c r="G619" t="inlineStr">
        <is>
          <t>NYBRO</t>
        </is>
      </c>
      <c r="I619" t="n">
        <v>13.7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20386-2023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45056</v>
      </c>
      <c r="E620" s="1" t="n">
        <v>46249</v>
      </c>
      <c r="F620" t="inlineStr">
        <is>
          <t>KALMAR LÄN</t>
        </is>
      </c>
      <c r="G620" t="inlineStr">
        <is>
          <t>NYBRO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45149</v>
      </c>
      <c r="E621" s="1" t="n">
        <v>46249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14586-2023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45013</v>
      </c>
      <c r="E622" s="1" t="n">
        <v>46249</v>
      </c>
      <c r="F622" t="inlineStr">
        <is>
          <t>KALMAR LÄN</t>
        </is>
      </c>
      <c r="G622" t="inlineStr">
        <is>
          <t>NYBRO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42030-2024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46249</v>
      </c>
      <c r="F623" t="inlineStr">
        <is>
          <t>KALMAR LÄN</t>
        </is>
      </c>
      <c r="G623" t="inlineStr">
        <is>
          <t>NYBRO</t>
        </is>
      </c>
      <c r="H623" t="inlineStr">
        <is>
          <t>Kyrkan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46249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45392</v>
      </c>
      <c r="E625" s="1" t="n">
        <v>46249</v>
      </c>
      <c r="F625" t="inlineStr">
        <is>
          <t>KALMAR LÄN</t>
        </is>
      </c>
      <c r="G625" t="inlineStr">
        <is>
          <t>NYBRO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48102-2023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45205</v>
      </c>
      <c r="E626" s="1" t="n">
        <v>46249</v>
      </c>
      <c r="F626" t="inlineStr">
        <is>
          <t>KALMAR LÄN</t>
        </is>
      </c>
      <c r="G626" t="inlineStr">
        <is>
          <t>NYBRO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10742-2026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46078</v>
      </c>
      <c r="E627" s="1" t="n">
        <v>46249</v>
      </c>
      <c r="F627" t="inlineStr">
        <is>
          <t>KALMAR LÄN</t>
        </is>
      </c>
      <c r="G627" t="inlineStr">
        <is>
          <t>NYBRO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20646-2026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46141</v>
      </c>
      <c r="E628" s="1" t="n">
        <v>46249</v>
      </c>
      <c r="F628" t="inlineStr">
        <is>
          <t>KALMAR LÄN</t>
        </is>
      </c>
      <c r="G628" t="inlineStr">
        <is>
          <t>NYBRO</t>
        </is>
      </c>
      <c r="H628" t="inlineStr">
        <is>
          <t>Sveaskog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55289-2022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44882</v>
      </c>
      <c r="E629" s="1" t="n">
        <v>46249</v>
      </c>
      <c r="F629" t="inlineStr">
        <is>
          <t>KALMAR LÄN</t>
        </is>
      </c>
      <c r="G629" t="inlineStr">
        <is>
          <t>NYBRO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28479-2023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46249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50723-2023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45210</v>
      </c>
      <c r="E631" s="1" t="n">
        <v>46249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45296</v>
      </c>
      <c r="E632" s="1" t="n">
        <v>46249</v>
      </c>
      <c r="F632" t="inlineStr">
        <is>
          <t>KALMAR LÄN</t>
        </is>
      </c>
      <c r="G632" t="inlineStr">
        <is>
          <t>NYBRO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56103-2023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45240</v>
      </c>
      <c r="E633" s="1" t="n">
        <v>46249</v>
      </c>
      <c r="F633" t="inlineStr">
        <is>
          <t>KALMAR LÄN</t>
        </is>
      </c>
      <c r="G633" t="inlineStr">
        <is>
          <t>NYBRO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58933-2022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44903</v>
      </c>
      <c r="E634" s="1" t="n">
        <v>46249</v>
      </c>
      <c r="F634" t="inlineStr">
        <is>
          <t>KALMAR LÄN</t>
        </is>
      </c>
      <c r="G634" t="inlineStr">
        <is>
          <t>NYBRO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44825</v>
      </c>
      <c r="E635" s="1" t="n">
        <v>46249</v>
      </c>
      <c r="F635" t="inlineStr">
        <is>
          <t>KALMAR LÄN</t>
        </is>
      </c>
      <c r="G635" t="inlineStr">
        <is>
          <t>NYBRO</t>
        </is>
      </c>
      <c r="I635" t="n">
        <v>18.6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6811-2024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46249</v>
      </c>
      <c r="F636" t="inlineStr">
        <is>
          <t>KALMAR LÄN</t>
        </is>
      </c>
      <c r="G636" t="inlineStr">
        <is>
          <t>NYBRO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45096</v>
      </c>
      <c r="E637" s="1" t="n">
        <v>46249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45477</v>
      </c>
      <c r="E638" s="1" t="n">
        <v>46249</v>
      </c>
      <c r="F638" t="inlineStr">
        <is>
          <t>KALMAR LÄN</t>
        </is>
      </c>
      <c r="G638" t="inlineStr">
        <is>
          <t>NYBRO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28636-2023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45103</v>
      </c>
      <c r="E639" s="1" t="n">
        <v>46249</v>
      </c>
      <c r="F639" t="inlineStr">
        <is>
          <t>KALMAR LÄN</t>
        </is>
      </c>
      <c r="G639" t="inlineStr">
        <is>
          <t>NYBRO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16354-2024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45407</v>
      </c>
      <c r="E640" s="1" t="n">
        <v>46249</v>
      </c>
      <c r="F640" t="inlineStr">
        <is>
          <t>KALMAR LÄN</t>
        </is>
      </c>
      <c r="G640" t="inlineStr">
        <is>
          <t>NYBRO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44920-2024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45575</v>
      </c>
      <c r="E641" s="1" t="n">
        <v>46249</v>
      </c>
      <c r="F641" t="inlineStr">
        <is>
          <t>KALMAR LÄN</t>
        </is>
      </c>
      <c r="G641" t="inlineStr">
        <is>
          <t>NYBRO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45156</v>
      </c>
      <c r="E642" s="1" t="n">
        <v>46249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45313</v>
      </c>
      <c r="E643" s="1" t="n">
        <v>46249</v>
      </c>
      <c r="F643" t="inlineStr">
        <is>
          <t>KALMAR LÄN</t>
        </is>
      </c>
      <c r="G643" t="inlineStr">
        <is>
          <t>NYBRO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54341-2022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44882</v>
      </c>
      <c r="E644" s="1" t="n">
        <v>46249</v>
      </c>
      <c r="F644" t="inlineStr">
        <is>
          <t>KALMAR LÄN</t>
        </is>
      </c>
      <c r="G644" t="inlineStr">
        <is>
          <t>NYBRO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41958-2024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45561</v>
      </c>
      <c r="E645" s="1" t="n">
        <v>46249</v>
      </c>
      <c r="F645" t="inlineStr">
        <is>
          <t>KALMAR LÄN</t>
        </is>
      </c>
      <c r="G645" t="inlineStr">
        <is>
          <t>NYBRO</t>
        </is>
      </c>
      <c r="H645" t="inlineStr">
        <is>
          <t>Kyrkan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17969-2025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45761</v>
      </c>
      <c r="E646" s="1" t="n">
        <v>46249</v>
      </c>
      <c r="F646" t="inlineStr">
        <is>
          <t>KALMAR LÄN</t>
        </is>
      </c>
      <c r="G646" t="inlineStr">
        <is>
          <t>NYBRO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46249</v>
      </c>
      <c r="F647" t="inlineStr">
        <is>
          <t>KALMAR LÄN</t>
        </is>
      </c>
      <c r="G647" t="inlineStr">
        <is>
          <t>NYBRO</t>
        </is>
      </c>
      <c r="H647" t="inlineStr">
        <is>
          <t>Kommuner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22059-2023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45069</v>
      </c>
      <c r="E648" s="1" t="n">
        <v>46249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45163</v>
      </c>
      <c r="E649" s="1" t="n">
        <v>46249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45368</v>
      </c>
      <c r="E650" s="1" t="n">
        <v>46249</v>
      </c>
      <c r="F650" t="inlineStr">
        <is>
          <t>KALMAR LÄN</t>
        </is>
      </c>
      <c r="G650" t="inlineStr">
        <is>
          <t>NYBRO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10737-2024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45369</v>
      </c>
      <c r="E651" s="1" t="n">
        <v>46249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46249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45373</v>
      </c>
      <c r="E653" s="1" t="n">
        <v>46249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45369</v>
      </c>
      <c r="E654" s="1" t="n">
        <v>46249</v>
      </c>
      <c r="F654" t="inlineStr">
        <is>
          <t>KALMAR LÄN</t>
        </is>
      </c>
      <c r="G654" t="inlineStr">
        <is>
          <t>NYBRO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8697-2024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45356</v>
      </c>
      <c r="E655" s="1" t="n">
        <v>46249</v>
      </c>
      <c r="F655" t="inlineStr">
        <is>
          <t>KALMAR LÄN</t>
        </is>
      </c>
      <c r="G655" t="inlineStr">
        <is>
          <t>NYBRO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46249</v>
      </c>
      <c r="F656" t="inlineStr">
        <is>
          <t>KALMAR LÄN</t>
        </is>
      </c>
      <c r="G656" t="inlineStr">
        <is>
          <t>NYBRO</t>
        </is>
      </c>
      <c r="H656" t="inlineStr">
        <is>
          <t>Sveaskog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45118</v>
      </c>
      <c r="E657" s="1" t="n">
        <v>46249</v>
      </c>
      <c r="F657" t="inlineStr">
        <is>
          <t>KALMAR LÄN</t>
        </is>
      </c>
      <c r="G657" t="inlineStr">
        <is>
          <t>NYBRO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45121</v>
      </c>
      <c r="E658" s="1" t="n">
        <v>46249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64453-2023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45280</v>
      </c>
      <c r="E659" s="1" t="n">
        <v>46249</v>
      </c>
      <c r="F659" t="inlineStr">
        <is>
          <t>KALMAR LÄN</t>
        </is>
      </c>
      <c r="G659" t="inlineStr">
        <is>
          <t>NYBRO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32757-2023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45123</v>
      </c>
      <c r="E660" s="1" t="n">
        <v>46249</v>
      </c>
      <c r="F660" t="inlineStr">
        <is>
          <t>KALMAR LÄN</t>
        </is>
      </c>
      <c r="G660" t="inlineStr">
        <is>
          <t>NYBRO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45321</v>
      </c>
      <c r="E661" s="1" t="n">
        <v>46249</v>
      </c>
      <c r="F661" t="inlineStr">
        <is>
          <t>KALMAR LÄN</t>
        </is>
      </c>
      <c r="G661" t="inlineStr">
        <is>
          <t>NYBRO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45117</v>
      </c>
      <c r="E662" s="1" t="n">
        <v>46249</v>
      </c>
      <c r="F662" t="inlineStr">
        <is>
          <t>KALMAR LÄN</t>
        </is>
      </c>
      <c r="G662" t="inlineStr">
        <is>
          <t>NYBRO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46249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22575-2026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46155</v>
      </c>
      <c r="E664" s="1" t="n">
        <v>46249</v>
      </c>
      <c r="F664" t="inlineStr">
        <is>
          <t>KALMAR LÄN</t>
        </is>
      </c>
      <c r="G664" t="inlineStr">
        <is>
          <t>NYBRO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45013</v>
      </c>
      <c r="E665" s="1" t="n">
        <v>46249</v>
      </c>
      <c r="F665" t="inlineStr">
        <is>
          <t>KALMAR LÄN</t>
        </is>
      </c>
      <c r="G665" t="inlineStr">
        <is>
          <t>NYBRO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41674-2024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45560</v>
      </c>
      <c r="E666" s="1" t="n">
        <v>46249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24689-2023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45084</v>
      </c>
      <c r="E667" s="1" t="n">
        <v>46249</v>
      </c>
      <c r="F667" t="inlineStr">
        <is>
          <t>KALMAR LÄN</t>
        </is>
      </c>
      <c r="G667" t="inlineStr">
        <is>
          <t>NYBRO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40193-2025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45894</v>
      </c>
      <c r="E668" s="1" t="n">
        <v>46249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22872-2026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46160</v>
      </c>
      <c r="E669" s="1" t="n">
        <v>46249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27340-2023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45096</v>
      </c>
      <c r="E670" s="1" t="n">
        <v>46249</v>
      </c>
      <c r="F670" t="inlineStr">
        <is>
          <t>KALMAR LÄN</t>
        </is>
      </c>
      <c r="G670" t="inlineStr">
        <is>
          <t>NYBRO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41846-2024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45561</v>
      </c>
      <c r="E671" s="1" t="n">
        <v>46249</v>
      </c>
      <c r="F671" t="inlineStr">
        <is>
          <t>KALMAR LÄN</t>
        </is>
      </c>
      <c r="G671" t="inlineStr">
        <is>
          <t>NYBRO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58761-2021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44489</v>
      </c>
      <c r="E672" s="1" t="n">
        <v>46249</v>
      </c>
      <c r="F672" t="inlineStr">
        <is>
          <t>KALMAR LÄN</t>
        </is>
      </c>
      <c r="G672" t="inlineStr">
        <is>
          <t>NYBRO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3349-2025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45679</v>
      </c>
      <c r="E673" s="1" t="n">
        <v>46249</v>
      </c>
      <c r="F673" t="inlineStr">
        <is>
          <t>KALMAR LÄN</t>
        </is>
      </c>
      <c r="G673" t="inlineStr">
        <is>
          <t>NYBRO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7037-2026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46249</v>
      </c>
      <c r="F674" t="inlineStr">
        <is>
          <t>KALMAR LÄN</t>
        </is>
      </c>
      <c r="G674" t="inlineStr">
        <is>
          <t>NYBRO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45079</v>
      </c>
      <c r="E675" s="1" t="n">
        <v>46249</v>
      </c>
      <c r="F675" t="inlineStr">
        <is>
          <t>KALMAR LÄN</t>
        </is>
      </c>
      <c r="G675" t="inlineStr">
        <is>
          <t>NYBRO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45714</v>
      </c>
      <c r="E676" s="1" t="n">
        <v>46249</v>
      </c>
      <c r="F676" t="inlineStr">
        <is>
          <t>KALMAR LÄN</t>
        </is>
      </c>
      <c r="G676" t="inlineStr">
        <is>
          <t>NYBRO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49051-2021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44453</v>
      </c>
      <c r="E677" s="1" t="n">
        <v>46249</v>
      </c>
      <c r="F677" t="inlineStr">
        <is>
          <t>KALMAR LÄN</t>
        </is>
      </c>
      <c r="G677" t="inlineStr">
        <is>
          <t>NYBRO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61796-2024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45649</v>
      </c>
      <c r="E678" s="1" t="n">
        <v>46249</v>
      </c>
      <c r="F678" t="inlineStr">
        <is>
          <t>KALMAR LÄN</t>
        </is>
      </c>
      <c r="G678" t="inlineStr">
        <is>
          <t>NYBRO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45649</v>
      </c>
      <c r="E679" s="1" t="n">
        <v>46249</v>
      </c>
      <c r="F679" t="inlineStr">
        <is>
          <t>KALMAR LÄN</t>
        </is>
      </c>
      <c r="G679" t="inlineStr">
        <is>
          <t>NYBRO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61839-2024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45649</v>
      </c>
      <c r="E680" s="1" t="n">
        <v>46249</v>
      </c>
      <c r="F680" t="inlineStr">
        <is>
          <t>KALMAR LÄN</t>
        </is>
      </c>
      <c r="G680" t="inlineStr">
        <is>
          <t>NYBRO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29924-2023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45107</v>
      </c>
      <c r="E681" s="1" t="n">
        <v>46249</v>
      </c>
      <c r="F681" t="inlineStr">
        <is>
          <t>KALMAR LÄN</t>
        </is>
      </c>
      <c r="G681" t="inlineStr">
        <is>
          <t>NYBRO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52367-2021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44465</v>
      </c>
      <c r="E682" s="1" t="n">
        <v>46249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50783-2023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45217</v>
      </c>
      <c r="E683" s="1" t="n">
        <v>46249</v>
      </c>
      <c r="F683" t="inlineStr">
        <is>
          <t>KALMAR LÄN</t>
        </is>
      </c>
      <c r="G683" t="inlineStr">
        <is>
          <t>NYBRO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18427-2025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46249</v>
      </c>
      <c r="F684" t="inlineStr">
        <is>
          <t>KALMAR LÄN</t>
        </is>
      </c>
      <c r="G684" t="inlineStr">
        <is>
          <t>NYBRO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44953</v>
      </c>
      <c r="E685" s="1" t="n">
        <v>46249</v>
      </c>
      <c r="F685" t="inlineStr">
        <is>
          <t>KALMAR LÄN</t>
        </is>
      </c>
      <c r="G685" t="inlineStr">
        <is>
          <t>NYBRO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12407-2023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44999</v>
      </c>
      <c r="E686" s="1" t="n">
        <v>46249</v>
      </c>
      <c r="F686" t="inlineStr">
        <is>
          <t>KALMAR LÄN</t>
        </is>
      </c>
      <c r="G686" t="inlineStr">
        <is>
          <t>NYBRO</t>
        </is>
      </c>
      <c r="I686" t="n">
        <v>16.5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45666</v>
      </c>
      <c r="E687" s="1" t="n">
        <v>46249</v>
      </c>
      <c r="F687" t="inlineStr">
        <is>
          <t>KALMAR LÄN</t>
        </is>
      </c>
      <c r="G687" t="inlineStr">
        <is>
          <t>NYBRO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42711-2023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45181</v>
      </c>
      <c r="E688" s="1" t="n">
        <v>46249</v>
      </c>
      <c r="F688" t="inlineStr">
        <is>
          <t>KALMAR LÄN</t>
        </is>
      </c>
      <c r="G688" t="inlineStr">
        <is>
          <t>NYBRO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37462-2023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46249</v>
      </c>
      <c r="F689" t="inlineStr">
        <is>
          <t>KALMAR LÄN</t>
        </is>
      </c>
      <c r="G689" t="inlineStr">
        <is>
          <t>NYBRO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22435-2023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45070</v>
      </c>
      <c r="E690" s="1" t="n">
        <v>46249</v>
      </c>
      <c r="F690" t="inlineStr">
        <is>
          <t>KALMAR LÄN</t>
        </is>
      </c>
      <c r="G690" t="inlineStr">
        <is>
          <t>NYBRO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7424-2022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44606</v>
      </c>
      <c r="E691" s="1" t="n">
        <v>46249</v>
      </c>
      <c r="F691" t="inlineStr">
        <is>
          <t>KALMAR LÄN</t>
        </is>
      </c>
      <c r="G691" t="inlineStr">
        <is>
          <t>NYBRO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50586-2024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45601</v>
      </c>
      <c r="E692" s="1" t="n">
        <v>46249</v>
      </c>
      <c r="F692" t="inlineStr">
        <is>
          <t>KALMAR LÄN</t>
        </is>
      </c>
      <c r="G692" t="inlineStr">
        <is>
          <t>NYBRO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45449</v>
      </c>
      <c r="E693" s="1" t="n">
        <v>46249</v>
      </c>
      <c r="F693" t="inlineStr">
        <is>
          <t>KALMAR LÄN</t>
        </is>
      </c>
      <c r="G693" t="inlineStr">
        <is>
          <t>NYBRO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38170-2024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45545</v>
      </c>
      <c r="E694" s="1" t="n">
        <v>46249</v>
      </c>
      <c r="F694" t="inlineStr">
        <is>
          <t>KALMAR LÄN</t>
        </is>
      </c>
      <c r="G694" t="inlineStr">
        <is>
          <t>NYBRO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45476</v>
      </c>
      <c r="E695" s="1" t="n">
        <v>46249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45489</v>
      </c>
      <c r="E696" s="1" t="n">
        <v>46249</v>
      </c>
      <c r="F696" t="inlineStr">
        <is>
          <t>KALMAR LÄN</t>
        </is>
      </c>
      <c r="G696" t="inlineStr">
        <is>
          <t>NYBRO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19363-2024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46249</v>
      </c>
      <c r="F697" t="inlineStr">
        <is>
          <t>KALMAR LÄN</t>
        </is>
      </c>
      <c r="G697" t="inlineStr">
        <is>
          <t>NYBRO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44938</v>
      </c>
      <c r="E698" s="1" t="n">
        <v>46249</v>
      </c>
      <c r="F698" t="inlineStr">
        <is>
          <t>KALMAR LÄN</t>
        </is>
      </c>
      <c r="G698" t="inlineStr">
        <is>
          <t>NYBRO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47335-2024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45587</v>
      </c>
      <c r="E699" s="1" t="n">
        <v>46249</v>
      </c>
      <c r="F699" t="inlineStr">
        <is>
          <t>KALMAR LÄN</t>
        </is>
      </c>
      <c r="G699" t="inlineStr">
        <is>
          <t>NYBRO</t>
        </is>
      </c>
      <c r="I699" t="n">
        <v>8.699999999999999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44973</v>
      </c>
      <c r="E700" s="1" t="n">
        <v>46249</v>
      </c>
      <c r="F700" t="inlineStr">
        <is>
          <t>KALMAR LÄN</t>
        </is>
      </c>
      <c r="G700" t="inlineStr">
        <is>
          <t>NYBRO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46249</v>
      </c>
      <c r="F701" t="inlineStr">
        <is>
          <t>KALMAR LÄN</t>
        </is>
      </c>
      <c r="G701" t="inlineStr">
        <is>
          <t>NYBRO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46249</v>
      </c>
      <c r="F702" t="inlineStr">
        <is>
          <t>KALMAR LÄN</t>
        </is>
      </c>
      <c r="G702" t="inlineStr">
        <is>
          <t>NYBRO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45706</v>
      </c>
      <c r="E703" s="1" t="n">
        <v>46249</v>
      </c>
      <c r="F703" t="inlineStr">
        <is>
          <t>KALMAR LÄN</t>
        </is>
      </c>
      <c r="G703" t="inlineStr">
        <is>
          <t>NYBRO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43984-2024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46249</v>
      </c>
      <c r="F704" t="inlineStr">
        <is>
          <t>KALMAR LÄN</t>
        </is>
      </c>
      <c r="G704" t="inlineStr">
        <is>
          <t>NYBRO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53649-2023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46249</v>
      </c>
      <c r="F705" t="inlineStr">
        <is>
          <t>KALMAR LÄN</t>
        </is>
      </c>
      <c r="G705" t="inlineStr">
        <is>
          <t>NYBRO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45370</v>
      </c>
      <c r="E706" s="1" t="n">
        <v>46249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57716-2023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45246</v>
      </c>
      <c r="E707" s="1" t="n">
        <v>46249</v>
      </c>
      <c r="F707" t="inlineStr">
        <is>
          <t>KALMAR LÄN</t>
        </is>
      </c>
      <c r="G707" t="inlineStr">
        <is>
          <t>NYBRO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9005-2024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45357</v>
      </c>
      <c r="E708" s="1" t="n">
        <v>46249</v>
      </c>
      <c r="F708" t="inlineStr">
        <is>
          <t>KALMAR LÄN</t>
        </is>
      </c>
      <c r="G708" t="inlineStr">
        <is>
          <t>NYBRO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15200-2025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45744</v>
      </c>
      <c r="E709" s="1" t="n">
        <v>46249</v>
      </c>
      <c r="F709" t="inlineStr">
        <is>
          <t>KALMAR LÄN</t>
        </is>
      </c>
      <c r="G709" t="inlineStr">
        <is>
          <t>NYBRO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60622-2023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45260</v>
      </c>
      <c r="E710" s="1" t="n">
        <v>46249</v>
      </c>
      <c r="F710" t="inlineStr">
        <is>
          <t>KALMAR LÄN</t>
        </is>
      </c>
      <c r="G710" t="inlineStr">
        <is>
          <t>NYBRO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10631-2024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45367</v>
      </c>
      <c r="E711" s="1" t="n">
        <v>46249</v>
      </c>
      <c r="F711" t="inlineStr">
        <is>
          <t>KALMAR LÄN</t>
        </is>
      </c>
      <c r="G711" t="inlineStr">
        <is>
          <t>NYBRO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2184-2025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45673</v>
      </c>
      <c r="E712" s="1" t="n">
        <v>46249</v>
      </c>
      <c r="F712" t="inlineStr">
        <is>
          <t>KALMAR LÄN</t>
        </is>
      </c>
      <c r="G712" t="inlineStr">
        <is>
          <t>NYBRO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46249</v>
      </c>
      <c r="F713" t="inlineStr">
        <is>
          <t>KALMAR LÄN</t>
        </is>
      </c>
      <c r="G713" t="inlineStr">
        <is>
          <t>NYBRO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56972-2024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45625</v>
      </c>
      <c r="E714" s="1" t="n">
        <v>46249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30076-2024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45489</v>
      </c>
      <c r="E715" s="1" t="n">
        <v>46249</v>
      </c>
      <c r="F715" t="inlineStr">
        <is>
          <t>KALMAR LÄN</t>
        </is>
      </c>
      <c r="G715" t="inlineStr">
        <is>
          <t>NYBRO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54252-2024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45616</v>
      </c>
      <c r="E716" s="1" t="n">
        <v>46249</v>
      </c>
      <c r="F716" t="inlineStr">
        <is>
          <t>KALMAR LÄN</t>
        </is>
      </c>
      <c r="G716" t="inlineStr">
        <is>
          <t>NYBRO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22042-2025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45785</v>
      </c>
      <c r="E717" s="1" t="n">
        <v>46249</v>
      </c>
      <c r="F717" t="inlineStr">
        <is>
          <t>KALMAR LÄN</t>
        </is>
      </c>
      <c r="G717" t="inlineStr">
        <is>
          <t>NYBRO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28149-2023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45096</v>
      </c>
      <c r="E718" s="1" t="n">
        <v>46249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27513-2024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45474</v>
      </c>
      <c r="E719" s="1" t="n">
        <v>46249</v>
      </c>
      <c r="F719" t="inlineStr">
        <is>
          <t>KALMAR LÄN</t>
        </is>
      </c>
      <c r="G719" t="inlineStr">
        <is>
          <t>NYBRO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45169</v>
      </c>
      <c r="E720" s="1" t="n">
        <v>46249</v>
      </c>
      <c r="F720" t="inlineStr">
        <is>
          <t>KALMAR LÄN</t>
        </is>
      </c>
      <c r="G720" t="inlineStr">
        <is>
          <t>NYBRO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22302-2025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45786</v>
      </c>
      <c r="E721" s="1" t="n">
        <v>46249</v>
      </c>
      <c r="F721" t="inlineStr">
        <is>
          <t>KALMAR LÄN</t>
        </is>
      </c>
      <c r="G721" t="inlineStr">
        <is>
          <t>NYBRO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44580</v>
      </c>
      <c r="E722" s="1" t="n">
        <v>46249</v>
      </c>
      <c r="F722" t="inlineStr">
        <is>
          <t>KALMAR LÄN</t>
        </is>
      </c>
      <c r="G722" t="inlineStr">
        <is>
          <t>NYBRO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15510-2024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45401</v>
      </c>
      <c r="E723" s="1" t="n">
        <v>46249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24188-2023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45079</v>
      </c>
      <c r="E724" s="1" t="n">
        <v>46249</v>
      </c>
      <c r="F724" t="inlineStr">
        <is>
          <t>KALMAR LÄN</t>
        </is>
      </c>
      <c r="G724" t="inlineStr">
        <is>
          <t>NYBRO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36374-2024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45534</v>
      </c>
      <c r="E725" s="1" t="n">
        <v>46249</v>
      </c>
      <c r="F725" t="inlineStr">
        <is>
          <t>KALMAR LÄN</t>
        </is>
      </c>
      <c r="G725" t="inlineStr">
        <is>
          <t>NYBRO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1535-2025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45670</v>
      </c>
      <c r="E726" s="1" t="n">
        <v>46249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6.6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23485-2025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46249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23479-2025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45792</v>
      </c>
      <c r="E728" s="1" t="n">
        <v>46249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8.800000000000001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45320</v>
      </c>
      <c r="E729" s="1" t="n">
        <v>46249</v>
      </c>
      <c r="F729" t="inlineStr">
        <is>
          <t>KALMAR LÄN</t>
        </is>
      </c>
      <c r="G729" t="inlineStr">
        <is>
          <t>NYBRO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6857-2025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45701</v>
      </c>
      <c r="E730" s="1" t="n">
        <v>46249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31060-2023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46249</v>
      </c>
      <c r="F731" t="inlineStr">
        <is>
          <t>KALMAR LÄN</t>
        </is>
      </c>
      <c r="G731" t="inlineStr">
        <is>
          <t>NYBRO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46249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25143-2026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46249</v>
      </c>
      <c r="F733" t="inlineStr">
        <is>
          <t>KALMAR LÄN</t>
        </is>
      </c>
      <c r="G733" t="inlineStr">
        <is>
          <t>NYBRO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33472-2023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45131</v>
      </c>
      <c r="E734" s="1" t="n">
        <v>46249</v>
      </c>
      <c r="F734" t="inlineStr">
        <is>
          <t>KALMAR LÄN</t>
        </is>
      </c>
      <c r="G734" t="inlineStr">
        <is>
          <t>NYBRO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18587-2025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45763</v>
      </c>
      <c r="E735" s="1" t="n">
        <v>46249</v>
      </c>
      <c r="F735" t="inlineStr">
        <is>
          <t>KALMAR LÄN</t>
        </is>
      </c>
      <c r="G735" t="inlineStr">
        <is>
          <t>NYBRO</t>
        </is>
      </c>
      <c r="I735" t="n">
        <v>30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45315</v>
      </c>
      <c r="E736" s="1" t="n">
        <v>46249</v>
      </c>
      <c r="F736" t="inlineStr">
        <is>
          <t>KALMAR LÄN</t>
        </is>
      </c>
      <c r="G736" t="inlineStr">
        <is>
          <t>NYBRO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15116-2023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45016</v>
      </c>
      <c r="E737" s="1" t="n">
        <v>46249</v>
      </c>
      <c r="F737" t="inlineStr">
        <is>
          <t>KALMAR LÄN</t>
        </is>
      </c>
      <c r="G737" t="inlineStr">
        <is>
          <t>NYBRO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41974-2024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45561</v>
      </c>
      <c r="E738" s="1" t="n">
        <v>46249</v>
      </c>
      <c r="F738" t="inlineStr">
        <is>
          <t>KALMAR LÄN</t>
        </is>
      </c>
      <c r="G738" t="inlineStr">
        <is>
          <t>NYBRO</t>
        </is>
      </c>
      <c r="H738" t="inlineStr">
        <is>
          <t>Sveaskog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46249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26426-2023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45092</v>
      </c>
      <c r="E740" s="1" t="n">
        <v>46249</v>
      </c>
      <c r="F740" t="inlineStr">
        <is>
          <t>KALMAR LÄN</t>
        </is>
      </c>
      <c r="G740" t="inlineStr">
        <is>
          <t>NYBRO</t>
        </is>
      </c>
      <c r="H740" t="inlineStr">
        <is>
          <t>Kommuner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46249</v>
      </c>
      <c r="F741" t="inlineStr">
        <is>
          <t>KALMAR LÄN</t>
        </is>
      </c>
      <c r="G741" t="inlineStr">
        <is>
          <t>NYBRO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24614-2026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46169</v>
      </c>
      <c r="E742" s="1" t="n">
        <v>46249</v>
      </c>
      <c r="F742" t="inlineStr">
        <is>
          <t>KALMAR LÄN</t>
        </is>
      </c>
      <c r="G742" t="inlineStr">
        <is>
          <t>NYBRO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46282-2023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45197</v>
      </c>
      <c r="E743" s="1" t="n">
        <v>46249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19943-2022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44697</v>
      </c>
      <c r="E744" s="1" t="n">
        <v>46249</v>
      </c>
      <c r="F744" t="inlineStr">
        <is>
          <t>KALMAR LÄN</t>
        </is>
      </c>
      <c r="G744" t="inlineStr">
        <is>
          <t>NYBRO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46249</v>
      </c>
      <c r="F745" t="inlineStr">
        <is>
          <t>KALMAR LÄN</t>
        </is>
      </c>
      <c r="G745" t="inlineStr">
        <is>
          <t>NYBRO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46177</v>
      </c>
      <c r="E746" s="1" t="n">
        <v>46249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17605-2023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45035</v>
      </c>
      <c r="E747" s="1" t="n">
        <v>46249</v>
      </c>
      <c r="F747" t="inlineStr">
        <is>
          <t>KALMAR LÄN</t>
        </is>
      </c>
      <c r="G747" t="inlineStr">
        <is>
          <t>NYBRO</t>
        </is>
      </c>
      <c r="I747" t="n">
        <v>15.1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42740-2022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44832</v>
      </c>
      <c r="E748" s="1" t="n">
        <v>46249</v>
      </c>
      <c r="F748" t="inlineStr">
        <is>
          <t>KALMAR LÄN</t>
        </is>
      </c>
      <c r="G748" t="inlineStr">
        <is>
          <t>NYBRO</t>
        </is>
      </c>
      <c r="H748" t="inlineStr">
        <is>
          <t>Sveaskog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34362-2024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45525</v>
      </c>
      <c r="E749" s="1" t="n">
        <v>46249</v>
      </c>
      <c r="F749" t="inlineStr">
        <is>
          <t>KALMAR LÄN</t>
        </is>
      </c>
      <c r="G749" t="inlineStr">
        <is>
          <t>NYBRO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50905-2023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45218</v>
      </c>
      <c r="E750" s="1" t="n">
        <v>46249</v>
      </c>
      <c r="F750" t="inlineStr">
        <is>
          <t>KALMAR LÄN</t>
        </is>
      </c>
      <c r="G750" t="inlineStr">
        <is>
          <t>NYBRO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45338</v>
      </c>
      <c r="E751" s="1" t="n">
        <v>46249</v>
      </c>
      <c r="F751" t="inlineStr">
        <is>
          <t>KALMAR LÄN</t>
        </is>
      </c>
      <c r="G751" t="inlineStr">
        <is>
          <t>NYBRO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41679-2024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45560</v>
      </c>
      <c r="E752" s="1" t="n">
        <v>46249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13445-2022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44645</v>
      </c>
      <c r="E753" s="1" t="n">
        <v>46249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26303-2026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46249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25717-2026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46178</v>
      </c>
      <c r="E755" s="1" t="n">
        <v>46249</v>
      </c>
      <c r="F755" t="inlineStr">
        <is>
          <t>KALMAR LÄN</t>
        </is>
      </c>
      <c r="G755" t="inlineStr">
        <is>
          <t>NYBRO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25714-2026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46178</v>
      </c>
      <c r="E756" s="1" t="n">
        <v>46249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27320-2025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45812</v>
      </c>
      <c r="E757" s="1" t="n">
        <v>46249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45664</v>
      </c>
      <c r="E758" s="1" t="n">
        <v>46249</v>
      </c>
      <c r="F758" t="inlineStr">
        <is>
          <t>KALMAR LÄN</t>
        </is>
      </c>
      <c r="G758" t="inlineStr">
        <is>
          <t>NYBRO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17157-2022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44677</v>
      </c>
      <c r="E759" s="1" t="n">
        <v>46249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27138-2026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46249</v>
      </c>
      <c r="F760" t="inlineStr">
        <is>
          <t>KALMAR LÄN</t>
        </is>
      </c>
      <c r="G760" t="inlineStr">
        <is>
          <t>NYBRO</t>
        </is>
      </c>
      <c r="I760" t="n">
        <v>15.9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46249</v>
      </c>
      <c r="F761" t="inlineStr">
        <is>
          <t>KALMAR LÄN</t>
        </is>
      </c>
      <c r="G761" t="inlineStr">
        <is>
          <t>NYBRO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46249</v>
      </c>
      <c r="F762" t="inlineStr">
        <is>
          <t>KALMAR LÄN</t>
        </is>
      </c>
      <c r="G762" t="inlineStr">
        <is>
          <t>NYBRO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21613-2023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46249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26565-2026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46183</v>
      </c>
      <c r="E764" s="1" t="n">
        <v>46249</v>
      </c>
      <c r="F764" t="inlineStr">
        <is>
          <t>KALMAR LÄN</t>
        </is>
      </c>
      <c r="G764" t="inlineStr">
        <is>
          <t>NYBRO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45082</v>
      </c>
      <c r="E765" s="1" t="n">
        <v>46249</v>
      </c>
      <c r="F765" t="inlineStr">
        <is>
          <t>KALMAR LÄN</t>
        </is>
      </c>
      <c r="G765" t="inlineStr">
        <is>
          <t>NYBRO</t>
        </is>
      </c>
      <c r="H765" t="inlineStr">
        <is>
          <t>Kommuner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26208-2026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46182</v>
      </c>
      <c r="E766" s="1" t="n">
        <v>46249</v>
      </c>
      <c r="F766" t="inlineStr">
        <is>
          <t>KALMAR LÄN</t>
        </is>
      </c>
      <c r="G766" t="inlineStr">
        <is>
          <t>NYBRO</t>
        </is>
      </c>
      <c r="H766" t="inlineStr">
        <is>
          <t>Kommuner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45074-2023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45191</v>
      </c>
      <c r="E767" s="1" t="n">
        <v>46249</v>
      </c>
      <c r="F767" t="inlineStr">
        <is>
          <t>KALMAR LÄN</t>
        </is>
      </c>
      <c r="G767" t="inlineStr">
        <is>
          <t>NYBRO</t>
        </is>
      </c>
      <c r="H767" t="inlineStr">
        <is>
          <t>Sveaskog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14983-2022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44657</v>
      </c>
      <c r="E768" s="1" t="n">
        <v>46249</v>
      </c>
      <c r="F768" t="inlineStr">
        <is>
          <t>KALMAR LÄN</t>
        </is>
      </c>
      <c r="G768" t="inlineStr">
        <is>
          <t>NYBRO</t>
        </is>
      </c>
      <c r="H768" t="inlineStr">
        <is>
          <t>Kyrkan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45818</v>
      </c>
      <c r="E769" s="1" t="n">
        <v>46249</v>
      </c>
      <c r="F769" t="inlineStr">
        <is>
          <t>KALMAR LÄN</t>
        </is>
      </c>
      <c r="G769" t="inlineStr">
        <is>
          <t>NYBRO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5355-2022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44594</v>
      </c>
      <c r="E770" s="1" t="n">
        <v>46249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19522-2023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45049</v>
      </c>
      <c r="E771" s="1" t="n">
        <v>46249</v>
      </c>
      <c r="F771" t="inlineStr">
        <is>
          <t>KALMAR LÄN</t>
        </is>
      </c>
      <c r="G771" t="inlineStr">
        <is>
          <t>NYBRO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45824</v>
      </c>
      <c r="E772" s="1" t="n">
        <v>46249</v>
      </c>
      <c r="F772" t="inlineStr">
        <is>
          <t>KALMAR LÄN</t>
        </is>
      </c>
      <c r="G772" t="inlineStr">
        <is>
          <t>NYBRO</t>
        </is>
      </c>
      <c r="H772" t="inlineStr">
        <is>
          <t>Sveaskog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10289-2022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44622</v>
      </c>
      <c r="E773" s="1" t="n">
        <v>46249</v>
      </c>
      <c r="F773" t="inlineStr">
        <is>
          <t>KALMAR LÄN</t>
        </is>
      </c>
      <c r="G773" t="inlineStr">
        <is>
          <t>NYBRO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29059-2025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45821</v>
      </c>
      <c r="E774" s="1" t="n">
        <v>46249</v>
      </c>
      <c r="F774" t="inlineStr">
        <is>
          <t>KALMAR LÄN</t>
        </is>
      </c>
      <c r="G774" t="inlineStr">
        <is>
          <t>NYBRO</t>
        </is>
      </c>
      <c r="I774" t="n">
        <v>6.3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29320-2025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45824</v>
      </c>
      <c r="E775" s="1" t="n">
        <v>46249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59207-2024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45637</v>
      </c>
      <c r="E776" s="1" t="n">
        <v>46249</v>
      </c>
      <c r="F776" t="inlineStr">
        <is>
          <t>KALMAR LÄN</t>
        </is>
      </c>
      <c r="G776" t="inlineStr">
        <is>
          <t>NYBRO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29586-2025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45825</v>
      </c>
      <c r="E777" s="1" t="n">
        <v>46249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22877-2023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45072</v>
      </c>
      <c r="E778" s="1" t="n">
        <v>46249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18323-2025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45762</v>
      </c>
      <c r="E779" s="1" t="n">
        <v>46249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31791-2023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45118</v>
      </c>
      <c r="E780" s="1" t="n">
        <v>46249</v>
      </c>
      <c r="F780" t="inlineStr">
        <is>
          <t>KALMAR LÄN</t>
        </is>
      </c>
      <c r="G780" t="inlineStr">
        <is>
          <t>NYBRO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45392</v>
      </c>
      <c r="E781" s="1" t="n">
        <v>46249</v>
      </c>
      <c r="F781" t="inlineStr">
        <is>
          <t>KALMAR LÄN</t>
        </is>
      </c>
      <c r="G781" t="inlineStr">
        <is>
          <t>NYBRO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46024-2023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45196</v>
      </c>
      <c r="E782" s="1" t="n">
        <v>46249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31747-2025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45834</v>
      </c>
      <c r="E783" s="1" t="n">
        <v>46249</v>
      </c>
      <c r="F783" t="inlineStr">
        <is>
          <t>KALMAR LÄN</t>
        </is>
      </c>
      <c r="G783" t="inlineStr">
        <is>
          <t>NYBRO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31707-2025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45834</v>
      </c>
      <c r="E784" s="1" t="n">
        <v>46249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46249</v>
      </c>
      <c r="F785" t="inlineStr">
        <is>
          <t>KALMAR LÄN</t>
        </is>
      </c>
      <c r="G785" t="inlineStr">
        <is>
          <t>NYBRO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31753-2025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45834</v>
      </c>
      <c r="E786" s="1" t="n">
        <v>46249</v>
      </c>
      <c r="F786" t="inlineStr">
        <is>
          <t>KALMAR LÄN</t>
        </is>
      </c>
      <c r="G786" t="inlineStr">
        <is>
          <t>NYBRO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31540-2025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45833</v>
      </c>
      <c r="E787" s="1" t="n">
        <v>46249</v>
      </c>
      <c r="F787" t="inlineStr">
        <is>
          <t>KALMAR LÄN</t>
        </is>
      </c>
      <c r="G787" t="inlineStr">
        <is>
          <t>NYBRO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46249</v>
      </c>
      <c r="F788" t="inlineStr">
        <is>
          <t>KALMAR LÄN</t>
        </is>
      </c>
      <c r="G788" t="inlineStr">
        <is>
          <t>NYBRO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43118-2022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44833</v>
      </c>
      <c r="E789" s="1" t="n">
        <v>46249</v>
      </c>
      <c r="F789" t="inlineStr">
        <is>
          <t>KALMAR LÄN</t>
        </is>
      </c>
      <c r="G789" t="inlineStr">
        <is>
          <t>NYBRO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31763-2025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45834</v>
      </c>
      <c r="E790" s="1" t="n">
        <v>46249</v>
      </c>
      <c r="F790" t="inlineStr">
        <is>
          <t>KALMAR LÄN</t>
        </is>
      </c>
      <c r="G790" t="inlineStr">
        <is>
          <t>NYBRO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18884-2022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44690</v>
      </c>
      <c r="E791" s="1" t="n">
        <v>46249</v>
      </c>
      <c r="F791" t="inlineStr">
        <is>
          <t>KALMAR LÄN</t>
        </is>
      </c>
      <c r="G791" t="inlineStr">
        <is>
          <t>NYBRO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18072-2022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44684</v>
      </c>
      <c r="E792" s="1" t="n">
        <v>46249</v>
      </c>
      <c r="F792" t="inlineStr">
        <is>
          <t>KALMAR LÄN</t>
        </is>
      </c>
      <c r="G792" t="inlineStr">
        <is>
          <t>NYBRO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32344-2025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45837</v>
      </c>
      <c r="E793" s="1" t="n">
        <v>46249</v>
      </c>
      <c r="F793" t="inlineStr">
        <is>
          <t>KALMAR LÄN</t>
        </is>
      </c>
      <c r="G793" t="inlineStr">
        <is>
          <t>NYBRO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32347-2025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45837</v>
      </c>
      <c r="E794" s="1" t="n">
        <v>46249</v>
      </c>
      <c r="F794" t="inlineStr">
        <is>
          <t>KALMAR LÄN</t>
        </is>
      </c>
      <c r="G794" t="inlineStr">
        <is>
          <t>NYBRO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42817-2023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45182</v>
      </c>
      <c r="E795" s="1" t="n">
        <v>46249</v>
      </c>
      <c r="F795" t="inlineStr">
        <is>
          <t>KALMAR LÄN</t>
        </is>
      </c>
      <c r="G795" t="inlineStr">
        <is>
          <t>NYBRO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42277-2023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46249</v>
      </c>
      <c r="F796" t="inlineStr">
        <is>
          <t>KALMAR LÄN</t>
        </is>
      </c>
      <c r="G796" t="inlineStr">
        <is>
          <t>NYBRO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46238</v>
      </c>
      <c r="E797" s="1" t="n">
        <v>46249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26859-2023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45093</v>
      </c>
      <c r="E798" s="1" t="n">
        <v>46249</v>
      </c>
      <c r="F798" t="inlineStr">
        <is>
          <t>KALMAR LÄN</t>
        </is>
      </c>
      <c r="G798" t="inlineStr">
        <is>
          <t>NYBRO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32398-2026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46238</v>
      </c>
      <c r="E799" s="1" t="n">
        <v>46249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45616</v>
      </c>
      <c r="E800" s="1" t="n">
        <v>46249</v>
      </c>
      <c r="F800" t="inlineStr">
        <is>
          <t>KALMAR LÄN</t>
        </is>
      </c>
      <c r="G800" t="inlineStr">
        <is>
          <t>NYBRO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57809-2023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45244</v>
      </c>
      <c r="E801" s="1" t="n">
        <v>46249</v>
      </c>
      <c r="F801" t="inlineStr">
        <is>
          <t>KALMAR LÄN</t>
        </is>
      </c>
      <c r="G801" t="inlineStr">
        <is>
          <t>NYBRO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34350-2025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45846</v>
      </c>
      <c r="E802" s="1" t="n">
        <v>46249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46249</v>
      </c>
      <c r="F803" t="inlineStr">
        <is>
          <t>KALMAR LÄN</t>
        </is>
      </c>
      <c r="G803" t="inlineStr">
        <is>
          <t>NYBRO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14371-2025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45741</v>
      </c>
      <c r="E804" s="1" t="n">
        <v>46249</v>
      </c>
      <c r="F804" t="inlineStr">
        <is>
          <t>KALMAR LÄN</t>
        </is>
      </c>
      <c r="G804" t="inlineStr">
        <is>
          <t>NYBRO</t>
        </is>
      </c>
      <c r="I804" t="n">
        <v>4.4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45846</v>
      </c>
      <c r="E805" s="1" t="n">
        <v>46249</v>
      </c>
      <c r="F805" t="inlineStr">
        <is>
          <t>KALMAR LÄN</t>
        </is>
      </c>
      <c r="G805" t="inlineStr">
        <is>
          <t>NYBRO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17226-2025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45756</v>
      </c>
      <c r="E806" s="1" t="n">
        <v>46249</v>
      </c>
      <c r="F806" t="inlineStr">
        <is>
          <t>KALMAR LÄN</t>
        </is>
      </c>
      <c r="G806" t="inlineStr">
        <is>
          <t>NYBRO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54245-2024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45616</v>
      </c>
      <c r="E807" s="1" t="n">
        <v>46249</v>
      </c>
      <c r="F807" t="inlineStr">
        <is>
          <t>KALMAR LÄN</t>
        </is>
      </c>
      <c r="G807" t="inlineStr">
        <is>
          <t>NYBRO</t>
        </is>
      </c>
      <c r="I807" t="n">
        <v>10.1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28437-2026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46249</v>
      </c>
      <c r="F808" t="inlineStr">
        <is>
          <t>KALMAR LÄN</t>
        </is>
      </c>
      <c r="G808" t="inlineStr">
        <is>
          <t>NYBRO</t>
        </is>
      </c>
      <c r="H808" t="inlineStr">
        <is>
          <t>Sveaskog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28438-2026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46249</v>
      </c>
      <c r="F809" t="inlineStr">
        <is>
          <t>KALMAR LÄN</t>
        </is>
      </c>
      <c r="G809" t="inlineStr">
        <is>
          <t>NYBRO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46249</v>
      </c>
      <c r="F810" t="inlineStr">
        <is>
          <t>KALMAR LÄN</t>
        </is>
      </c>
      <c r="G810" t="inlineStr">
        <is>
          <t>NYBRO</t>
        </is>
      </c>
      <c r="H810" t="inlineStr">
        <is>
          <t>Sveaskog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35147-2025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45852</v>
      </c>
      <c r="E811" s="1" t="n">
        <v>46249</v>
      </c>
      <c r="F811" t="inlineStr">
        <is>
          <t>KALMAR LÄN</t>
        </is>
      </c>
      <c r="G811" t="inlineStr">
        <is>
          <t>NYBRO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35522-2025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45856</v>
      </c>
      <c r="E812" s="1" t="n">
        <v>46249</v>
      </c>
      <c r="F812" t="inlineStr">
        <is>
          <t>KALMAR LÄN</t>
        </is>
      </c>
      <c r="G812" t="inlineStr">
        <is>
          <t>NYBRO</t>
        </is>
      </c>
      <c r="H812" t="inlineStr">
        <is>
          <t>Sveaskog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35521-2025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45856</v>
      </c>
      <c r="E813" s="1" t="n">
        <v>46249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45818</v>
      </c>
      <c r="E814" s="1" t="n">
        <v>46249</v>
      </c>
      <c r="F814" t="inlineStr">
        <is>
          <t>KALMAR LÄN</t>
        </is>
      </c>
      <c r="G814" t="inlineStr">
        <is>
          <t>NYBRO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54255-2024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45616</v>
      </c>
      <c r="E815" s="1" t="n">
        <v>46249</v>
      </c>
      <c r="F815" t="inlineStr">
        <is>
          <t>KALMAR LÄN</t>
        </is>
      </c>
      <c r="G815" t="inlineStr">
        <is>
          <t>NYBRO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32788-2026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46241</v>
      </c>
      <c r="E816" s="1" t="n">
        <v>46249</v>
      </c>
      <c r="F816" t="inlineStr">
        <is>
          <t>KALMAR LÄN</t>
        </is>
      </c>
      <c r="G816" t="inlineStr">
        <is>
          <t>NYBRO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28927-2026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46199</v>
      </c>
      <c r="E817" s="1" t="n">
        <v>46249</v>
      </c>
      <c r="F817" t="inlineStr">
        <is>
          <t>KALMAR LÄN</t>
        </is>
      </c>
      <c r="G817" t="inlineStr">
        <is>
          <t>NYBRO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46249</v>
      </c>
      <c r="F818" t="inlineStr">
        <is>
          <t>KALMAR LÄN</t>
        </is>
      </c>
      <c r="G818" t="inlineStr">
        <is>
          <t>NYBRO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46249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46249</v>
      </c>
      <c r="F820" t="inlineStr">
        <is>
          <t>KALMAR LÄN</t>
        </is>
      </c>
      <c r="G820" t="inlineStr">
        <is>
          <t>NYBRO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46249</v>
      </c>
      <c r="F821" t="inlineStr">
        <is>
          <t>KALMAR LÄN</t>
        </is>
      </c>
      <c r="G821" t="inlineStr">
        <is>
          <t>NYBRO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29922-2026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46249</v>
      </c>
      <c r="F822" t="inlineStr">
        <is>
          <t>KALMAR LÄN</t>
        </is>
      </c>
      <c r="G822" t="inlineStr">
        <is>
          <t>NYBRO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33614-2026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46248</v>
      </c>
      <c r="E823" s="1" t="n">
        <v>46249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46249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46249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46249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46249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46249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46249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46249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46249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46249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46249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46249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46249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46249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46249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46249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46249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46249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46249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46249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46249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46249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46249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46249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46249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46249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46249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46249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46249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46249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46249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46249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46249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46249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46249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46249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46249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2026-08-15T08:29:43Z</dcterms:created>
  <dcterms:modified xmlns:dcterms="http://purl.org/dc/terms/" xmlns:xsi="http://www.w3.org/2001/XMLSchema-instance" xsi:type="dcterms:W3CDTF">2026-08-15T08:29:44Z</dcterms:modified>
</cp:coreProperties>
</file>