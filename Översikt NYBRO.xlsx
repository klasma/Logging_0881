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45509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45509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45509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45509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45509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45509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45509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45509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45509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45509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45509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45509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45509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45509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45509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45509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45509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45509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45509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45509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45509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45509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45509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45509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8742-2023</t>
        </is>
      </c>
      <c r="B26" s="1" t="n">
        <v>44978</v>
      </c>
      <c r="C26" s="1" t="n">
        <v>45509</v>
      </c>
      <c r="D26" t="inlineStr">
        <is>
          <t>KALMAR LÄN</t>
        </is>
      </c>
      <c r="E26" t="inlineStr">
        <is>
          <t>NYBRO</t>
        </is>
      </c>
      <c r="G26" t="n">
        <v>0.9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Rostfläck</t>
        </is>
      </c>
      <c r="S26">
        <f>HYPERLINK("https://klasma.github.io/Logging_0881/artfynd/A 8742-2023 artfynd.xlsx", "A 8742-2023")</f>
        <v/>
      </c>
      <c r="T26">
        <f>HYPERLINK("https://klasma.github.io/Logging_0881/kartor/A 8742-2023 karta.png", "A 8742-2023")</f>
        <v/>
      </c>
      <c r="V26">
        <f>HYPERLINK("https://klasma.github.io/Logging_0881/klagomål/A 8742-2023 FSC-klagomål.docx", "A 8742-2023")</f>
        <v/>
      </c>
      <c r="W26">
        <f>HYPERLINK("https://klasma.github.io/Logging_0881/klagomålsmail/A 8742-2023 FSC-klagomål mail.docx", "A 8742-2023")</f>
        <v/>
      </c>
      <c r="X26">
        <f>HYPERLINK("https://klasma.github.io/Logging_0881/tillsyn/A 8742-2023 tillsynsbegäran.docx", "A 8742-2023")</f>
        <v/>
      </c>
      <c r="Y26">
        <f>HYPERLINK("https://klasma.github.io/Logging_0881/tillsynsmail/A 8742-2023 tillsynsbegäran mail.docx", "A 8742-2023")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45509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27719-2023</t>
        </is>
      </c>
      <c r="B28" s="1" t="n">
        <v>45093</v>
      </c>
      <c r="C28" s="1" t="n">
        <v>45509</v>
      </c>
      <c r="D28" t="inlineStr">
        <is>
          <t>KALMAR LÄN</t>
        </is>
      </c>
      <c r="E28" t="inlineStr">
        <is>
          <t>NYBRO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Raggbock
Mindre träfjäril</t>
        </is>
      </c>
      <c r="S28">
        <f>HYPERLINK("https://klasma.github.io/Logging_0881/artfynd/A 27719-2023 artfynd.xlsx", "A 27719-2023")</f>
        <v/>
      </c>
      <c r="T28">
        <f>HYPERLINK("https://klasma.github.io/Logging_0881/kartor/A 27719-2023 karta.png", "A 27719-2023")</f>
        <v/>
      </c>
      <c r="V28">
        <f>HYPERLINK("https://klasma.github.io/Logging_0881/klagomål/A 27719-2023 FSC-klagomål.docx", "A 27719-2023")</f>
        <v/>
      </c>
      <c r="W28">
        <f>HYPERLINK("https://klasma.github.io/Logging_0881/klagomålsmail/A 27719-2023 FSC-klagomål mail.docx", "A 27719-2023")</f>
        <v/>
      </c>
      <c r="X28">
        <f>HYPERLINK("https://klasma.github.io/Logging_0881/tillsyn/A 27719-2023 tillsynsbegäran.docx", "A 27719-2023")</f>
        <v/>
      </c>
      <c r="Y28">
        <f>HYPERLINK("https://klasma.github.io/Logging_0881/tillsynsmail/A 27719-2023 tillsynsbegäran mail.docx", "A 27719-2023")</f>
        <v/>
      </c>
    </row>
    <row r="29" ht="15" customHeight="1">
      <c r="A29" t="inlineStr">
        <is>
          <t>A 43194-2023</t>
        </is>
      </c>
      <c r="B29" s="1" t="n">
        <v>45183</v>
      </c>
      <c r="C29" s="1" t="n">
        <v>45509</v>
      </c>
      <c r="D29" t="inlineStr">
        <is>
          <t>KALMAR LÄN</t>
        </is>
      </c>
      <c r="E29" t="inlineStr">
        <is>
          <t>NYBRO</t>
        </is>
      </c>
      <c r="G29" t="n">
        <v>6.4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Nattviol</t>
        </is>
      </c>
      <c r="S29">
        <f>HYPERLINK("https://klasma.github.io/Logging_0881/artfynd/A 43194-2023 artfynd.xlsx", "A 43194-2023")</f>
        <v/>
      </c>
      <c r="T29">
        <f>HYPERLINK("https://klasma.github.io/Logging_0881/kartor/A 43194-2023 karta.png", "A 43194-2023")</f>
        <v/>
      </c>
      <c r="V29">
        <f>HYPERLINK("https://klasma.github.io/Logging_0881/klagomål/A 43194-2023 FSC-klagomål.docx", "A 43194-2023")</f>
        <v/>
      </c>
      <c r="W29">
        <f>HYPERLINK("https://klasma.github.io/Logging_0881/klagomålsmail/A 43194-2023 FSC-klagomål mail.docx", "A 43194-2023")</f>
        <v/>
      </c>
      <c r="X29">
        <f>HYPERLINK("https://klasma.github.io/Logging_0881/tillsyn/A 43194-2023 tillsynsbegäran.docx", "A 43194-2023")</f>
        <v/>
      </c>
      <c r="Y29">
        <f>HYPERLINK("https://klasma.github.io/Logging_0881/tillsynsmail/A 43194-2023 tillsynsbegäran mail.docx", "A 43194-2023")</f>
        <v/>
      </c>
    </row>
    <row r="30" ht="15" customHeight="1">
      <c r="A30" t="inlineStr">
        <is>
          <t>A 43712-2023</t>
        </is>
      </c>
      <c r="B30" s="1" t="n">
        <v>45187</v>
      </c>
      <c r="C30" s="1" t="n">
        <v>45509</v>
      </c>
      <c r="D30" t="inlineStr">
        <is>
          <t>KALMAR LÄN</t>
        </is>
      </c>
      <c r="E30" t="inlineStr">
        <is>
          <t>NYBRO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Skogsknipprot</t>
        </is>
      </c>
      <c r="S30">
        <f>HYPERLINK("https://klasma.github.io/Logging_0881/artfynd/A 43712-2023 artfynd.xlsx", "A 43712-2023")</f>
        <v/>
      </c>
      <c r="T30">
        <f>HYPERLINK("https://klasma.github.io/Logging_0881/kartor/A 43712-2023 karta.png", "A 43712-2023")</f>
        <v/>
      </c>
      <c r="V30">
        <f>HYPERLINK("https://klasma.github.io/Logging_0881/klagomål/A 43712-2023 FSC-klagomål.docx", "A 43712-2023")</f>
        <v/>
      </c>
      <c r="W30">
        <f>HYPERLINK("https://klasma.github.io/Logging_0881/klagomålsmail/A 43712-2023 FSC-klagomål mail.docx", "A 43712-2023")</f>
        <v/>
      </c>
      <c r="X30">
        <f>HYPERLINK("https://klasma.github.io/Logging_0881/tillsyn/A 43712-2023 tillsynsbegäran.docx", "A 43712-2023")</f>
        <v/>
      </c>
      <c r="Y30">
        <f>HYPERLINK("https://klasma.github.io/Logging_0881/tillsynsmail/A 43712-2023 tillsynsbegäran mail.docx", "A 43712-2023")</f>
        <v/>
      </c>
    </row>
    <row r="31" ht="15" customHeight="1">
      <c r="A31" t="inlineStr">
        <is>
          <t>A 47904-2023</t>
        </is>
      </c>
      <c r="B31" s="1" t="n">
        <v>45204</v>
      </c>
      <c r="C31" s="1" t="n">
        <v>45509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Gullviva</t>
        </is>
      </c>
      <c r="S31">
        <f>HYPERLINK("https://klasma.github.io/Logging_0881/artfynd/A 47904-2023 artfynd.xlsx", "A 47904-2023")</f>
        <v/>
      </c>
      <c r="T31">
        <f>HYPERLINK("https://klasma.github.io/Logging_0881/kartor/A 47904-2023 karta.png", "A 47904-2023")</f>
        <v/>
      </c>
      <c r="V31">
        <f>HYPERLINK("https://klasma.github.io/Logging_0881/klagomål/A 47904-2023 FSC-klagomål.docx", "A 47904-2023")</f>
        <v/>
      </c>
      <c r="W31">
        <f>HYPERLINK("https://klasma.github.io/Logging_0881/klagomålsmail/A 47904-2023 FSC-klagomål mail.docx", "A 47904-2023")</f>
        <v/>
      </c>
      <c r="X31">
        <f>HYPERLINK("https://klasma.github.io/Logging_0881/tillsyn/A 47904-2023 tillsynsbegäran.docx", "A 47904-2023")</f>
        <v/>
      </c>
      <c r="Y31">
        <f>HYPERLINK("https://klasma.github.io/Logging_0881/tillsynsmail/A 47904-2023 tillsynsbegäran mail.docx", "A 47904-2023")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45509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53579-2023</t>
        </is>
      </c>
      <c r="B33" s="1" t="n">
        <v>45230</v>
      </c>
      <c r="C33" s="1" t="n">
        <v>45509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Grönpyrola</t>
        </is>
      </c>
      <c r="S33">
        <f>HYPERLINK("https://klasma.github.io/Logging_0881/artfynd/A 53579-2023 artfynd.xlsx", "A 53579-2023")</f>
        <v/>
      </c>
      <c r="T33">
        <f>HYPERLINK("https://klasma.github.io/Logging_0881/kartor/A 53579-2023 karta.png", "A 53579-2023")</f>
        <v/>
      </c>
      <c r="V33">
        <f>HYPERLINK("https://klasma.github.io/Logging_0881/klagomål/A 53579-2023 FSC-klagomål.docx", "A 53579-2023")</f>
        <v/>
      </c>
      <c r="W33">
        <f>HYPERLINK("https://klasma.github.io/Logging_0881/klagomålsmail/A 53579-2023 FSC-klagomål mail.docx", "A 53579-2023")</f>
        <v/>
      </c>
      <c r="X33">
        <f>HYPERLINK("https://klasma.github.io/Logging_0881/tillsyn/A 53579-2023 tillsynsbegäran.docx", "A 53579-2023")</f>
        <v/>
      </c>
      <c r="Y33">
        <f>HYPERLINK("https://klasma.github.io/Logging_0881/tillsynsmail/A 53579-2023 tillsynsbegäran mail.docx", "A 53579-2023")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45509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45509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45509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45509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45509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45509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45509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45509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39360-2019</t>
        </is>
      </c>
      <c r="B42" s="1" t="n">
        <v>43690</v>
      </c>
      <c r="C42" s="1" t="n">
        <v>45509</v>
      </c>
      <c r="D42" t="inlineStr">
        <is>
          <t>KALMAR LÄN</t>
        </is>
      </c>
      <c r="E42" t="inlineStr">
        <is>
          <t>NYBRO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39360-2019 artfynd.xlsx", "A 39360-2019")</f>
        <v/>
      </c>
      <c r="T42">
        <f>HYPERLINK("https://klasma.github.io/Logging_0881/kartor/A 39360-2019 karta.png", "A 39360-2019")</f>
        <v/>
      </c>
      <c r="U42">
        <f>HYPERLINK("https://klasma.github.io/Logging_0881/knärot/A 39360-2019 karta knärot.png", "A 39360-2019")</f>
        <v/>
      </c>
      <c r="V42">
        <f>HYPERLINK("https://klasma.github.io/Logging_0881/klagomål/A 39360-2019 FSC-klagomål.docx", "A 39360-2019")</f>
        <v/>
      </c>
      <c r="W42">
        <f>HYPERLINK("https://klasma.github.io/Logging_0881/klagomålsmail/A 39360-2019 FSC-klagomål mail.docx", "A 39360-2019")</f>
        <v/>
      </c>
      <c r="X42">
        <f>HYPERLINK("https://klasma.github.io/Logging_0881/tillsyn/A 39360-2019 tillsynsbegäran.docx", "A 39360-2019")</f>
        <v/>
      </c>
      <c r="Y42">
        <f>HYPERLINK("https://klasma.github.io/Logging_0881/tillsynsmail/A 39360-2019 tillsynsbegäran mail.docx", "A 39360-2019")</f>
        <v/>
      </c>
    </row>
    <row r="43" ht="15" customHeight="1">
      <c r="A43" t="inlineStr">
        <is>
          <t>A 50161-2019</t>
        </is>
      </c>
      <c r="B43" s="1" t="n">
        <v>43734</v>
      </c>
      <c r="C43" s="1" t="n">
        <v>45509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HYPERLINK("https://klasma.github.io/Logging_0881/artfynd/A 50161-2019 artfynd.xlsx", "A 50161-2019")</f>
        <v/>
      </c>
      <c r="T43">
        <f>HYPERLINK("https://klasma.github.io/Logging_0881/kartor/A 50161-2019 karta.png", "A 50161-2019")</f>
        <v/>
      </c>
      <c r="V43">
        <f>HYPERLINK("https://klasma.github.io/Logging_0881/klagomål/A 50161-2019 FSC-klagomål.docx", "A 50161-2019")</f>
        <v/>
      </c>
      <c r="W43">
        <f>HYPERLINK("https://klasma.github.io/Logging_0881/klagomålsmail/A 50161-2019 FSC-klagomål mail.docx", "A 50161-2019")</f>
        <v/>
      </c>
      <c r="X43">
        <f>HYPERLINK("https://klasma.github.io/Logging_0881/tillsyn/A 50161-2019 tillsynsbegäran.docx", "A 50161-2019")</f>
        <v/>
      </c>
      <c r="Y43">
        <f>HYPERLINK("https://klasma.github.io/Logging_0881/tillsynsmail/A 50161-2019 tillsynsbegäran mail.docx", "A 50161-2019")</f>
        <v/>
      </c>
    </row>
    <row r="44" ht="15" customHeight="1">
      <c r="A44" t="inlineStr">
        <is>
          <t>A 51735-2019</t>
        </is>
      </c>
      <c r="B44" s="1" t="n">
        <v>43740</v>
      </c>
      <c r="C44" s="1" t="n">
        <v>45509</v>
      </c>
      <c r="D44" t="inlineStr">
        <is>
          <t>KALMAR LÄN</t>
        </is>
      </c>
      <c r="E44" t="inlineStr">
        <is>
          <t>NYBRO</t>
        </is>
      </c>
      <c r="F44" t="inlineStr">
        <is>
          <t>Kyrkan</t>
        </is>
      </c>
      <c r="G44" t="n">
        <v>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51735-2019 artfynd.xlsx", "A 51735-2019")</f>
        <v/>
      </c>
      <c r="T44">
        <f>HYPERLINK("https://klasma.github.io/Logging_0881/kartor/A 51735-2019 karta.png", "A 51735-2019")</f>
        <v/>
      </c>
      <c r="V44">
        <f>HYPERLINK("https://klasma.github.io/Logging_0881/klagomål/A 51735-2019 FSC-klagomål.docx", "A 51735-2019")</f>
        <v/>
      </c>
      <c r="W44">
        <f>HYPERLINK("https://klasma.github.io/Logging_0881/klagomålsmail/A 51735-2019 FSC-klagomål mail.docx", "A 51735-2019")</f>
        <v/>
      </c>
      <c r="X44">
        <f>HYPERLINK("https://klasma.github.io/Logging_0881/tillsyn/A 51735-2019 tillsynsbegäran.docx", "A 51735-2019")</f>
        <v/>
      </c>
      <c r="Y44">
        <f>HYPERLINK("https://klasma.github.io/Logging_0881/tillsynsmail/A 51735-2019 tillsynsbegäran mail.docx", "A 51735-2019")</f>
        <v/>
      </c>
      <c r="Z44">
        <f>HYPERLINK("https://klasma.github.io/Logging_0881/fåglar/A 51735-2019 prioriterade fågelarter.docx", "A 51735-2019")</f>
        <v/>
      </c>
    </row>
    <row r="45" ht="15" customHeight="1">
      <c r="A45" t="inlineStr">
        <is>
          <t>A 64844-2019</t>
        </is>
      </c>
      <c r="B45" s="1" t="n">
        <v>43801</v>
      </c>
      <c r="C45" s="1" t="n">
        <v>45509</v>
      </c>
      <c r="D45" t="inlineStr">
        <is>
          <t>KALMAR LÄN</t>
        </is>
      </c>
      <c r="E45" t="inlineStr">
        <is>
          <t>NYBRO</t>
        </is>
      </c>
      <c r="G45" t="n">
        <v>11.9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HYPERLINK("https://klasma.github.io/Logging_0881/artfynd/A 64844-2019 artfynd.xlsx", "A 64844-2019")</f>
        <v/>
      </c>
      <c r="T45">
        <f>HYPERLINK("https://klasma.github.io/Logging_0881/kartor/A 64844-2019 karta.png", "A 64844-2019")</f>
        <v/>
      </c>
      <c r="V45">
        <f>HYPERLINK("https://klasma.github.io/Logging_0881/klagomål/A 64844-2019 FSC-klagomål.docx", "A 64844-2019")</f>
        <v/>
      </c>
      <c r="W45">
        <f>HYPERLINK("https://klasma.github.io/Logging_0881/klagomålsmail/A 64844-2019 FSC-klagomål mail.docx", "A 64844-2019")</f>
        <v/>
      </c>
      <c r="X45">
        <f>HYPERLINK("https://klasma.github.io/Logging_0881/tillsyn/A 64844-2019 tillsynsbegäran.docx", "A 64844-2019")</f>
        <v/>
      </c>
      <c r="Y45">
        <f>HYPERLINK("https://klasma.github.io/Logging_0881/tillsynsmail/A 64844-2019 tillsynsbegäran mail.docx", "A 64844-2019")</f>
        <v/>
      </c>
      <c r="Z45">
        <f>HYPERLINK("https://klasma.github.io/Logging_0881/fåglar/A 64844-2019 prioriterade fågelarter.docx", "A 64844-2019")</f>
        <v/>
      </c>
    </row>
    <row r="46" ht="15" customHeight="1">
      <c r="A46" t="inlineStr">
        <is>
          <t>A 67520-2019</t>
        </is>
      </c>
      <c r="B46" s="1" t="n">
        <v>43815</v>
      </c>
      <c r="C46" s="1" t="n">
        <v>45509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Mjukdån</t>
        </is>
      </c>
      <c r="S46">
        <f>HYPERLINK("https://klasma.github.io/Logging_0881/artfynd/A 67520-2019 artfynd.xlsx", "A 67520-2019")</f>
        <v/>
      </c>
      <c r="T46">
        <f>HYPERLINK("https://klasma.github.io/Logging_0881/kartor/A 67520-2019 karta.png", "A 67520-2019")</f>
        <v/>
      </c>
      <c r="V46">
        <f>HYPERLINK("https://klasma.github.io/Logging_0881/klagomål/A 67520-2019 FSC-klagomål.docx", "A 67520-2019")</f>
        <v/>
      </c>
      <c r="W46">
        <f>HYPERLINK("https://klasma.github.io/Logging_0881/klagomålsmail/A 67520-2019 FSC-klagomål mail.docx", "A 67520-2019")</f>
        <v/>
      </c>
      <c r="X46">
        <f>HYPERLINK("https://klasma.github.io/Logging_0881/tillsyn/A 67520-2019 tillsynsbegäran.docx", "A 67520-2019")</f>
        <v/>
      </c>
      <c r="Y46">
        <f>HYPERLINK("https://klasma.github.io/Logging_0881/tillsynsmail/A 67520-2019 tillsynsbegäran mail.docx", "A 67520-2019")</f>
        <v/>
      </c>
    </row>
    <row r="47" ht="15" customHeight="1">
      <c r="A47" t="inlineStr">
        <is>
          <t>A 764-2020</t>
        </is>
      </c>
      <c r="B47" s="1" t="n">
        <v>43817</v>
      </c>
      <c r="C47" s="1" t="n">
        <v>45509</v>
      </c>
      <c r="D47" t="inlineStr">
        <is>
          <t>KALMAR LÄN</t>
        </is>
      </c>
      <c r="E47" t="inlineStr">
        <is>
          <t>NYBRO</t>
        </is>
      </c>
      <c r="G47" t="n">
        <v>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764-2020 artfynd.xlsx", "A 764-2020")</f>
        <v/>
      </c>
      <c r="T47">
        <f>HYPERLINK("https://klasma.github.io/Logging_0881/kartor/A 764-2020 karta.png", "A 764-2020")</f>
        <v/>
      </c>
      <c r="V47">
        <f>HYPERLINK("https://klasma.github.io/Logging_0881/klagomål/A 764-2020 FSC-klagomål.docx", "A 764-2020")</f>
        <v/>
      </c>
      <c r="W47">
        <f>HYPERLINK("https://klasma.github.io/Logging_0881/klagomålsmail/A 764-2020 FSC-klagomål mail.docx", "A 764-2020")</f>
        <v/>
      </c>
      <c r="X47">
        <f>HYPERLINK("https://klasma.github.io/Logging_0881/tillsyn/A 764-2020 tillsynsbegäran.docx", "A 764-2020")</f>
        <v/>
      </c>
      <c r="Y47">
        <f>HYPERLINK("https://klasma.github.io/Logging_0881/tillsynsmail/A 764-2020 tillsynsbegäran mail.docx", "A 764-2020")</f>
        <v/>
      </c>
    </row>
    <row r="48" ht="15" customHeight="1">
      <c r="A48" t="inlineStr">
        <is>
          <t>A 10900-2020</t>
        </is>
      </c>
      <c r="B48" s="1" t="n">
        <v>43885</v>
      </c>
      <c r="C48" s="1" t="n">
        <v>45509</v>
      </c>
      <c r="D48" t="inlineStr">
        <is>
          <t>KALMAR LÄN</t>
        </is>
      </c>
      <c r="E48" t="inlineStr">
        <is>
          <t>NYBRO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10900-2020 artfynd.xlsx", "A 10900-2020")</f>
        <v/>
      </c>
      <c r="T48">
        <f>HYPERLINK("https://klasma.github.io/Logging_0881/kartor/A 10900-2020 karta.png", "A 10900-2020")</f>
        <v/>
      </c>
      <c r="U48">
        <f>HYPERLINK("https://klasma.github.io/Logging_0881/knärot/A 10900-2020 karta knärot.png", "A 10900-2020")</f>
        <v/>
      </c>
      <c r="V48">
        <f>HYPERLINK("https://klasma.github.io/Logging_0881/klagomål/A 10900-2020 FSC-klagomål.docx", "A 10900-2020")</f>
        <v/>
      </c>
      <c r="W48">
        <f>HYPERLINK("https://klasma.github.io/Logging_0881/klagomålsmail/A 10900-2020 FSC-klagomål mail.docx", "A 10900-2020")</f>
        <v/>
      </c>
      <c r="X48">
        <f>HYPERLINK("https://klasma.github.io/Logging_0881/tillsyn/A 10900-2020 tillsynsbegäran.docx", "A 10900-2020")</f>
        <v/>
      </c>
      <c r="Y48">
        <f>HYPERLINK("https://klasma.github.io/Logging_0881/tillsynsmail/A 10900-2020 tillsynsbegäran mail.docx", "A 10900-2020")</f>
        <v/>
      </c>
    </row>
    <row r="49" ht="15" customHeight="1">
      <c r="A49" t="inlineStr">
        <is>
          <t>A 22149-2020</t>
        </is>
      </c>
      <c r="B49" s="1" t="n">
        <v>43961</v>
      </c>
      <c r="C49" s="1" t="n">
        <v>45509</v>
      </c>
      <c r="D49" t="inlineStr">
        <is>
          <t>KALMAR LÄN</t>
        </is>
      </c>
      <c r="E49" t="inlineStr">
        <is>
          <t>NYBRO</t>
        </is>
      </c>
      <c r="G49" t="n">
        <v>11.4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Småjungfrukam</t>
        </is>
      </c>
      <c r="S49">
        <f>HYPERLINK("https://klasma.github.io/Logging_0881/artfynd/A 22149-2020 artfynd.xlsx", "A 22149-2020")</f>
        <v/>
      </c>
      <c r="T49">
        <f>HYPERLINK("https://klasma.github.io/Logging_0881/kartor/A 22149-2020 karta.png", "A 22149-2020")</f>
        <v/>
      </c>
      <c r="V49">
        <f>HYPERLINK("https://klasma.github.io/Logging_0881/klagomål/A 22149-2020 FSC-klagomål.docx", "A 22149-2020")</f>
        <v/>
      </c>
      <c r="W49">
        <f>HYPERLINK("https://klasma.github.io/Logging_0881/klagomålsmail/A 22149-2020 FSC-klagomål mail.docx", "A 22149-2020")</f>
        <v/>
      </c>
      <c r="X49">
        <f>HYPERLINK("https://klasma.github.io/Logging_0881/tillsyn/A 22149-2020 tillsynsbegäran.docx", "A 22149-2020")</f>
        <v/>
      </c>
      <c r="Y49">
        <f>HYPERLINK("https://klasma.github.io/Logging_0881/tillsynsmail/A 22149-2020 tillsynsbegäran mail.docx", "A 22149-2020")</f>
        <v/>
      </c>
    </row>
    <row r="50" ht="15" customHeight="1">
      <c r="A50" t="inlineStr">
        <is>
          <t>A 22629-2020</t>
        </is>
      </c>
      <c r="B50" s="1" t="n">
        <v>43963</v>
      </c>
      <c r="C50" s="1" t="n">
        <v>45509</v>
      </c>
      <c r="D50" t="inlineStr">
        <is>
          <t>KALMAR LÄN</t>
        </is>
      </c>
      <c r="E50" t="inlineStr">
        <is>
          <t>NYBRO</t>
        </is>
      </c>
      <c r="G50" t="n">
        <v>9.4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Skogsknipprot</t>
        </is>
      </c>
      <c r="S50">
        <f>HYPERLINK("https://klasma.github.io/Logging_0881/artfynd/A 22629-2020 artfynd.xlsx", "A 22629-2020")</f>
        <v/>
      </c>
      <c r="T50">
        <f>HYPERLINK("https://klasma.github.io/Logging_0881/kartor/A 22629-2020 karta.png", "A 22629-2020")</f>
        <v/>
      </c>
      <c r="V50">
        <f>HYPERLINK("https://klasma.github.io/Logging_0881/klagomål/A 22629-2020 FSC-klagomål.docx", "A 22629-2020")</f>
        <v/>
      </c>
      <c r="W50">
        <f>HYPERLINK("https://klasma.github.io/Logging_0881/klagomålsmail/A 22629-2020 FSC-klagomål mail.docx", "A 22629-2020")</f>
        <v/>
      </c>
      <c r="X50">
        <f>HYPERLINK("https://klasma.github.io/Logging_0881/tillsyn/A 22629-2020 tillsynsbegäran.docx", "A 22629-2020")</f>
        <v/>
      </c>
      <c r="Y50">
        <f>HYPERLINK("https://klasma.github.io/Logging_0881/tillsynsmail/A 22629-2020 tillsynsbegäran mail.docx", "A 22629-2020")</f>
        <v/>
      </c>
    </row>
    <row r="51" ht="15" customHeight="1">
      <c r="A51" t="inlineStr">
        <is>
          <t>A 25736-2020</t>
        </is>
      </c>
      <c r="B51" s="1" t="n">
        <v>43984</v>
      </c>
      <c r="C51" s="1" t="n">
        <v>45509</v>
      </c>
      <c r="D51" t="inlineStr">
        <is>
          <t>KALMAR LÄN</t>
        </is>
      </c>
      <c r="E51" t="inlineStr">
        <is>
          <t>NYBRO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HYPERLINK("https://klasma.github.io/Logging_0881/artfynd/A 25736-2020 artfynd.xlsx", "A 25736-2020")</f>
        <v/>
      </c>
      <c r="T51">
        <f>HYPERLINK("https://klasma.github.io/Logging_0881/kartor/A 25736-2020 karta.png", "A 25736-2020")</f>
        <v/>
      </c>
      <c r="V51">
        <f>HYPERLINK("https://klasma.github.io/Logging_0881/klagomål/A 25736-2020 FSC-klagomål.docx", "A 25736-2020")</f>
        <v/>
      </c>
      <c r="W51">
        <f>HYPERLINK("https://klasma.github.io/Logging_0881/klagomålsmail/A 25736-2020 FSC-klagomål mail.docx", "A 25736-2020")</f>
        <v/>
      </c>
      <c r="X51">
        <f>HYPERLINK("https://klasma.github.io/Logging_0881/tillsyn/A 25736-2020 tillsynsbegäran.docx", "A 25736-2020")</f>
        <v/>
      </c>
      <c r="Y51">
        <f>HYPERLINK("https://klasma.github.io/Logging_0881/tillsynsmail/A 25736-2020 tillsynsbegäran mail.docx", "A 25736-2020")</f>
        <v/>
      </c>
    </row>
    <row r="52" ht="15" customHeight="1">
      <c r="A52" t="inlineStr">
        <is>
          <t>A 30772-2020</t>
        </is>
      </c>
      <c r="B52" s="1" t="n">
        <v>44009</v>
      </c>
      <c r="C52" s="1" t="n">
        <v>45509</v>
      </c>
      <c r="D52" t="inlineStr">
        <is>
          <t>KALMAR LÄN</t>
        </is>
      </c>
      <c r="E52" t="inlineStr">
        <is>
          <t>NYBRO</t>
        </is>
      </c>
      <c r="G52" t="n">
        <v>21.1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HYPERLINK("https://klasma.github.io/Logging_0881/artfynd/A 30772-2020 artfynd.xlsx", "A 30772-2020")</f>
        <v/>
      </c>
      <c r="T52">
        <f>HYPERLINK("https://klasma.github.io/Logging_0881/kartor/A 30772-2020 karta.png", "A 30772-2020")</f>
        <v/>
      </c>
      <c r="V52">
        <f>HYPERLINK("https://klasma.github.io/Logging_0881/klagomål/A 30772-2020 FSC-klagomål.docx", "A 30772-2020")</f>
        <v/>
      </c>
      <c r="W52">
        <f>HYPERLINK("https://klasma.github.io/Logging_0881/klagomålsmail/A 30772-2020 FSC-klagomål mail.docx", "A 30772-2020")</f>
        <v/>
      </c>
      <c r="X52">
        <f>HYPERLINK("https://klasma.github.io/Logging_0881/tillsyn/A 30772-2020 tillsynsbegäran.docx", "A 30772-2020")</f>
        <v/>
      </c>
      <c r="Y52">
        <f>HYPERLINK("https://klasma.github.io/Logging_0881/tillsynsmail/A 30772-2020 tillsynsbegäran mail.docx", "A 30772-2020")</f>
        <v/>
      </c>
    </row>
    <row r="53" ht="15" customHeight="1">
      <c r="A53" t="inlineStr">
        <is>
          <t>A 37939-2020</t>
        </is>
      </c>
      <c r="B53" s="1" t="n">
        <v>44057</v>
      </c>
      <c r="C53" s="1" t="n">
        <v>45509</v>
      </c>
      <c r="D53" t="inlineStr">
        <is>
          <t>KALMAR LÄN</t>
        </is>
      </c>
      <c r="E53" t="inlineStr">
        <is>
          <t>NYBRO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</t>
        </is>
      </c>
      <c r="S53">
        <f>HYPERLINK("https://klasma.github.io/Logging_0881/artfynd/A 37939-2020 artfynd.xlsx", "A 37939-2020")</f>
        <v/>
      </c>
      <c r="T53">
        <f>HYPERLINK("https://klasma.github.io/Logging_0881/kartor/A 37939-2020 karta.png", "A 37939-2020")</f>
        <v/>
      </c>
      <c r="V53">
        <f>HYPERLINK("https://klasma.github.io/Logging_0881/klagomål/A 37939-2020 FSC-klagomål.docx", "A 37939-2020")</f>
        <v/>
      </c>
      <c r="W53">
        <f>HYPERLINK("https://klasma.github.io/Logging_0881/klagomålsmail/A 37939-2020 FSC-klagomål mail.docx", "A 37939-2020")</f>
        <v/>
      </c>
      <c r="X53">
        <f>HYPERLINK("https://klasma.github.io/Logging_0881/tillsyn/A 37939-2020 tillsynsbegäran.docx", "A 37939-2020")</f>
        <v/>
      </c>
      <c r="Y53">
        <f>HYPERLINK("https://klasma.github.io/Logging_0881/tillsynsmail/A 37939-2020 tillsynsbegäran mail.docx", "A 37939-2020")</f>
        <v/>
      </c>
    </row>
    <row r="54" ht="15" customHeight="1">
      <c r="A54" t="inlineStr">
        <is>
          <t>A 53125-2020</t>
        </is>
      </c>
      <c r="B54" s="1" t="n">
        <v>44120</v>
      </c>
      <c r="C54" s="1" t="n">
        <v>45509</v>
      </c>
      <c r="D54" t="inlineStr">
        <is>
          <t>KALMAR LÄN</t>
        </is>
      </c>
      <c r="E54" t="inlineStr">
        <is>
          <t>NYBRO</t>
        </is>
      </c>
      <c r="G54" t="n">
        <v>9.5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Växeltandsfibbla</t>
        </is>
      </c>
      <c r="S54">
        <f>HYPERLINK("https://klasma.github.io/Logging_0881/artfynd/A 53125-2020 artfynd.xlsx", "A 53125-2020")</f>
        <v/>
      </c>
      <c r="T54">
        <f>HYPERLINK("https://klasma.github.io/Logging_0881/kartor/A 53125-2020 karta.png", "A 53125-2020")</f>
        <v/>
      </c>
      <c r="V54">
        <f>HYPERLINK("https://klasma.github.io/Logging_0881/klagomål/A 53125-2020 FSC-klagomål.docx", "A 53125-2020")</f>
        <v/>
      </c>
      <c r="W54">
        <f>HYPERLINK("https://klasma.github.io/Logging_0881/klagomålsmail/A 53125-2020 FSC-klagomål mail.docx", "A 53125-2020")</f>
        <v/>
      </c>
      <c r="X54">
        <f>HYPERLINK("https://klasma.github.io/Logging_0881/tillsyn/A 53125-2020 tillsynsbegäran.docx", "A 53125-2020")</f>
        <v/>
      </c>
      <c r="Y54">
        <f>HYPERLINK("https://klasma.github.io/Logging_0881/tillsynsmail/A 53125-2020 tillsynsbegäran mail.docx", "A 53125-2020")</f>
        <v/>
      </c>
    </row>
    <row r="55" ht="15" customHeight="1">
      <c r="A55" t="inlineStr">
        <is>
          <t>A 65962-2020</t>
        </is>
      </c>
      <c r="B55" s="1" t="n">
        <v>44175</v>
      </c>
      <c r="C55" s="1" t="n">
        <v>45509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65962-2020 artfynd.xlsx", "A 65962-2020")</f>
        <v/>
      </c>
      <c r="T55">
        <f>HYPERLINK("https://klasma.github.io/Logging_0881/kartor/A 65962-2020 karta.png", "A 65962-2020")</f>
        <v/>
      </c>
      <c r="V55">
        <f>HYPERLINK("https://klasma.github.io/Logging_0881/klagomål/A 65962-2020 FSC-klagomål.docx", "A 65962-2020")</f>
        <v/>
      </c>
      <c r="W55">
        <f>HYPERLINK("https://klasma.github.io/Logging_0881/klagomålsmail/A 65962-2020 FSC-klagomål mail.docx", "A 65962-2020")</f>
        <v/>
      </c>
      <c r="X55">
        <f>HYPERLINK("https://klasma.github.io/Logging_0881/tillsyn/A 65962-2020 tillsynsbegäran.docx", "A 65962-2020")</f>
        <v/>
      </c>
      <c r="Y55">
        <f>HYPERLINK("https://klasma.github.io/Logging_0881/tillsynsmail/A 65962-2020 tillsynsbegäran mail.docx", "A 65962-2020")</f>
        <v/>
      </c>
      <c r="Z55">
        <f>HYPERLINK("https://klasma.github.io/Logging_0881/fåglar/A 65962-2020 prioriterade fågelarter.docx", "A 65962-2020")</f>
        <v/>
      </c>
    </row>
    <row r="56" ht="15" customHeight="1">
      <c r="A56" t="inlineStr">
        <is>
          <t>A 30666-2021</t>
        </is>
      </c>
      <c r="B56" s="1" t="n">
        <v>44365</v>
      </c>
      <c r="C56" s="1" t="n">
        <v>45509</v>
      </c>
      <c r="D56" t="inlineStr">
        <is>
          <t>KALMAR LÄN</t>
        </is>
      </c>
      <c r="E56" t="inlineStr">
        <is>
          <t>NYBRO</t>
        </is>
      </c>
      <c r="G56" t="n">
        <v>1.3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HYPERLINK("https://klasma.github.io/Logging_0881/artfynd/A 30666-2021 artfynd.xlsx", "A 30666-2021")</f>
        <v/>
      </c>
      <c r="T56">
        <f>HYPERLINK("https://klasma.github.io/Logging_0881/kartor/A 30666-2021 karta.png", "A 30666-2021")</f>
        <v/>
      </c>
      <c r="V56">
        <f>HYPERLINK("https://klasma.github.io/Logging_0881/klagomål/A 30666-2021 FSC-klagomål.docx", "A 30666-2021")</f>
        <v/>
      </c>
      <c r="W56">
        <f>HYPERLINK("https://klasma.github.io/Logging_0881/klagomålsmail/A 30666-2021 FSC-klagomål mail.docx", "A 30666-2021")</f>
        <v/>
      </c>
      <c r="X56">
        <f>HYPERLINK("https://klasma.github.io/Logging_0881/tillsyn/A 30666-2021 tillsynsbegäran.docx", "A 30666-2021")</f>
        <v/>
      </c>
      <c r="Y56">
        <f>HYPERLINK("https://klasma.github.io/Logging_0881/tillsynsmail/A 30666-2021 tillsynsbegäran mail.docx", "A 30666-2021")</f>
        <v/>
      </c>
    </row>
    <row r="57" ht="15" customHeight="1">
      <c r="A57" t="inlineStr">
        <is>
          <t>A 48006-2021</t>
        </is>
      </c>
      <c r="B57" s="1" t="n">
        <v>44449</v>
      </c>
      <c r="C57" s="1" t="n">
        <v>45509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HYPERLINK("https://klasma.github.io/Logging_0881/artfynd/A 48006-2021 artfynd.xlsx", "A 48006-2021")</f>
        <v/>
      </c>
      <c r="T57">
        <f>HYPERLINK("https://klasma.github.io/Logging_0881/kartor/A 48006-2021 karta.png", "A 48006-2021")</f>
        <v/>
      </c>
      <c r="V57">
        <f>HYPERLINK("https://klasma.github.io/Logging_0881/klagomål/A 48006-2021 FSC-klagomål.docx", "A 48006-2021")</f>
        <v/>
      </c>
      <c r="W57">
        <f>HYPERLINK("https://klasma.github.io/Logging_0881/klagomålsmail/A 48006-2021 FSC-klagomål mail.docx", "A 48006-2021")</f>
        <v/>
      </c>
      <c r="X57">
        <f>HYPERLINK("https://klasma.github.io/Logging_0881/tillsyn/A 48006-2021 tillsynsbegäran.docx", "A 48006-2021")</f>
        <v/>
      </c>
      <c r="Y57">
        <f>HYPERLINK("https://klasma.github.io/Logging_0881/tillsynsmail/A 48006-2021 tillsynsbegäran mail.docx", "A 48006-2021")</f>
        <v/>
      </c>
    </row>
    <row r="58" ht="15" customHeight="1">
      <c r="A58" t="inlineStr">
        <is>
          <t>A 58765-2021</t>
        </is>
      </c>
      <c r="B58" s="1" t="n">
        <v>44489</v>
      </c>
      <c r="C58" s="1" t="n">
        <v>45509</v>
      </c>
      <c r="D58" t="inlineStr">
        <is>
          <t>KALMAR LÄN</t>
        </is>
      </c>
      <c r="E58" t="inlineStr">
        <is>
          <t>NYBRO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HYPERLINK("https://klasma.github.io/Logging_0881/artfynd/A 58765-2021 artfynd.xlsx", "A 58765-2021")</f>
        <v/>
      </c>
      <c r="T58">
        <f>HYPERLINK("https://klasma.github.io/Logging_0881/kartor/A 58765-2021 karta.png", "A 58765-2021")</f>
        <v/>
      </c>
      <c r="V58">
        <f>HYPERLINK("https://klasma.github.io/Logging_0881/klagomål/A 58765-2021 FSC-klagomål.docx", "A 58765-2021")</f>
        <v/>
      </c>
      <c r="W58">
        <f>HYPERLINK("https://klasma.github.io/Logging_0881/klagomålsmail/A 58765-2021 FSC-klagomål mail.docx", "A 58765-2021")</f>
        <v/>
      </c>
      <c r="X58">
        <f>HYPERLINK("https://klasma.github.io/Logging_0881/tillsyn/A 58765-2021 tillsynsbegäran.docx", "A 58765-2021")</f>
        <v/>
      </c>
      <c r="Y58">
        <f>HYPERLINK("https://klasma.github.io/Logging_0881/tillsynsmail/A 58765-2021 tillsynsbegäran mail.docx", "A 58765-2021")</f>
        <v/>
      </c>
    </row>
    <row r="59" ht="15" customHeight="1">
      <c r="A59" t="inlineStr">
        <is>
          <t>A 84-2022</t>
        </is>
      </c>
      <c r="B59" s="1" t="n">
        <v>44564</v>
      </c>
      <c r="C59" s="1" t="n">
        <v>45509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HYPERLINK("https://klasma.github.io/Logging_0881/artfynd/A 84-2022 artfynd.xlsx", "A 84-2022")</f>
        <v/>
      </c>
      <c r="T59">
        <f>HYPERLINK("https://klasma.github.io/Logging_0881/kartor/A 84-2022 karta.png", "A 84-2022")</f>
        <v/>
      </c>
      <c r="V59">
        <f>HYPERLINK("https://klasma.github.io/Logging_0881/klagomål/A 84-2022 FSC-klagomål.docx", "A 84-2022")</f>
        <v/>
      </c>
      <c r="W59">
        <f>HYPERLINK("https://klasma.github.io/Logging_0881/klagomålsmail/A 84-2022 FSC-klagomål mail.docx", "A 84-2022")</f>
        <v/>
      </c>
      <c r="X59">
        <f>HYPERLINK("https://klasma.github.io/Logging_0881/tillsyn/A 84-2022 tillsynsbegäran.docx", "A 84-2022")</f>
        <v/>
      </c>
      <c r="Y59">
        <f>HYPERLINK("https://klasma.github.io/Logging_0881/tillsynsmail/A 84-2022 tillsynsbegäran mail.docx", "A 84-2022")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45509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11823-2022</t>
        </is>
      </c>
      <c r="B61" s="1" t="n">
        <v>44634</v>
      </c>
      <c r="C61" s="1" t="n">
        <v>45509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HYPERLINK("https://klasma.github.io/Logging_0881/artfynd/A 11823-2022 artfynd.xlsx", "A 11823-2022")</f>
        <v/>
      </c>
      <c r="T61">
        <f>HYPERLINK("https://klasma.github.io/Logging_0881/kartor/A 11823-2022 karta.png", "A 11823-2022")</f>
        <v/>
      </c>
      <c r="V61">
        <f>HYPERLINK("https://klasma.github.io/Logging_0881/klagomål/A 11823-2022 FSC-klagomål.docx", "A 11823-2022")</f>
        <v/>
      </c>
      <c r="W61">
        <f>HYPERLINK("https://klasma.github.io/Logging_0881/klagomålsmail/A 11823-2022 FSC-klagomål mail.docx", "A 11823-2022")</f>
        <v/>
      </c>
      <c r="X61">
        <f>HYPERLINK("https://klasma.github.io/Logging_0881/tillsyn/A 11823-2022 tillsynsbegäran.docx", "A 11823-2022")</f>
        <v/>
      </c>
      <c r="Y61">
        <f>HYPERLINK("https://klasma.github.io/Logging_0881/tillsynsmail/A 11823-2022 tillsynsbegäran mail.docx", "A 11823-2022")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45509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14858-2022</t>
        </is>
      </c>
      <c r="B63" s="1" t="n">
        <v>44656</v>
      </c>
      <c r="C63" s="1" t="n">
        <v>45509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4.9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Apelticka</t>
        </is>
      </c>
      <c r="S63">
        <f>HYPERLINK("https://klasma.github.io/Logging_0881/artfynd/A 14858-2022 artfynd.xlsx", "A 14858-2022")</f>
        <v/>
      </c>
      <c r="T63">
        <f>HYPERLINK("https://klasma.github.io/Logging_0881/kartor/A 14858-2022 karta.png", "A 14858-2022")</f>
        <v/>
      </c>
      <c r="V63">
        <f>HYPERLINK("https://klasma.github.io/Logging_0881/klagomål/A 14858-2022 FSC-klagomål.docx", "A 14858-2022")</f>
        <v/>
      </c>
      <c r="W63">
        <f>HYPERLINK("https://klasma.github.io/Logging_0881/klagomålsmail/A 14858-2022 FSC-klagomål mail.docx", "A 14858-2022")</f>
        <v/>
      </c>
      <c r="X63">
        <f>HYPERLINK("https://klasma.github.io/Logging_0881/tillsyn/A 14858-2022 tillsynsbegäran.docx", "A 14858-2022")</f>
        <v/>
      </c>
      <c r="Y63">
        <f>HYPERLINK("https://klasma.github.io/Logging_0881/tillsynsmail/A 14858-2022 tillsynsbegäran mail.docx", "A 14858-2022")</f>
        <v/>
      </c>
    </row>
    <row r="64" ht="15" customHeight="1">
      <c r="A64" t="inlineStr">
        <is>
          <t>A 19384-2022</t>
        </is>
      </c>
      <c r="B64" s="1" t="n">
        <v>44692</v>
      </c>
      <c r="C64" s="1" t="n">
        <v>45509</v>
      </c>
      <c r="D64" t="inlineStr">
        <is>
          <t>KALMAR LÄN</t>
        </is>
      </c>
      <c r="E64" t="inlineStr">
        <is>
          <t>NYBRO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HYPERLINK("https://klasma.github.io/Logging_0881/artfynd/A 19384-2022 artfynd.xlsx", "A 19384-2022")</f>
        <v/>
      </c>
      <c r="T64">
        <f>HYPERLINK("https://klasma.github.io/Logging_0881/kartor/A 19384-2022 karta.png", "A 19384-2022")</f>
        <v/>
      </c>
      <c r="V64">
        <f>HYPERLINK("https://klasma.github.io/Logging_0881/klagomål/A 19384-2022 FSC-klagomål.docx", "A 19384-2022")</f>
        <v/>
      </c>
      <c r="W64">
        <f>HYPERLINK("https://klasma.github.io/Logging_0881/klagomålsmail/A 19384-2022 FSC-klagomål mail.docx", "A 19384-2022")</f>
        <v/>
      </c>
      <c r="X64">
        <f>HYPERLINK("https://klasma.github.io/Logging_0881/tillsyn/A 19384-2022 tillsynsbegäran.docx", "A 19384-2022")</f>
        <v/>
      </c>
      <c r="Y64">
        <f>HYPERLINK("https://klasma.github.io/Logging_0881/tillsynsmail/A 19384-2022 tillsynsbegäran mail.docx", "A 19384-2022")</f>
        <v/>
      </c>
    </row>
    <row r="65" ht="15" customHeight="1">
      <c r="A65" t="inlineStr">
        <is>
          <t>A 33067-2022</t>
        </is>
      </c>
      <c r="B65" s="1" t="n">
        <v>44785</v>
      </c>
      <c r="C65" s="1" t="n">
        <v>45509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HYPERLINK("https://klasma.github.io/Logging_0881/artfynd/A 33067-2022 artfynd.xlsx", "A 33067-2022")</f>
        <v/>
      </c>
      <c r="T65">
        <f>HYPERLINK("https://klasma.github.io/Logging_0881/kartor/A 33067-2022 karta.png", "A 33067-2022")</f>
        <v/>
      </c>
      <c r="V65">
        <f>HYPERLINK("https://klasma.github.io/Logging_0881/klagomål/A 33067-2022 FSC-klagomål.docx", "A 33067-2022")</f>
        <v/>
      </c>
      <c r="W65">
        <f>HYPERLINK("https://klasma.github.io/Logging_0881/klagomålsmail/A 33067-2022 FSC-klagomål mail.docx", "A 33067-2022")</f>
        <v/>
      </c>
      <c r="X65">
        <f>HYPERLINK("https://klasma.github.io/Logging_0881/tillsyn/A 33067-2022 tillsynsbegäran.docx", "A 33067-2022")</f>
        <v/>
      </c>
      <c r="Y65">
        <f>HYPERLINK("https://klasma.github.io/Logging_0881/tillsynsmail/A 33067-2022 tillsynsbegäran mail.docx", "A 33067-2022")</f>
        <v/>
      </c>
    </row>
    <row r="66" ht="15" customHeight="1">
      <c r="A66" t="inlineStr">
        <is>
          <t>A 52750-2022</t>
        </is>
      </c>
      <c r="B66" s="1" t="n">
        <v>44874</v>
      </c>
      <c r="C66" s="1" t="n">
        <v>45509</v>
      </c>
      <c r="D66" t="inlineStr">
        <is>
          <t>KALMAR LÄN</t>
        </is>
      </c>
      <c r="E66" t="inlineStr">
        <is>
          <t>NYBRO</t>
        </is>
      </c>
      <c r="G66" t="n">
        <v>15.6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Ljungögontröst</t>
        </is>
      </c>
      <c r="S66">
        <f>HYPERLINK("https://klasma.github.io/Logging_0881/artfynd/A 52750-2022 artfynd.xlsx", "A 52750-2022")</f>
        <v/>
      </c>
      <c r="T66">
        <f>HYPERLINK("https://klasma.github.io/Logging_0881/kartor/A 52750-2022 karta.png", "A 52750-2022")</f>
        <v/>
      </c>
      <c r="V66">
        <f>HYPERLINK("https://klasma.github.io/Logging_0881/klagomål/A 52750-2022 FSC-klagomål.docx", "A 52750-2022")</f>
        <v/>
      </c>
      <c r="W66">
        <f>HYPERLINK("https://klasma.github.io/Logging_0881/klagomålsmail/A 52750-2022 FSC-klagomål mail.docx", "A 52750-2022")</f>
        <v/>
      </c>
      <c r="X66">
        <f>HYPERLINK("https://klasma.github.io/Logging_0881/tillsyn/A 52750-2022 tillsynsbegäran.docx", "A 52750-2022")</f>
        <v/>
      </c>
      <c r="Y66">
        <f>HYPERLINK("https://klasma.github.io/Logging_0881/tillsynsmail/A 52750-2022 tillsynsbegäran mail.docx", "A 52750-2022")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45509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45509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45509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45509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45509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45509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45509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45509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45509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45509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45509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45509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45509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45509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45509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45509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45509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45509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45509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45509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45509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45509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45509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45509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45509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45509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45509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45509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45509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45509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45509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45509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45509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45509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45509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45509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45509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45509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45509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45509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45509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45509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45509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45509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45509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45509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45509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45509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45509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45509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45509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45509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45509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45509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45509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45509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45509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45509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45509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45509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45509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45509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45509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45509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45509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45509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45509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45509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45509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45509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45509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45509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45509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45509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45509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45509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45509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45509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45509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45509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45509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45509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45509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45509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45509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45509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45509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45509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45509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45509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45509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45509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45509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45509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45509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45509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45509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45509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45509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45509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45509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45509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45509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45509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45509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45509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45509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45509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45509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45509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45509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45509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45509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45509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45509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45509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45509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45509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45509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45509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45509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45509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45509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45509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45509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45509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45509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45509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45509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45509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45509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45509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45509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45509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45509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45509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45509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45509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45509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45509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45509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45509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45509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45509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45509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45509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45509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45509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45509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45509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45509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45509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45509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45509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45509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45509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45509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45509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45509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45509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45509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45509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45509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45509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45509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45509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45509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45509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45509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45509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45509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45509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45509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45509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45509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45509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45509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45509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45509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45509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45509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45509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45509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45509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45509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45509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45509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45509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45509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45509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45509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45509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45509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45509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45509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45509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45509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45509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45509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45509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45509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45509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45509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45509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45509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45509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45509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45509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45509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45509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45509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45509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45509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45509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45509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45509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45509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45509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45509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45509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45509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45509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45509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45509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45509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45509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45509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45509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45509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45509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45509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45509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45509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45509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45509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45509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45509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45509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45509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45509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45509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45509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45509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45509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45509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45509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45509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45509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45509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45509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45509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45509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45509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45509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45509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45509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45509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45509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45509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45509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45509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45509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45509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45509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45509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45509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45509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45509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45509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45509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45509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45509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45509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45509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45509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45509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45509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45509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45509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45509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45509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45509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45509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45509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45509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45509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45509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45509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45509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45509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45509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45509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45509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45509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45509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45509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45509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45509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45509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45509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45509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45509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45509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45509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45509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45509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45509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45509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45509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45509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45509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45509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45509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45509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45509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45509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45509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45509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45509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45509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45509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45509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45509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45509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45509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45509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45509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45509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45509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45509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45509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45509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45509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45509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45509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45509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45509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45509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45509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45509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45509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45509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45509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45509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45509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45509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45509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45509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45509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45509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45509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45509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45509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45509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45509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45509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45509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45509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45509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45509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45509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45509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45509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45509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45509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45509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45509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45509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45509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45509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45509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45509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45509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45509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45509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45509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45509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45509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45509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45509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45509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45509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45509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45509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45509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45509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45509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45509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45509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45509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45509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45509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45509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45509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45509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45509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45509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45509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45509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45509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45509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45509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45509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45509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45509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45509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45509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45509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45509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45509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45509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45509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45509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45509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45509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45509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45509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45509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45509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45509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45509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45509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45509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45509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45509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45509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45509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45509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45509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45509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45509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45509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45509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45509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45509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45509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45509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45509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45509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45509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45509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45509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45509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45509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45509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45509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45509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45509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45509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45509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45509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45509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45509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45509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45509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45509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45509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45509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45509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45509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45509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45509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45509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45509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45509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45509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45509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45509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45509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45509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45509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45509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45509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45509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45509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45509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45509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45509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45509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45509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45509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45509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45509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45509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45509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45509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45509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45509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45509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45509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45509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45509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45509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45509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45509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45509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45509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45509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45509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45509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45509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45509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45509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45509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45509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45509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45509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45509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45509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45509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45509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45509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45509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45509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45509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45509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45509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45509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45509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45509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45509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45509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45509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45509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45509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45509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45509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45509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45509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45509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45509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45509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45509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45509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45509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45509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45509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45509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45509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45509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45509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45509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45509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45509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45509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45509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45509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45509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45509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45509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45509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45509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45509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45509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45509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45509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45509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45509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45509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45509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45509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45509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45509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45509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45509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45509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45509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45509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45509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45509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45509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45509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45509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45509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45509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45509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45509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45509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45509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45509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45509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45509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45509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45509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45509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45509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45509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45509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45509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45509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45509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45509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45509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45509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45509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45509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45509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45509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45509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45509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45509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45509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45509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45509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45509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45509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45509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45509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45509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45509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45509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45509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45509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45509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45509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45509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45509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45509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45509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45509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45509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45509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45509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45509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45509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45509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45509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45509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45509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45509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45509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45509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45509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45509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45509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45509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45509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45509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45509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45509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45509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45509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45509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45509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45509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45509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45509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45509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45509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45509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45509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45509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45509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45509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45509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45509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45509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45509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45509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45509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45509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45509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45509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45509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45509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45509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45509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45509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45509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45509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45509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45509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45509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45509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45509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45509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45509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45509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45509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45509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45509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45509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45509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45509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45509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45509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45509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45509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45509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45509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45509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45509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45509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45509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45509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45509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45509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45509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45509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45509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45509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45509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45509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45509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45509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45509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45509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45509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45509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45509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45509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45509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45509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45509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45509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45509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45509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45509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45509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45509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45509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45509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45509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45509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45509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45509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45509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45509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45509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45509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45509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45509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45509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45509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45509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45509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45509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45509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45509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45509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45509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45509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45509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45509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45509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45509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45509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45509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45509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45509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45509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45509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45509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45509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45509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45509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45509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45509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45509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45509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45509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45509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45509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45509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45509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45509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45509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45509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45509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45509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45509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45509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45509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45509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45509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45509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45509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45509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45509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45509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45509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45509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45509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45509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45509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45509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45509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45509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45509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45509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45509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45509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45509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45509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45509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45509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45509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45509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45509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45509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45509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45509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45509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45509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45509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45509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45509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45509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45509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45509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45509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45509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45509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45509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45509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45509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45509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45509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45509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45509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45509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45509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45509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45509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45509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45509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45509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45509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45509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45509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45509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45509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45509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45509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45509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45509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45509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45509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45509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45509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45509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45509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45509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45509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45509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45509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45509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45509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45509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45509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45509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45509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45509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45509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45509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45509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45509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45509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45509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45509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45509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45509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45509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45509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45509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45509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45509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45509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45509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45509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45509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45509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45509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45509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45509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45509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45509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45509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45509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45509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45509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45509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45509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45509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45509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45509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45509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45509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45509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45509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45509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45509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45509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45509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45509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45509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45509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45509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45509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45509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45509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45509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45509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45509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45509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45509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45509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45509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45509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45509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45509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45509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45509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45509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45509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45509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45509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45509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45509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45509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45509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45509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45509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45509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45509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45509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45509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45509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45509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45509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45509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45509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45509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45509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45509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45509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45509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45509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45509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45509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45509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45509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45509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45509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45509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45509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45509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45509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45509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45509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45509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45509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45509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45509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45509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45509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45509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45509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45509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45509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45509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45509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45509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45509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45509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45509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45509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45509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45509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45509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45509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45509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45509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45509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45509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45509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45509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45509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45509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45509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45509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45509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45509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45509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45509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45509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45509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45509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45509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45509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45509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45509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45509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45509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45509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45509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45509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45509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45509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45509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45509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45509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45509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45509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45509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45509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45509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45509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45509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45509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45509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45509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45509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45509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45509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45509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45509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45509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45509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45509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45509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45509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45509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45509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45509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45509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45509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45509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45509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45509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45509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45509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45509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45509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45509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45509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45509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45509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45509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45509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45509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45509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45509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45509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45509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45509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45509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45509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45509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45509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45509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45509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45509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45509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45509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45509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45509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45509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45509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45509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45509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45509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45509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45509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45509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45509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45509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45509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45509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45509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45509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45509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45509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45509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45509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45509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45509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45509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45509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45509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45509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45509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45509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45509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45509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45509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45509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45509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45509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45509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45509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45509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45509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45509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45509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45509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45509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45509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45509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45509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45509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45509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45509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45509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45509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45509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45509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45509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45509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45509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45509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45509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45509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45509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45509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45509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45509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45509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45509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45509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45509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45509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45509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45509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45509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45509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45509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45509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45509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45509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45509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45509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45509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45509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45509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45509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45509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45509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45509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45509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45509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45509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45509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45509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45509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45509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45509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45509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45509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45509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45509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45509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45509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45509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45509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45509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45509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45509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45509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45509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45509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45509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45509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45509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45509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45509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45509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45509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45509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45509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45509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45509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45509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45509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45509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45509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45509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45509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45509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45509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45509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45509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45509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45509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45509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45509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45509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45509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45509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45509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45509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45509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45509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45509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45509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45509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45509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45509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45509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45509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45509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45509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45509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45509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45509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45509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45509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45509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45509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45509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45509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45509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45509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45509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45509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45509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45509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45509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45509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45509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45509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45509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45509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45509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45509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45509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45509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45509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45509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45509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45509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45509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45509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45509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45509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45509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45509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45509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45509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45509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45509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45509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45509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45509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45509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45509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45509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45509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45509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45509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45509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45509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45509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45509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45509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45509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45509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45509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45509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45509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45509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45509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45509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45509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45509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45509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45509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45509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45509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45509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45509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45509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45509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45509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45509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45509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45509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45509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45509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45509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45509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45509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45509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45509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45509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45509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45509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45509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45509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45509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45509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45509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45509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45509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45509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45509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45509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45509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45509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45509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45509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45509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45509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45509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45509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45509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45509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45509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45509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45509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45509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45509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45509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45509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45509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45509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45509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45509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45509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45509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45509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45509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45509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45509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45509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45509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45509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45509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45509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45509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45509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45509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45509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45509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45509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45509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45509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45509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45509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45509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45509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45509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45509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45509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45509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45509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45509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45509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45509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45509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45509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45509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45509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45509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45509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45509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45509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45509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45509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45509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45509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45509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45509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45509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45509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45509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45509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45509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45509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45509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45509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45509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45509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45509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45509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45509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45509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45509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45509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45509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45509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45509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45509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45509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45509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45509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45509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45509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45509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45509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45509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45509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45509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45509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45509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45509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45509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45509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45509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45509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45509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45509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45509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45509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45509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45509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45509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45509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45509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45509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45509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45509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45509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45509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45509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45509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45509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45509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45509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45509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45509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45509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45509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45509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45509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45509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45509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45509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45509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45509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45509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45509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45509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45509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45509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45509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45509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45509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45509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45509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45509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45509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45509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45509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45509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45509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45509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45509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45509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45509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45509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45509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45509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45509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45509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45509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45509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45509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45509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45509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45509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45509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45509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45509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45509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45509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45509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45509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45509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45509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45509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45509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45509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45509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45509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45509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45509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45509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45509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45509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45509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45509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45509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45509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45509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45509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45509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45509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45509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45509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45509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45509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45509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45509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45509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45509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45509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45509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45509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28683-2024</t>
        </is>
      </c>
      <c r="B1566" s="1" t="n">
        <v>45478</v>
      </c>
      <c r="C1566" s="1" t="n">
        <v>45509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28728-2024</t>
        </is>
      </c>
      <c r="B1567" s="1" t="n">
        <v>45478</v>
      </c>
      <c r="C1567" s="1" t="n">
        <v>45509</v>
      </c>
      <c r="D1567" t="inlineStr">
        <is>
          <t>KALMAR LÄN</t>
        </is>
      </c>
      <c r="E1567" t="inlineStr">
        <is>
          <t>NYBRO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28676-2024</t>
        </is>
      </c>
      <c r="B1568" s="1" t="n">
        <v>45478</v>
      </c>
      <c r="C1568" s="1" t="n">
        <v>45509</v>
      </c>
      <c r="D1568" t="inlineStr">
        <is>
          <t>KALMAR LÄN</t>
        </is>
      </c>
      <c r="E1568" t="inlineStr">
        <is>
          <t>NYBRO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45509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45509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29543-2024</t>
        </is>
      </c>
      <c r="B1571" s="1" t="n">
        <v>45484</v>
      </c>
      <c r="C1571" s="1" t="n">
        <v>45509</v>
      </c>
      <c r="D1571" t="inlineStr">
        <is>
          <t>KALMAR LÄN</t>
        </is>
      </c>
      <c r="E1571" t="inlineStr">
        <is>
          <t>NYBRO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45509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45509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30172-2024</t>
        </is>
      </c>
      <c r="B1574" s="1" t="n">
        <v>45489</v>
      </c>
      <c r="C1574" s="1" t="n">
        <v>45509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30076-2024</t>
        </is>
      </c>
      <c r="B1575" s="1" t="n">
        <v>45489</v>
      </c>
      <c r="C1575" s="1" t="n">
        <v>45509</v>
      </c>
      <c r="D1575" t="inlineStr">
        <is>
          <t>KALMAR LÄN</t>
        </is>
      </c>
      <c r="E1575" t="inlineStr">
        <is>
          <t>NYBRO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45509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45509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45509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45509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45509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45509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31381-2024</t>
        </is>
      </c>
      <c r="B1582" s="1" t="n">
        <v>45505</v>
      </c>
      <c r="C1582" s="1" t="n">
        <v>45509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2024-08-05T10:40:47Z</dcterms:created>
  <dcterms:modified xmlns:dcterms="http://purl.org/dc/terms/" xmlns:xsi="http://www.w3.org/2001/XMLSchema-instance" xsi:type="dcterms:W3CDTF">2024-08-05T10:40:49Z</dcterms:modified>
</cp:coreProperties>
</file>