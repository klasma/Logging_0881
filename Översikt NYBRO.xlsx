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45762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45762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45762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45762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45762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45762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45762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45762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45762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45762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45762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45762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45762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45762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45762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45762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45762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45762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45762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45762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45762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45762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45762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45762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45762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45762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45762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45762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45762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45762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45762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45762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45762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45762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45762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45762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45762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45762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45762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45762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45762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45762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45762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45762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45762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45762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45762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45762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45762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45762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45762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45762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45762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45762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45762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45762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45762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45762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45762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45762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45762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45762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45762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45762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45762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45762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45762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45762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45762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45762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45762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45762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45762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45762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45762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45762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45762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45762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84-2022</t>
        </is>
      </c>
      <c r="B80" s="1" t="n">
        <v>44564</v>
      </c>
      <c r="C80" s="1" t="n">
        <v>45762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84-2022 artfynd.xlsx", "A 84-2022")</f>
        <v/>
      </c>
      <c r="T80">
        <f>HYPERLINK("https://klasma.github.io/Logging_0881/kartor/A 84-2022 karta.png", "A 84-2022")</f>
        <v/>
      </c>
      <c r="V80">
        <f>HYPERLINK("https://klasma.github.io/Logging_0881/klagomål/A 84-2022 FSC-klagomål.docx", "A 84-2022")</f>
        <v/>
      </c>
      <c r="W80">
        <f>HYPERLINK("https://klasma.github.io/Logging_0881/klagomålsmail/A 84-2022 FSC-klagomål mail.docx", "A 84-2022")</f>
        <v/>
      </c>
      <c r="X80">
        <f>HYPERLINK("https://klasma.github.io/Logging_0881/tillsyn/A 84-2022 tillsynsbegäran.docx", "A 84-2022")</f>
        <v/>
      </c>
      <c r="Y80">
        <f>HYPERLINK("https://klasma.github.io/Logging_0881/tillsynsmail/A 84-2022 tillsynsbegäran mail.docx", "A 84-2022")</f>
        <v/>
      </c>
    </row>
    <row r="81" ht="15" customHeight="1">
      <c r="A81" t="inlineStr">
        <is>
          <t>A 6849-2022</t>
        </is>
      </c>
      <c r="B81" s="1" t="n">
        <v>44602</v>
      </c>
      <c r="C81" s="1" t="n">
        <v>45762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HYPERLINK("https://klasma.github.io/Logging_0881/artfynd/A 6849-2022 artfynd.xlsx", "A 6849-2022")</f>
        <v/>
      </c>
      <c r="T81">
        <f>HYPERLINK("https://klasma.github.io/Logging_0881/kartor/A 6849-2022 karta.png", "A 6849-2022")</f>
        <v/>
      </c>
      <c r="V81">
        <f>HYPERLINK("https://klasma.github.io/Logging_0881/klagomål/A 6849-2022 FSC-klagomål.docx", "A 6849-2022")</f>
        <v/>
      </c>
      <c r="W81">
        <f>HYPERLINK("https://klasma.github.io/Logging_0881/klagomålsmail/A 6849-2022 FSC-klagomål mail.docx", "A 6849-2022")</f>
        <v/>
      </c>
      <c r="X81">
        <f>HYPERLINK("https://klasma.github.io/Logging_0881/tillsyn/A 6849-2022 tillsynsbegäran.docx", "A 6849-2022")</f>
        <v/>
      </c>
      <c r="Y81">
        <f>HYPERLINK("https://klasma.github.io/Logging_0881/tillsynsmail/A 6849-2022 tillsynsbegäran mail.docx", "A 6849-2022")</f>
        <v/>
      </c>
    </row>
    <row r="82" ht="15" customHeight="1">
      <c r="A82" t="inlineStr">
        <is>
          <t>A 11823-2022</t>
        </is>
      </c>
      <c r="B82" s="1" t="n">
        <v>44634</v>
      </c>
      <c r="C82" s="1" t="n">
        <v>45762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HYPERLINK("https://klasma.github.io/Logging_0881/artfynd/A 11823-2022 artfynd.xlsx", "A 11823-2022")</f>
        <v/>
      </c>
      <c r="T82">
        <f>HYPERLINK("https://klasma.github.io/Logging_0881/kartor/A 11823-2022 karta.png", "A 11823-2022")</f>
        <v/>
      </c>
      <c r="V82">
        <f>HYPERLINK("https://klasma.github.io/Logging_0881/klagomål/A 11823-2022 FSC-klagomål.docx", "A 11823-2022")</f>
        <v/>
      </c>
      <c r="W82">
        <f>HYPERLINK("https://klasma.github.io/Logging_0881/klagomålsmail/A 11823-2022 FSC-klagomål mail.docx", "A 11823-2022")</f>
        <v/>
      </c>
      <c r="X82">
        <f>HYPERLINK("https://klasma.github.io/Logging_0881/tillsyn/A 11823-2022 tillsynsbegäran.docx", "A 11823-2022")</f>
        <v/>
      </c>
      <c r="Y82">
        <f>HYPERLINK("https://klasma.github.io/Logging_0881/tillsynsmail/A 11823-2022 tillsynsbegäran mail.docx", "A 11823-2022")</f>
        <v/>
      </c>
    </row>
    <row r="83" ht="15" customHeight="1">
      <c r="A83" t="inlineStr">
        <is>
          <t>A 13690-2022</t>
        </is>
      </c>
      <c r="B83" s="1" t="n">
        <v>44648</v>
      </c>
      <c r="C83" s="1" t="n">
        <v>45762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8.300000000000001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13690-2022 artfynd.xlsx", "A 13690-2022")</f>
        <v/>
      </c>
      <c r="T83">
        <f>HYPERLINK("https://klasma.github.io/Logging_0881/kartor/A 13690-2022 karta.png", "A 13690-2022")</f>
        <v/>
      </c>
      <c r="U83">
        <f>HYPERLINK("https://klasma.github.io/Logging_0881/knärot/A 13690-2022 karta knärot.png", "A 13690-2022")</f>
        <v/>
      </c>
      <c r="V83">
        <f>HYPERLINK("https://klasma.github.io/Logging_0881/klagomål/A 13690-2022 FSC-klagomål.docx", "A 13690-2022")</f>
        <v/>
      </c>
      <c r="W83">
        <f>HYPERLINK("https://klasma.github.io/Logging_0881/klagomålsmail/A 13690-2022 FSC-klagomål mail.docx", "A 13690-2022")</f>
        <v/>
      </c>
      <c r="X83">
        <f>HYPERLINK("https://klasma.github.io/Logging_0881/tillsyn/A 13690-2022 tillsynsbegäran.docx", "A 13690-2022")</f>
        <v/>
      </c>
      <c r="Y83">
        <f>HYPERLINK("https://klasma.github.io/Logging_0881/tillsynsmail/A 13690-2022 tillsynsbegäran mail.docx", "A 13690-2022")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45762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19384-2022</t>
        </is>
      </c>
      <c r="B85" s="1" t="n">
        <v>44692</v>
      </c>
      <c r="C85" s="1" t="n">
        <v>45762</v>
      </c>
      <c r="D85" t="inlineStr">
        <is>
          <t>KALMAR LÄN</t>
        </is>
      </c>
      <c r="E85" t="inlineStr">
        <is>
          <t>NYBRO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HYPERLINK("https://klasma.github.io/Logging_0881/artfynd/A 19384-2022 artfynd.xlsx", "A 19384-2022")</f>
        <v/>
      </c>
      <c r="T85">
        <f>HYPERLINK("https://klasma.github.io/Logging_0881/kartor/A 19384-2022 karta.png", "A 19384-2022")</f>
        <v/>
      </c>
      <c r="V85">
        <f>HYPERLINK("https://klasma.github.io/Logging_0881/klagomål/A 19384-2022 FSC-klagomål.docx", "A 19384-2022")</f>
        <v/>
      </c>
      <c r="W85">
        <f>HYPERLINK("https://klasma.github.io/Logging_0881/klagomålsmail/A 19384-2022 FSC-klagomål mail.docx", "A 19384-2022")</f>
        <v/>
      </c>
      <c r="X85">
        <f>HYPERLINK("https://klasma.github.io/Logging_0881/tillsyn/A 19384-2022 tillsynsbegäran.docx", "A 19384-2022")</f>
        <v/>
      </c>
      <c r="Y85">
        <f>HYPERLINK("https://klasma.github.io/Logging_0881/tillsynsmail/A 19384-2022 tillsynsbegäran mail.docx", "A 19384-2022")</f>
        <v/>
      </c>
    </row>
    <row r="86" ht="15" customHeight="1">
      <c r="A86" t="inlineStr">
        <is>
          <t>A 52750-2022</t>
        </is>
      </c>
      <c r="B86" s="1" t="n">
        <v>44874</v>
      </c>
      <c r="C86" s="1" t="n">
        <v>45762</v>
      </c>
      <c r="D86" t="inlineStr">
        <is>
          <t>KALMAR LÄN</t>
        </is>
      </c>
      <c r="E86" t="inlineStr">
        <is>
          <t>NYBRO</t>
        </is>
      </c>
      <c r="G86" t="n">
        <v>15.6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Ljungögontröst</t>
        </is>
      </c>
      <c r="S86">
        <f>HYPERLINK("https://klasma.github.io/Logging_0881/artfynd/A 52750-2022 artfynd.xlsx", "A 52750-2022")</f>
        <v/>
      </c>
      <c r="T86">
        <f>HYPERLINK("https://klasma.github.io/Logging_0881/kartor/A 52750-2022 karta.png", "A 52750-2022")</f>
        <v/>
      </c>
      <c r="V86">
        <f>HYPERLINK("https://klasma.github.io/Logging_0881/klagomål/A 52750-2022 FSC-klagomål.docx", "A 52750-2022")</f>
        <v/>
      </c>
      <c r="W86">
        <f>HYPERLINK("https://klasma.github.io/Logging_0881/klagomålsmail/A 52750-2022 FSC-klagomål mail.docx", "A 52750-2022")</f>
        <v/>
      </c>
      <c r="X86">
        <f>HYPERLINK("https://klasma.github.io/Logging_0881/tillsyn/A 52750-2022 tillsynsbegäran.docx", "A 52750-2022")</f>
        <v/>
      </c>
      <c r="Y86">
        <f>HYPERLINK("https://klasma.github.io/Logging_0881/tillsynsmail/A 52750-2022 tillsynsbegäran mail.docx", "A 52750-2022")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45762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61790-2022</t>
        </is>
      </c>
      <c r="B88" s="1" t="n">
        <v>44917</v>
      </c>
      <c r="C88" s="1" t="n">
        <v>45762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61790-2022 artfynd.xlsx", "A 61790-2022")</f>
        <v/>
      </c>
      <c r="T88">
        <f>HYPERLINK("https://klasma.github.io/Logging_0881/kartor/A 61790-2022 karta.png", "A 61790-2022")</f>
        <v/>
      </c>
      <c r="V88">
        <f>HYPERLINK("https://klasma.github.io/Logging_0881/klagomål/A 61790-2022 FSC-klagomål.docx", "A 61790-2022")</f>
        <v/>
      </c>
      <c r="W88">
        <f>HYPERLINK("https://klasma.github.io/Logging_0881/klagomålsmail/A 61790-2022 FSC-klagomål mail.docx", "A 61790-2022")</f>
        <v/>
      </c>
      <c r="X88">
        <f>HYPERLINK("https://klasma.github.io/Logging_0881/tillsyn/A 61790-2022 tillsynsbegäran.docx", "A 61790-2022")</f>
        <v/>
      </c>
      <c r="Y88">
        <f>HYPERLINK("https://klasma.github.io/Logging_0881/tillsynsmail/A 61790-2022 tillsynsbegäran mail.docx", "A 61790-2022")</f>
        <v/>
      </c>
    </row>
    <row r="89" ht="15" customHeight="1">
      <c r="A89" t="inlineStr">
        <is>
          <t>A 61771-2022</t>
        </is>
      </c>
      <c r="B89" s="1" t="n">
        <v>44917</v>
      </c>
      <c r="C89" s="1" t="n">
        <v>45762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10.4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61771-2022 artfynd.xlsx", "A 61771-2022")</f>
        <v/>
      </c>
      <c r="T89">
        <f>HYPERLINK("https://klasma.github.io/Logging_0881/kartor/A 61771-2022 karta.png", "A 61771-2022")</f>
        <v/>
      </c>
      <c r="V89">
        <f>HYPERLINK("https://klasma.github.io/Logging_0881/klagomål/A 61771-2022 FSC-klagomål.docx", "A 61771-2022")</f>
        <v/>
      </c>
      <c r="W89">
        <f>HYPERLINK("https://klasma.github.io/Logging_0881/klagomålsmail/A 61771-2022 FSC-klagomål mail.docx", "A 61771-2022")</f>
        <v/>
      </c>
      <c r="X89">
        <f>HYPERLINK("https://klasma.github.io/Logging_0881/tillsyn/A 61771-2022 tillsynsbegäran.docx", "A 61771-2022")</f>
        <v/>
      </c>
      <c r="Y89">
        <f>HYPERLINK("https://klasma.github.io/Logging_0881/tillsynsmail/A 61771-2022 tillsynsbegäran mail.docx", "A 61771-2022")</f>
        <v/>
      </c>
      <c r="Z89">
        <f>HYPERLINK("https://klasma.github.io/Logging_0881/fåglar/A 61771-2022 prioriterade fågelarter.docx", "A 61771-2022")</f>
        <v/>
      </c>
    </row>
    <row r="90" ht="15" customHeight="1">
      <c r="A90" t="inlineStr">
        <is>
          <t>A 6676-2023</t>
        </is>
      </c>
      <c r="B90" s="1" t="n">
        <v>44966</v>
      </c>
      <c r="C90" s="1" t="n">
        <v>45762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HYPERLINK("https://klasma.github.io/Logging_0881/artfynd/A 6676-2023 artfynd.xlsx", "A 6676-2023")</f>
        <v/>
      </c>
      <c r="T90">
        <f>HYPERLINK("https://klasma.github.io/Logging_0881/kartor/A 6676-2023 karta.png", "A 6676-2023")</f>
        <v/>
      </c>
      <c r="V90">
        <f>HYPERLINK("https://klasma.github.io/Logging_0881/klagomål/A 6676-2023 FSC-klagomål.docx", "A 6676-2023")</f>
        <v/>
      </c>
      <c r="W90">
        <f>HYPERLINK("https://klasma.github.io/Logging_0881/klagomålsmail/A 6676-2023 FSC-klagomål mail.docx", "A 6676-2023")</f>
        <v/>
      </c>
      <c r="X90">
        <f>HYPERLINK("https://klasma.github.io/Logging_0881/tillsyn/A 6676-2023 tillsynsbegäran.docx", "A 6676-2023")</f>
        <v/>
      </c>
      <c r="Y90">
        <f>HYPERLINK("https://klasma.github.io/Logging_0881/tillsynsmail/A 6676-2023 tillsynsbegäran mail.docx", "A 6676-2023")</f>
        <v/>
      </c>
    </row>
    <row r="91" ht="15" customHeight="1">
      <c r="A91" t="inlineStr">
        <is>
          <t>A 15279-2023</t>
        </is>
      </c>
      <c r="B91" s="1" t="n">
        <v>45019</v>
      </c>
      <c r="C91" s="1" t="n">
        <v>45762</v>
      </c>
      <c r="D91" t="inlineStr">
        <is>
          <t>KALMAR LÄN</t>
        </is>
      </c>
      <c r="E91" t="inlineStr">
        <is>
          <t>NYBRO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15279-2023 artfynd.xlsx", "A 15279-2023")</f>
        <v/>
      </c>
      <c r="T91">
        <f>HYPERLINK("https://klasma.github.io/Logging_0881/kartor/A 15279-2023 karta.png", "A 15279-2023")</f>
        <v/>
      </c>
      <c r="V91">
        <f>HYPERLINK("https://klasma.github.io/Logging_0881/klagomål/A 15279-2023 FSC-klagomål.docx", "A 15279-2023")</f>
        <v/>
      </c>
      <c r="W91">
        <f>HYPERLINK("https://klasma.github.io/Logging_0881/klagomålsmail/A 15279-2023 FSC-klagomål mail.docx", "A 15279-2023")</f>
        <v/>
      </c>
      <c r="X91">
        <f>HYPERLINK("https://klasma.github.io/Logging_0881/tillsyn/A 15279-2023 tillsynsbegäran.docx", "A 15279-2023")</f>
        <v/>
      </c>
      <c r="Y91">
        <f>HYPERLINK("https://klasma.github.io/Logging_0881/tillsynsmail/A 15279-2023 tillsynsbegäran mail.docx", "A 15279-2023")</f>
        <v/>
      </c>
      <c r="Z91">
        <f>HYPERLINK("https://klasma.github.io/Logging_0881/fåglar/A 15279-2023 prioriterade fågelarter.docx", "A 15279-2023")</f>
        <v/>
      </c>
    </row>
    <row r="92" ht="15" customHeight="1">
      <c r="A92" t="inlineStr">
        <is>
          <t>A 15277-2023</t>
        </is>
      </c>
      <c r="B92" s="1" t="n">
        <v>45019</v>
      </c>
      <c r="C92" s="1" t="n">
        <v>45762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15277-2023 artfynd.xlsx", "A 15277-2023")</f>
        <v/>
      </c>
      <c r="T92">
        <f>HYPERLINK("https://klasma.github.io/Logging_0881/kartor/A 15277-2023 karta.png", "A 15277-2023")</f>
        <v/>
      </c>
      <c r="V92">
        <f>HYPERLINK("https://klasma.github.io/Logging_0881/klagomål/A 15277-2023 FSC-klagomål.docx", "A 15277-2023")</f>
        <v/>
      </c>
      <c r="W92">
        <f>HYPERLINK("https://klasma.github.io/Logging_0881/klagomålsmail/A 15277-2023 FSC-klagomål mail.docx", "A 15277-2023")</f>
        <v/>
      </c>
      <c r="X92">
        <f>HYPERLINK("https://klasma.github.io/Logging_0881/tillsyn/A 15277-2023 tillsynsbegäran.docx", "A 15277-2023")</f>
        <v/>
      </c>
      <c r="Y92">
        <f>HYPERLINK("https://klasma.github.io/Logging_0881/tillsynsmail/A 15277-2023 tillsynsbegäran mail.docx", "A 15277-2023")</f>
        <v/>
      </c>
      <c r="Z92">
        <f>HYPERLINK("https://klasma.github.io/Logging_0881/fåglar/A 15277-2023 prioriterade fågelarter.docx", "A 15277-2023")</f>
        <v/>
      </c>
    </row>
    <row r="93" ht="15" customHeight="1">
      <c r="A93" t="inlineStr">
        <is>
          <t>A 15349-2023</t>
        </is>
      </c>
      <c r="B93" s="1" t="n">
        <v>45019</v>
      </c>
      <c r="C93" s="1" t="n">
        <v>45762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15349-2023 artfynd.xlsx", "A 15349-2023")</f>
        <v/>
      </c>
      <c r="T93">
        <f>HYPERLINK("https://klasma.github.io/Logging_0881/kartor/A 15349-2023 karta.png", "A 15349-2023")</f>
        <v/>
      </c>
      <c r="V93">
        <f>HYPERLINK("https://klasma.github.io/Logging_0881/klagomål/A 15349-2023 FSC-klagomål.docx", "A 15349-2023")</f>
        <v/>
      </c>
      <c r="W93">
        <f>HYPERLINK("https://klasma.github.io/Logging_0881/klagomålsmail/A 15349-2023 FSC-klagomål mail.docx", "A 15349-2023")</f>
        <v/>
      </c>
      <c r="X93">
        <f>HYPERLINK("https://klasma.github.io/Logging_0881/tillsyn/A 15349-2023 tillsynsbegäran.docx", "A 15349-2023")</f>
        <v/>
      </c>
      <c r="Y93">
        <f>HYPERLINK("https://klasma.github.io/Logging_0881/tillsynsmail/A 15349-2023 tillsynsbegäran mail.docx", "A 15349-2023")</f>
        <v/>
      </c>
      <c r="Z93">
        <f>HYPERLINK("https://klasma.github.io/Logging_0881/fåglar/A 15349-2023 prioriterade fågelarter.docx", "A 15349-2023")</f>
        <v/>
      </c>
    </row>
    <row r="94" ht="15" customHeight="1">
      <c r="A94" t="inlineStr">
        <is>
          <t>A 15353-2023</t>
        </is>
      </c>
      <c r="B94" s="1" t="n">
        <v>45019</v>
      </c>
      <c r="C94" s="1" t="n">
        <v>45762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15353-2023 artfynd.xlsx", "A 15353-2023")</f>
        <v/>
      </c>
      <c r="T94">
        <f>HYPERLINK("https://klasma.github.io/Logging_0881/kartor/A 15353-2023 karta.png", "A 15353-2023")</f>
        <v/>
      </c>
      <c r="V94">
        <f>HYPERLINK("https://klasma.github.io/Logging_0881/klagomål/A 15353-2023 FSC-klagomål.docx", "A 15353-2023")</f>
        <v/>
      </c>
      <c r="W94">
        <f>HYPERLINK("https://klasma.github.io/Logging_0881/klagomålsmail/A 15353-2023 FSC-klagomål mail.docx", "A 15353-2023")</f>
        <v/>
      </c>
      <c r="X94">
        <f>HYPERLINK("https://klasma.github.io/Logging_0881/tillsyn/A 15353-2023 tillsynsbegäran.docx", "A 15353-2023")</f>
        <v/>
      </c>
      <c r="Y94">
        <f>HYPERLINK("https://klasma.github.io/Logging_0881/tillsynsmail/A 15353-2023 tillsynsbegäran mail.docx", "A 15353-2023")</f>
        <v/>
      </c>
      <c r="Z94">
        <f>HYPERLINK("https://klasma.github.io/Logging_0881/fåglar/A 15353-2023 prioriterade fågelarter.docx", "A 15353-2023")</f>
        <v/>
      </c>
    </row>
    <row r="95" ht="15" customHeight="1">
      <c r="A95" t="inlineStr">
        <is>
          <t>A 18404-2023</t>
        </is>
      </c>
      <c r="B95" s="1" t="n">
        <v>45042</v>
      </c>
      <c r="C95" s="1" t="n">
        <v>45762</v>
      </c>
      <c r="D95" t="inlineStr">
        <is>
          <t>KALMAR LÄN</t>
        </is>
      </c>
      <c r="E95" t="inlineStr">
        <is>
          <t>NYBRO</t>
        </is>
      </c>
      <c r="G95" t="n">
        <v>5.3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HYPERLINK("https://klasma.github.io/Logging_0881/artfynd/A 18404-2023 artfynd.xlsx", "A 18404-2023")</f>
        <v/>
      </c>
      <c r="T95">
        <f>HYPERLINK("https://klasma.github.io/Logging_0881/kartor/A 18404-2023 karta.png", "A 18404-2023")</f>
        <v/>
      </c>
      <c r="V95">
        <f>HYPERLINK("https://klasma.github.io/Logging_0881/klagomål/A 18404-2023 FSC-klagomål.docx", "A 18404-2023")</f>
        <v/>
      </c>
      <c r="W95">
        <f>HYPERLINK("https://klasma.github.io/Logging_0881/klagomålsmail/A 18404-2023 FSC-klagomål mail.docx", "A 18404-2023")</f>
        <v/>
      </c>
      <c r="X95">
        <f>HYPERLINK("https://klasma.github.io/Logging_0881/tillsyn/A 18404-2023 tillsynsbegäran.docx", "A 18404-2023")</f>
        <v/>
      </c>
      <c r="Y95">
        <f>HYPERLINK("https://klasma.github.io/Logging_0881/tillsynsmail/A 18404-2023 tillsynsbegäran mail.docx", "A 18404-2023")</f>
        <v/>
      </c>
      <c r="Z95">
        <f>HYPERLINK("https://klasma.github.io/Logging_0881/fåglar/A 18404-2023 prioriterade fågelarter.docx", "A 18404-2023")</f>
        <v/>
      </c>
    </row>
    <row r="96" ht="15" customHeight="1">
      <c r="A96" t="inlineStr">
        <is>
          <t>A 27346-2023</t>
        </is>
      </c>
      <c r="B96" s="1" t="n">
        <v>45096</v>
      </c>
      <c r="C96" s="1" t="n">
        <v>45762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HYPERLINK("https://klasma.github.io/Logging_0881/artfynd/A 27346-2023 artfynd.xlsx", "A 27346-2023")</f>
        <v/>
      </c>
      <c r="T96">
        <f>HYPERLINK("https://klasma.github.io/Logging_0881/kartor/A 27346-2023 karta.png", "A 27346-2023")</f>
        <v/>
      </c>
      <c r="V96">
        <f>HYPERLINK("https://klasma.github.io/Logging_0881/klagomål/A 27346-2023 FSC-klagomål.docx", "A 27346-2023")</f>
        <v/>
      </c>
      <c r="W96">
        <f>HYPERLINK("https://klasma.github.io/Logging_0881/klagomålsmail/A 27346-2023 FSC-klagomål mail.docx", "A 27346-2023")</f>
        <v/>
      </c>
      <c r="X96">
        <f>HYPERLINK("https://klasma.github.io/Logging_0881/tillsyn/A 27346-2023 tillsynsbegäran.docx", "A 27346-2023")</f>
        <v/>
      </c>
      <c r="Y96">
        <f>HYPERLINK("https://klasma.github.io/Logging_0881/tillsynsmail/A 27346-2023 tillsynsbegäran mail.docx", "A 27346-2023")</f>
        <v/>
      </c>
    </row>
    <row r="97" ht="15" customHeight="1">
      <c r="A97" t="inlineStr">
        <is>
          <t>A 28678-2023</t>
        </is>
      </c>
      <c r="B97" s="1" t="n">
        <v>45103</v>
      </c>
      <c r="C97" s="1" t="n">
        <v>45762</v>
      </c>
      <c r="D97" t="inlineStr">
        <is>
          <t>KALMAR LÄN</t>
        </is>
      </c>
      <c r="E97" t="inlineStr">
        <is>
          <t>NYBRO</t>
        </is>
      </c>
      <c r="G97" t="n">
        <v>10.3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Åttafläckig praktbagge</t>
        </is>
      </c>
      <c r="S97">
        <f>HYPERLINK("https://klasma.github.io/Logging_0881/artfynd/A 28678-2023 artfynd.xlsx", "A 28678-2023")</f>
        <v/>
      </c>
      <c r="T97">
        <f>HYPERLINK("https://klasma.github.io/Logging_0881/kartor/A 28678-2023 karta.png", "A 28678-2023")</f>
        <v/>
      </c>
      <c r="V97">
        <f>HYPERLINK("https://klasma.github.io/Logging_0881/klagomål/A 28678-2023 FSC-klagomål.docx", "A 28678-2023")</f>
        <v/>
      </c>
      <c r="W97">
        <f>HYPERLINK("https://klasma.github.io/Logging_0881/klagomålsmail/A 28678-2023 FSC-klagomål mail.docx", "A 28678-2023")</f>
        <v/>
      </c>
      <c r="X97">
        <f>HYPERLINK("https://klasma.github.io/Logging_0881/tillsyn/A 28678-2023 tillsynsbegäran.docx", "A 28678-2023")</f>
        <v/>
      </c>
      <c r="Y97">
        <f>HYPERLINK("https://klasma.github.io/Logging_0881/tillsynsmail/A 28678-2023 tillsynsbegäran mail.docx", "A 28678-2023")</f>
        <v/>
      </c>
    </row>
    <row r="98" ht="15" customHeight="1">
      <c r="A98" t="inlineStr">
        <is>
          <t>A 28647-2023</t>
        </is>
      </c>
      <c r="B98" s="1" t="n">
        <v>45103</v>
      </c>
      <c r="C98" s="1" t="n">
        <v>45762</v>
      </c>
      <c r="D98" t="inlineStr">
        <is>
          <t>KALMAR LÄN</t>
        </is>
      </c>
      <c r="E98" t="inlineStr">
        <is>
          <t>NYBRO</t>
        </is>
      </c>
      <c r="G98" t="n">
        <v>5.6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Gulfläckig praktbagge</t>
        </is>
      </c>
      <c r="S98">
        <f>HYPERLINK("https://klasma.github.io/Logging_0881/artfynd/A 28647-2023 artfynd.xlsx", "A 28647-2023")</f>
        <v/>
      </c>
      <c r="T98">
        <f>HYPERLINK("https://klasma.github.io/Logging_0881/kartor/A 28647-2023 karta.png", "A 28647-2023")</f>
        <v/>
      </c>
      <c r="V98">
        <f>HYPERLINK("https://klasma.github.io/Logging_0881/klagomål/A 28647-2023 FSC-klagomål.docx", "A 28647-2023")</f>
        <v/>
      </c>
      <c r="W98">
        <f>HYPERLINK("https://klasma.github.io/Logging_0881/klagomålsmail/A 28647-2023 FSC-klagomål mail.docx", "A 28647-2023")</f>
        <v/>
      </c>
      <c r="X98">
        <f>HYPERLINK("https://klasma.github.io/Logging_0881/tillsyn/A 28647-2023 tillsynsbegäran.docx", "A 28647-2023")</f>
        <v/>
      </c>
      <c r="Y98">
        <f>HYPERLINK("https://klasma.github.io/Logging_0881/tillsynsmail/A 28647-2023 tillsynsbegäran mail.docx", "A 28647-2023")</f>
        <v/>
      </c>
    </row>
    <row r="99" ht="15" customHeight="1">
      <c r="A99" t="inlineStr">
        <is>
          <t>A 30121-2023</t>
        </is>
      </c>
      <c r="B99" s="1" t="n">
        <v>45110</v>
      </c>
      <c r="C99" s="1" t="n">
        <v>45762</v>
      </c>
      <c r="D99" t="inlineStr">
        <is>
          <t>KALMAR LÄN</t>
        </is>
      </c>
      <c r="E99" t="inlineStr">
        <is>
          <t>NYBRO</t>
        </is>
      </c>
      <c r="F99" t="inlineStr">
        <is>
          <t>Kommuner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flatbagge</t>
        </is>
      </c>
      <c r="S99">
        <f>HYPERLINK("https://klasma.github.io/Logging_0881/artfynd/A 30121-2023 artfynd.xlsx", "A 30121-2023")</f>
        <v/>
      </c>
      <c r="T99">
        <f>HYPERLINK("https://klasma.github.io/Logging_0881/kartor/A 30121-2023 karta.png", "A 30121-2023")</f>
        <v/>
      </c>
      <c r="V99">
        <f>HYPERLINK("https://klasma.github.io/Logging_0881/klagomål/A 30121-2023 FSC-klagomål.docx", "A 30121-2023")</f>
        <v/>
      </c>
      <c r="W99">
        <f>HYPERLINK("https://klasma.github.io/Logging_0881/klagomålsmail/A 30121-2023 FSC-klagomål mail.docx", "A 30121-2023")</f>
        <v/>
      </c>
      <c r="X99">
        <f>HYPERLINK("https://klasma.github.io/Logging_0881/tillsyn/A 30121-2023 tillsynsbegäran.docx", "A 30121-2023")</f>
        <v/>
      </c>
      <c r="Y99">
        <f>HYPERLINK("https://klasma.github.io/Logging_0881/tillsynsmail/A 30121-2023 tillsynsbegäran mail.docx", "A 30121-2023")</f>
        <v/>
      </c>
    </row>
    <row r="100" ht="15" customHeight="1">
      <c r="A100" t="inlineStr">
        <is>
          <t>A 30532-2023</t>
        </is>
      </c>
      <c r="B100" s="1" t="n">
        <v>45111</v>
      </c>
      <c r="C100" s="1" t="n">
        <v>45762</v>
      </c>
      <c r="D100" t="inlineStr">
        <is>
          <t>KALMAR LÄN</t>
        </is>
      </c>
      <c r="E100" t="inlineStr">
        <is>
          <t>NYBRO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Raggbock</t>
        </is>
      </c>
      <c r="S100">
        <f>HYPERLINK("https://klasma.github.io/Logging_0881/artfynd/A 30532-2023 artfynd.xlsx", "A 30532-2023")</f>
        <v/>
      </c>
      <c r="T100">
        <f>HYPERLINK("https://klasma.github.io/Logging_0881/kartor/A 30532-2023 karta.png", "A 30532-2023")</f>
        <v/>
      </c>
      <c r="V100">
        <f>HYPERLINK("https://klasma.github.io/Logging_0881/klagomål/A 30532-2023 FSC-klagomål.docx", "A 30532-2023")</f>
        <v/>
      </c>
      <c r="W100">
        <f>HYPERLINK("https://klasma.github.io/Logging_0881/klagomålsmail/A 30532-2023 FSC-klagomål mail.docx", "A 30532-2023")</f>
        <v/>
      </c>
      <c r="X100">
        <f>HYPERLINK("https://klasma.github.io/Logging_0881/tillsyn/A 30532-2023 tillsynsbegäran.docx", "A 30532-2023")</f>
        <v/>
      </c>
      <c r="Y100">
        <f>HYPERLINK("https://klasma.github.io/Logging_0881/tillsynsmail/A 30532-2023 tillsynsbegäran mail.docx", "A 30532-2023")</f>
        <v/>
      </c>
    </row>
    <row r="101" ht="15" customHeight="1">
      <c r="A101" t="inlineStr">
        <is>
          <t>A 33422-2023</t>
        </is>
      </c>
      <c r="B101" s="1" t="n">
        <v>45128</v>
      </c>
      <c r="C101" s="1" t="n">
        <v>45762</v>
      </c>
      <c r="D101" t="inlineStr">
        <is>
          <t>KALMAR LÄN</t>
        </is>
      </c>
      <c r="E101" t="inlineStr">
        <is>
          <t>NYBRO</t>
        </is>
      </c>
      <c r="G101" t="n">
        <v>7.2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HYPERLINK("https://klasma.github.io/Logging_0881/artfynd/A 33422-2023 artfynd.xlsx", "A 33422-2023")</f>
        <v/>
      </c>
      <c r="T101">
        <f>HYPERLINK("https://klasma.github.io/Logging_0881/kartor/A 33422-2023 karta.png", "A 33422-2023")</f>
        <v/>
      </c>
      <c r="V101">
        <f>HYPERLINK("https://klasma.github.io/Logging_0881/klagomål/A 33422-2023 FSC-klagomål.docx", "A 33422-2023")</f>
        <v/>
      </c>
      <c r="W101">
        <f>HYPERLINK("https://klasma.github.io/Logging_0881/klagomålsmail/A 33422-2023 FSC-klagomål mail.docx", "A 33422-2023")</f>
        <v/>
      </c>
      <c r="X101">
        <f>HYPERLINK("https://klasma.github.io/Logging_0881/tillsyn/A 33422-2023 tillsynsbegäran.docx", "A 33422-2023")</f>
        <v/>
      </c>
      <c r="Y101">
        <f>HYPERLINK("https://klasma.github.io/Logging_0881/tillsynsmail/A 33422-2023 tillsynsbegäran mail.docx", "A 33422-2023")</f>
        <v/>
      </c>
    </row>
    <row r="102" ht="15" customHeight="1">
      <c r="A102" t="inlineStr">
        <is>
          <t>A 50008-2023</t>
        </is>
      </c>
      <c r="B102" s="1" t="n">
        <v>45215</v>
      </c>
      <c r="C102" s="1" t="n">
        <v>45762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50008-2023 artfynd.xlsx", "A 50008-2023")</f>
        <v/>
      </c>
      <c r="T102">
        <f>HYPERLINK("https://klasma.github.io/Logging_0881/kartor/A 50008-2023 karta.png", "A 50008-2023")</f>
        <v/>
      </c>
      <c r="V102">
        <f>HYPERLINK("https://klasma.github.io/Logging_0881/klagomål/A 50008-2023 FSC-klagomål.docx", "A 50008-2023")</f>
        <v/>
      </c>
      <c r="W102">
        <f>HYPERLINK("https://klasma.github.io/Logging_0881/klagomålsmail/A 50008-2023 FSC-klagomål mail.docx", "A 50008-2023")</f>
        <v/>
      </c>
      <c r="X102">
        <f>HYPERLINK("https://klasma.github.io/Logging_0881/tillsyn/A 50008-2023 tillsynsbegäran.docx", "A 50008-2023")</f>
        <v/>
      </c>
      <c r="Y102">
        <f>HYPERLINK("https://klasma.github.io/Logging_0881/tillsynsmail/A 50008-2023 tillsynsbegäran mail.docx", "A 50008-2023")</f>
        <v/>
      </c>
    </row>
    <row r="103" ht="15" customHeight="1">
      <c r="A103" t="inlineStr">
        <is>
          <t>A 51761-2023</t>
        </is>
      </c>
      <c r="B103" s="1" t="n">
        <v>45222</v>
      </c>
      <c r="C103" s="1" t="n">
        <v>45762</v>
      </c>
      <c r="D103" t="inlineStr">
        <is>
          <t>KALMAR LÄN</t>
        </is>
      </c>
      <c r="E103" t="inlineStr">
        <is>
          <t>NYBRO</t>
        </is>
      </c>
      <c r="G103" t="n">
        <v>9.300000000000001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Lappuggla</t>
        </is>
      </c>
      <c r="S103">
        <f>HYPERLINK("https://klasma.github.io/Logging_0881/artfynd/A 51761-2023 artfynd.xlsx", "A 51761-2023")</f>
        <v/>
      </c>
      <c r="T103">
        <f>HYPERLINK("https://klasma.github.io/Logging_0881/kartor/A 51761-2023 karta.png", "A 51761-2023")</f>
        <v/>
      </c>
      <c r="V103">
        <f>HYPERLINK("https://klasma.github.io/Logging_0881/klagomål/A 51761-2023 FSC-klagomål.docx", "A 51761-2023")</f>
        <v/>
      </c>
      <c r="W103">
        <f>HYPERLINK("https://klasma.github.io/Logging_0881/klagomålsmail/A 51761-2023 FSC-klagomål mail.docx", "A 51761-2023")</f>
        <v/>
      </c>
      <c r="X103">
        <f>HYPERLINK("https://klasma.github.io/Logging_0881/tillsyn/A 51761-2023 tillsynsbegäran.docx", "A 51761-2023")</f>
        <v/>
      </c>
      <c r="Y103">
        <f>HYPERLINK("https://klasma.github.io/Logging_0881/tillsynsmail/A 51761-2023 tillsynsbegäran mail.docx", "A 51761-2023")</f>
        <v/>
      </c>
      <c r="Z103">
        <f>HYPERLINK("https://klasma.github.io/Logging_0881/fåglar/A 51761-2023 prioriterade fågelarter.docx", "A 51761-2023")</f>
        <v/>
      </c>
    </row>
    <row r="104" ht="15" customHeight="1">
      <c r="A104" t="inlineStr">
        <is>
          <t>A 64542-2023</t>
        </is>
      </c>
      <c r="B104" s="1" t="n">
        <v>45281</v>
      </c>
      <c r="C104" s="1" t="n">
        <v>45762</v>
      </c>
      <c r="D104" t="inlineStr">
        <is>
          <t>KALMAR LÄN</t>
        </is>
      </c>
      <c r="E104" t="inlineStr">
        <is>
          <t>NYBRO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64542-2023 artfynd.xlsx", "A 64542-2023")</f>
        <v/>
      </c>
      <c r="T104">
        <f>HYPERLINK("https://klasma.github.io/Logging_0881/kartor/A 64542-2023 karta.png", "A 64542-2023")</f>
        <v/>
      </c>
      <c r="V104">
        <f>HYPERLINK("https://klasma.github.io/Logging_0881/klagomål/A 64542-2023 FSC-klagomål.docx", "A 64542-2023")</f>
        <v/>
      </c>
      <c r="W104">
        <f>HYPERLINK("https://klasma.github.io/Logging_0881/klagomålsmail/A 64542-2023 FSC-klagomål mail.docx", "A 64542-2023")</f>
        <v/>
      </c>
      <c r="X104">
        <f>HYPERLINK("https://klasma.github.io/Logging_0881/tillsyn/A 64542-2023 tillsynsbegäran.docx", "A 64542-2023")</f>
        <v/>
      </c>
      <c r="Y104">
        <f>HYPERLINK("https://klasma.github.io/Logging_0881/tillsynsmail/A 64542-2023 tillsynsbegäran mail.docx", "A 64542-2023")</f>
        <v/>
      </c>
    </row>
    <row r="105" ht="15" customHeight="1">
      <c r="A105" t="inlineStr">
        <is>
          <t>A 262-2024</t>
        </is>
      </c>
      <c r="B105" s="1" t="n">
        <v>45295</v>
      </c>
      <c r="C105" s="1" t="n">
        <v>45762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HYPERLINK("https://klasma.github.io/Logging_0881/artfynd/A 262-2024 artfynd.xlsx", "A 262-2024")</f>
        <v/>
      </c>
      <c r="T105">
        <f>HYPERLINK("https://klasma.github.io/Logging_0881/kartor/A 262-2024 karta.png", "A 262-2024")</f>
        <v/>
      </c>
      <c r="V105">
        <f>HYPERLINK("https://klasma.github.io/Logging_0881/klagomål/A 262-2024 FSC-klagomål.docx", "A 262-2024")</f>
        <v/>
      </c>
      <c r="W105">
        <f>HYPERLINK("https://klasma.github.io/Logging_0881/klagomålsmail/A 262-2024 FSC-klagomål mail.docx", "A 262-2024")</f>
        <v/>
      </c>
      <c r="X105">
        <f>HYPERLINK("https://klasma.github.io/Logging_0881/tillsyn/A 262-2024 tillsynsbegäran.docx", "A 262-2024")</f>
        <v/>
      </c>
      <c r="Y105">
        <f>HYPERLINK("https://klasma.github.io/Logging_0881/tillsynsmail/A 262-2024 tillsynsbegäran mail.docx", "A 262-2024")</f>
        <v/>
      </c>
    </row>
    <row r="106" ht="15" customHeight="1">
      <c r="A106" t="inlineStr">
        <is>
          <t>A 1717-2024</t>
        </is>
      </c>
      <c r="B106" s="1" t="n">
        <v>45307</v>
      </c>
      <c r="C106" s="1" t="n">
        <v>45762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HYPERLINK("https://klasma.github.io/Logging_0881/artfynd/A 1717-2024 artfynd.xlsx", "A 1717-2024")</f>
        <v/>
      </c>
      <c r="T106">
        <f>HYPERLINK("https://klasma.github.io/Logging_0881/kartor/A 1717-2024 karta.png", "A 1717-2024")</f>
        <v/>
      </c>
      <c r="V106">
        <f>HYPERLINK("https://klasma.github.io/Logging_0881/klagomål/A 1717-2024 FSC-klagomål.docx", "A 1717-2024")</f>
        <v/>
      </c>
      <c r="W106">
        <f>HYPERLINK("https://klasma.github.io/Logging_0881/klagomålsmail/A 1717-2024 FSC-klagomål mail.docx", "A 1717-2024")</f>
        <v/>
      </c>
      <c r="X106">
        <f>HYPERLINK("https://klasma.github.io/Logging_0881/tillsyn/A 1717-2024 tillsynsbegäran.docx", "A 1717-2024")</f>
        <v/>
      </c>
      <c r="Y106">
        <f>HYPERLINK("https://klasma.github.io/Logging_0881/tillsynsmail/A 1717-2024 tillsynsbegäran mail.docx", "A 1717-2024")</f>
        <v/>
      </c>
    </row>
    <row r="107" ht="15" customHeight="1">
      <c r="A107" t="inlineStr">
        <is>
          <t>A 3053-2024</t>
        </is>
      </c>
      <c r="B107" s="1" t="n">
        <v>45316</v>
      </c>
      <c r="C107" s="1" t="n">
        <v>45762</v>
      </c>
      <c r="D107" t="inlineStr">
        <is>
          <t>KALMAR LÄN</t>
        </is>
      </c>
      <c r="E107" t="inlineStr">
        <is>
          <t>NYBRO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HYPERLINK("https://klasma.github.io/Logging_0881/artfynd/A 3053-2024 artfynd.xlsx", "A 3053-2024")</f>
        <v/>
      </c>
      <c r="T107">
        <f>HYPERLINK("https://klasma.github.io/Logging_0881/kartor/A 3053-2024 karta.png", "A 3053-2024")</f>
        <v/>
      </c>
      <c r="V107">
        <f>HYPERLINK("https://klasma.github.io/Logging_0881/klagomål/A 3053-2024 FSC-klagomål.docx", "A 3053-2024")</f>
        <v/>
      </c>
      <c r="W107">
        <f>HYPERLINK("https://klasma.github.io/Logging_0881/klagomålsmail/A 3053-2024 FSC-klagomål mail.docx", "A 3053-2024")</f>
        <v/>
      </c>
      <c r="X107">
        <f>HYPERLINK("https://klasma.github.io/Logging_0881/tillsyn/A 3053-2024 tillsynsbegäran.docx", "A 3053-2024")</f>
        <v/>
      </c>
      <c r="Y107">
        <f>HYPERLINK("https://klasma.github.io/Logging_0881/tillsynsmail/A 3053-2024 tillsynsbegäran mail.docx", "A 3053-2024")</f>
        <v/>
      </c>
    </row>
    <row r="108" ht="15" customHeight="1">
      <c r="A108" t="inlineStr">
        <is>
          <t>A 10174-2024</t>
        </is>
      </c>
      <c r="B108" s="1" t="n">
        <v>45364</v>
      </c>
      <c r="C108" s="1" t="n">
        <v>45762</v>
      </c>
      <c r="D108" t="inlineStr">
        <is>
          <t>KALMAR LÄN</t>
        </is>
      </c>
      <c r="E108" t="inlineStr">
        <is>
          <t>NYBRO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HYPERLINK("https://klasma.github.io/Logging_0881/artfynd/A 10174-2024 artfynd.xlsx", "A 10174-2024")</f>
        <v/>
      </c>
      <c r="T108">
        <f>HYPERLINK("https://klasma.github.io/Logging_0881/kartor/A 10174-2024 karta.png", "A 10174-2024")</f>
        <v/>
      </c>
      <c r="V108">
        <f>HYPERLINK("https://klasma.github.io/Logging_0881/klagomål/A 10174-2024 FSC-klagomål.docx", "A 10174-2024")</f>
        <v/>
      </c>
      <c r="W108">
        <f>HYPERLINK("https://klasma.github.io/Logging_0881/klagomålsmail/A 10174-2024 FSC-klagomål mail.docx", "A 10174-2024")</f>
        <v/>
      </c>
      <c r="X108">
        <f>HYPERLINK("https://klasma.github.io/Logging_0881/tillsyn/A 10174-2024 tillsynsbegäran.docx", "A 10174-2024")</f>
        <v/>
      </c>
      <c r="Y108">
        <f>HYPERLINK("https://klasma.github.io/Logging_0881/tillsynsmail/A 10174-2024 tillsynsbegäran mail.docx", "A 10174-2024")</f>
        <v/>
      </c>
    </row>
    <row r="109" ht="15" customHeight="1">
      <c r="A109" t="inlineStr">
        <is>
          <t>A 10459-2024</t>
        </is>
      </c>
      <c r="B109" s="1" t="n">
        <v>45366</v>
      </c>
      <c r="C109" s="1" t="n">
        <v>45762</v>
      </c>
      <c r="D109" t="inlineStr">
        <is>
          <t>KALMAR LÄN</t>
        </is>
      </c>
      <c r="E109" t="inlineStr">
        <is>
          <t>NYBRO</t>
        </is>
      </c>
      <c r="G109" t="n">
        <v>2.2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10459-2024 artfynd.xlsx", "A 10459-2024")</f>
        <v/>
      </c>
      <c r="T109">
        <f>HYPERLINK("https://klasma.github.io/Logging_0881/kartor/A 10459-2024 karta.png", "A 10459-2024")</f>
        <v/>
      </c>
      <c r="V109">
        <f>HYPERLINK("https://klasma.github.io/Logging_0881/klagomål/A 10459-2024 FSC-klagomål.docx", "A 10459-2024")</f>
        <v/>
      </c>
      <c r="W109">
        <f>HYPERLINK("https://klasma.github.io/Logging_0881/klagomålsmail/A 10459-2024 FSC-klagomål mail.docx", "A 10459-2024")</f>
        <v/>
      </c>
      <c r="X109">
        <f>HYPERLINK("https://klasma.github.io/Logging_0881/tillsyn/A 10459-2024 tillsynsbegäran.docx", "A 10459-2024")</f>
        <v/>
      </c>
      <c r="Y109">
        <f>HYPERLINK("https://klasma.github.io/Logging_0881/tillsynsmail/A 10459-2024 tillsynsbegäran mail.docx", "A 10459-2024")</f>
        <v/>
      </c>
    </row>
    <row r="110" ht="15" customHeight="1">
      <c r="A110" t="inlineStr">
        <is>
          <t>A 19460-2024</t>
        </is>
      </c>
      <c r="B110" s="1" t="n">
        <v>45429</v>
      </c>
      <c r="C110" s="1" t="n">
        <v>45762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5.4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19460-2024 artfynd.xlsx", "A 19460-2024")</f>
        <v/>
      </c>
      <c r="T110">
        <f>HYPERLINK("https://klasma.github.io/Logging_0881/kartor/A 19460-2024 karta.png", "A 19460-2024")</f>
        <v/>
      </c>
      <c r="V110">
        <f>HYPERLINK("https://klasma.github.io/Logging_0881/klagomål/A 19460-2024 FSC-klagomål.docx", "A 19460-2024")</f>
        <v/>
      </c>
      <c r="W110">
        <f>HYPERLINK("https://klasma.github.io/Logging_0881/klagomålsmail/A 19460-2024 FSC-klagomål mail.docx", "A 19460-2024")</f>
        <v/>
      </c>
      <c r="X110">
        <f>HYPERLINK("https://klasma.github.io/Logging_0881/tillsyn/A 19460-2024 tillsynsbegäran.docx", "A 19460-2024")</f>
        <v/>
      </c>
      <c r="Y110">
        <f>HYPERLINK("https://klasma.github.io/Logging_0881/tillsynsmail/A 19460-2024 tillsynsbegäran mail.docx", "A 19460-2024")</f>
        <v/>
      </c>
    </row>
    <row r="111" ht="15" customHeight="1">
      <c r="A111" t="inlineStr">
        <is>
          <t>A 21749-2024</t>
        </is>
      </c>
      <c r="B111" s="1" t="n">
        <v>45442</v>
      </c>
      <c r="C111" s="1" t="n">
        <v>45762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HYPERLINK("https://klasma.github.io/Logging_0881/artfynd/A 21749-2024 artfynd.xlsx", "A 21749-2024")</f>
        <v/>
      </c>
      <c r="T111">
        <f>HYPERLINK("https://klasma.github.io/Logging_0881/kartor/A 21749-2024 karta.png", "A 21749-2024")</f>
        <v/>
      </c>
      <c r="V111">
        <f>HYPERLINK("https://klasma.github.io/Logging_0881/klagomål/A 21749-2024 FSC-klagomål.docx", "A 21749-2024")</f>
        <v/>
      </c>
      <c r="W111">
        <f>HYPERLINK("https://klasma.github.io/Logging_0881/klagomålsmail/A 21749-2024 FSC-klagomål mail.docx", "A 21749-2024")</f>
        <v/>
      </c>
      <c r="X111">
        <f>HYPERLINK("https://klasma.github.io/Logging_0881/tillsyn/A 21749-2024 tillsynsbegäran.docx", "A 21749-2024")</f>
        <v/>
      </c>
      <c r="Y111">
        <f>HYPERLINK("https://klasma.github.io/Logging_0881/tillsynsmail/A 21749-2024 tillsynsbegäran mail.docx", "A 21749-2024")</f>
        <v/>
      </c>
      <c r="Z111">
        <f>HYPERLINK("https://klasma.github.io/Logging_0881/fåglar/A 21749-2024 prioriterade fågelarter.docx", "A 21749-2024")</f>
        <v/>
      </c>
    </row>
    <row r="112" ht="15" customHeight="1">
      <c r="A112" t="inlineStr">
        <is>
          <t>A 22952-2024</t>
        </is>
      </c>
      <c r="B112" s="1" t="n">
        <v>45449</v>
      </c>
      <c r="C112" s="1" t="n">
        <v>45762</v>
      </c>
      <c r="D112" t="inlineStr">
        <is>
          <t>KALMAR LÄN</t>
        </is>
      </c>
      <c r="E112" t="inlineStr">
        <is>
          <t>NYBRO</t>
        </is>
      </c>
      <c r="G112" t="n">
        <v>14.1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HYPERLINK("https://klasma.github.io/Logging_0881/artfynd/A 22952-2024 artfynd.xlsx", "A 22952-2024")</f>
        <v/>
      </c>
      <c r="T112">
        <f>HYPERLINK("https://klasma.github.io/Logging_0881/kartor/A 22952-2024 karta.png", "A 22952-2024")</f>
        <v/>
      </c>
      <c r="V112">
        <f>HYPERLINK("https://klasma.github.io/Logging_0881/klagomål/A 22952-2024 FSC-klagomål.docx", "A 22952-2024")</f>
        <v/>
      </c>
      <c r="W112">
        <f>HYPERLINK("https://klasma.github.io/Logging_0881/klagomålsmail/A 22952-2024 FSC-klagomål mail.docx", "A 22952-2024")</f>
        <v/>
      </c>
      <c r="X112">
        <f>HYPERLINK("https://klasma.github.io/Logging_0881/tillsyn/A 22952-2024 tillsynsbegäran.docx", "A 22952-2024")</f>
        <v/>
      </c>
      <c r="Y112">
        <f>HYPERLINK("https://klasma.github.io/Logging_0881/tillsynsmail/A 22952-2024 tillsynsbegäran mail.docx", "A 22952-2024")</f>
        <v/>
      </c>
    </row>
    <row r="113" ht="15" customHeight="1">
      <c r="A113" t="inlineStr">
        <is>
          <t>A 25849-2024</t>
        </is>
      </c>
      <c r="B113" s="1" t="n">
        <v>45467</v>
      </c>
      <c r="C113" s="1" t="n">
        <v>45762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HYPERLINK("https://klasma.github.io/Logging_0881/artfynd/A 25849-2024 artfynd.xlsx", "A 25849-2024")</f>
        <v/>
      </c>
      <c r="T113">
        <f>HYPERLINK("https://klasma.github.io/Logging_0881/kartor/A 25849-2024 karta.png", "A 25849-2024")</f>
        <v/>
      </c>
      <c r="U113">
        <f>HYPERLINK("https://klasma.github.io/Logging_0881/knärot/A 25849-2024 karta knärot.png", "A 25849-2024")</f>
        <v/>
      </c>
      <c r="V113">
        <f>HYPERLINK("https://klasma.github.io/Logging_0881/klagomål/A 25849-2024 FSC-klagomål.docx", "A 25849-2024")</f>
        <v/>
      </c>
      <c r="W113">
        <f>HYPERLINK("https://klasma.github.io/Logging_0881/klagomålsmail/A 25849-2024 FSC-klagomål mail.docx", "A 25849-2024")</f>
        <v/>
      </c>
      <c r="X113">
        <f>HYPERLINK("https://klasma.github.io/Logging_0881/tillsyn/A 25849-2024 tillsynsbegäran.docx", "A 25849-2024")</f>
        <v/>
      </c>
      <c r="Y113">
        <f>HYPERLINK("https://klasma.github.io/Logging_0881/tillsynsmail/A 25849-2024 tillsynsbegäran mail.docx", "A 25849-2024")</f>
        <v/>
      </c>
    </row>
    <row r="114" ht="15" customHeight="1">
      <c r="A114" t="inlineStr">
        <is>
          <t>A 30746-2024</t>
        </is>
      </c>
      <c r="B114" s="1" t="n">
        <v>45496</v>
      </c>
      <c r="C114" s="1" t="n">
        <v>45762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Granspira</t>
        </is>
      </c>
      <c r="S114">
        <f>HYPERLINK("https://klasma.github.io/Logging_0881/artfynd/A 30746-2024 artfynd.xlsx", "A 30746-2024")</f>
        <v/>
      </c>
      <c r="T114">
        <f>HYPERLINK("https://klasma.github.io/Logging_0881/kartor/A 30746-2024 karta.png", "A 30746-2024")</f>
        <v/>
      </c>
      <c r="V114">
        <f>HYPERLINK("https://klasma.github.io/Logging_0881/klagomål/A 30746-2024 FSC-klagomål.docx", "A 30746-2024")</f>
        <v/>
      </c>
      <c r="W114">
        <f>HYPERLINK("https://klasma.github.io/Logging_0881/klagomålsmail/A 30746-2024 FSC-klagomål mail.docx", "A 30746-2024")</f>
        <v/>
      </c>
      <c r="X114">
        <f>HYPERLINK("https://klasma.github.io/Logging_0881/tillsyn/A 30746-2024 tillsynsbegäran.docx", "A 30746-2024")</f>
        <v/>
      </c>
      <c r="Y114">
        <f>HYPERLINK("https://klasma.github.io/Logging_0881/tillsynsmail/A 30746-2024 tillsynsbegäran mail.docx", "A 30746-2024")</f>
        <v/>
      </c>
    </row>
    <row r="115" ht="15" customHeight="1">
      <c r="A115" t="inlineStr">
        <is>
          <t>A 37621-2024</t>
        </is>
      </c>
      <c r="B115" s="1" t="n">
        <v>45541</v>
      </c>
      <c r="C115" s="1" t="n">
        <v>45762</v>
      </c>
      <c r="D115" t="inlineStr">
        <is>
          <t>KALMAR LÄN</t>
        </is>
      </c>
      <c r="E115" t="inlineStr">
        <is>
          <t>NYBRO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HYPERLINK("https://klasma.github.io/Logging_0881/artfynd/A 37621-2024 artfynd.xlsx", "A 37621-2024")</f>
        <v/>
      </c>
      <c r="T115">
        <f>HYPERLINK("https://klasma.github.io/Logging_0881/kartor/A 37621-2024 karta.png", "A 37621-2024")</f>
        <v/>
      </c>
      <c r="V115">
        <f>HYPERLINK("https://klasma.github.io/Logging_0881/klagomål/A 37621-2024 FSC-klagomål.docx", "A 37621-2024")</f>
        <v/>
      </c>
      <c r="W115">
        <f>HYPERLINK("https://klasma.github.io/Logging_0881/klagomålsmail/A 37621-2024 FSC-klagomål mail.docx", "A 37621-2024")</f>
        <v/>
      </c>
      <c r="X115">
        <f>HYPERLINK("https://klasma.github.io/Logging_0881/tillsyn/A 37621-2024 tillsynsbegäran.docx", "A 37621-2024")</f>
        <v/>
      </c>
      <c r="Y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43608-2024</t>
        </is>
      </c>
      <c r="B116" s="1" t="n">
        <v>45569</v>
      </c>
      <c r="C116" s="1" t="n">
        <v>45762</v>
      </c>
      <c r="D116" t="inlineStr">
        <is>
          <t>KALMAR LÄN</t>
        </is>
      </c>
      <c r="E116" t="inlineStr">
        <is>
          <t>NYBRO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HYPERLINK("https://klasma.github.io/Logging_0881/artfynd/A 43608-2024 artfynd.xlsx", "A 43608-2024")</f>
        <v/>
      </c>
      <c r="T116">
        <f>HYPERLINK("https://klasma.github.io/Logging_0881/kartor/A 43608-2024 karta.png", "A 43608-2024")</f>
        <v/>
      </c>
      <c r="V116">
        <f>HYPERLINK("https://klasma.github.io/Logging_0881/klagomål/A 43608-2024 FSC-klagomål.docx", "A 43608-2024")</f>
        <v/>
      </c>
      <c r="W116">
        <f>HYPERLINK("https://klasma.github.io/Logging_0881/klagomålsmail/A 43608-2024 FSC-klagomål mail.docx", "A 43608-2024")</f>
        <v/>
      </c>
      <c r="X116">
        <f>HYPERLINK("https://klasma.github.io/Logging_0881/tillsyn/A 43608-2024 tillsynsbegäran.docx", "A 43608-2024")</f>
        <v/>
      </c>
      <c r="Y116">
        <f>HYPERLINK("https://klasma.github.io/Logging_0881/tillsynsmail/A 43608-2024 tillsynsbegäran mail.docx", "A 43608-2024")</f>
        <v/>
      </c>
    </row>
    <row r="117" ht="15" customHeight="1">
      <c r="A117" t="inlineStr">
        <is>
          <t>A 46223-2024</t>
        </is>
      </c>
      <c r="B117" s="1" t="n">
        <v>45581</v>
      </c>
      <c r="C117" s="1" t="n">
        <v>45762</v>
      </c>
      <c r="D117" t="inlineStr">
        <is>
          <t>KALMAR LÄN</t>
        </is>
      </c>
      <c r="E117" t="inlineStr">
        <is>
          <t>NYBRO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Sumpviol</t>
        </is>
      </c>
      <c r="S117">
        <f>HYPERLINK("https://klasma.github.io/Logging_0881/artfynd/A 46223-2024 artfynd.xlsx", "A 46223-2024")</f>
        <v/>
      </c>
      <c r="T117">
        <f>HYPERLINK("https://klasma.github.io/Logging_0881/kartor/A 46223-2024 karta.png", "A 46223-2024")</f>
        <v/>
      </c>
      <c r="V117">
        <f>HYPERLINK("https://klasma.github.io/Logging_0881/klagomål/A 46223-2024 FSC-klagomål.docx", "A 46223-2024")</f>
        <v/>
      </c>
      <c r="W117">
        <f>HYPERLINK("https://klasma.github.io/Logging_0881/klagomålsmail/A 46223-2024 FSC-klagomål mail.docx", "A 46223-2024")</f>
        <v/>
      </c>
      <c r="X117">
        <f>HYPERLINK("https://klasma.github.io/Logging_0881/tillsyn/A 46223-2024 tillsynsbegäran.docx", "A 46223-2024")</f>
        <v/>
      </c>
      <c r="Y117">
        <f>HYPERLINK("https://klasma.github.io/Logging_0881/tillsynsmail/A 46223-2024 tillsynsbegäran mail.docx", "A 46223-2024")</f>
        <v/>
      </c>
    </row>
    <row r="118" ht="15" customHeight="1">
      <c r="A118" t="inlineStr">
        <is>
          <t>A 47457-2024</t>
        </is>
      </c>
      <c r="B118" s="1" t="n">
        <v>45587</v>
      </c>
      <c r="C118" s="1" t="n">
        <v>45762</v>
      </c>
      <c r="D118" t="inlineStr">
        <is>
          <t>KALMAR LÄN</t>
        </is>
      </c>
      <c r="E118" t="inlineStr">
        <is>
          <t>NYBRO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Brunag</t>
        </is>
      </c>
      <c r="S118">
        <f>HYPERLINK("https://klasma.github.io/Logging_0881/artfynd/A 47457-2024 artfynd.xlsx", "A 47457-2024")</f>
        <v/>
      </c>
      <c r="T118">
        <f>HYPERLINK("https://klasma.github.io/Logging_0881/kartor/A 47457-2024 karta.png", "A 47457-2024")</f>
        <v/>
      </c>
      <c r="V118">
        <f>HYPERLINK("https://klasma.github.io/Logging_0881/klagomål/A 47457-2024 FSC-klagomål.docx", "A 47457-2024")</f>
        <v/>
      </c>
      <c r="W118">
        <f>HYPERLINK("https://klasma.github.io/Logging_0881/klagomålsmail/A 47457-2024 FSC-klagomål mail.docx", "A 47457-2024")</f>
        <v/>
      </c>
      <c r="X118">
        <f>HYPERLINK("https://klasma.github.io/Logging_0881/tillsyn/A 47457-2024 tillsynsbegäran.docx", "A 47457-2024")</f>
        <v/>
      </c>
      <c r="Y118">
        <f>HYPERLINK("https://klasma.github.io/Logging_0881/tillsynsmail/A 47457-2024 tillsynsbegäran mail.docx", "A 47457-2024")</f>
        <v/>
      </c>
    </row>
    <row r="119" ht="15" customHeight="1">
      <c r="A119" t="inlineStr">
        <is>
          <t>A 48980-2024</t>
        </is>
      </c>
      <c r="B119" s="1" t="n">
        <v>45594</v>
      </c>
      <c r="C119" s="1" t="n">
        <v>45762</v>
      </c>
      <c r="D119" t="inlineStr">
        <is>
          <t>KALMAR LÄN</t>
        </is>
      </c>
      <c r="E119" t="inlineStr">
        <is>
          <t>NYBRO</t>
        </is>
      </c>
      <c r="G119" t="n">
        <v>41.9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Hjärtstilla</t>
        </is>
      </c>
      <c r="S119">
        <f>HYPERLINK("https://klasma.github.io/Logging_0881/artfynd/A 48980-2024 artfynd.xlsx", "A 48980-2024")</f>
        <v/>
      </c>
      <c r="T119">
        <f>HYPERLINK("https://klasma.github.io/Logging_0881/kartor/A 48980-2024 karta.png", "A 48980-2024")</f>
        <v/>
      </c>
      <c r="V119">
        <f>HYPERLINK("https://klasma.github.io/Logging_0881/klagomål/A 48980-2024 FSC-klagomål.docx", "A 48980-2024")</f>
        <v/>
      </c>
      <c r="W119">
        <f>HYPERLINK("https://klasma.github.io/Logging_0881/klagomålsmail/A 48980-2024 FSC-klagomål mail.docx", "A 48980-2024")</f>
        <v/>
      </c>
      <c r="X119">
        <f>HYPERLINK("https://klasma.github.io/Logging_0881/tillsyn/A 48980-2024 tillsynsbegäran.docx", "A 48980-2024")</f>
        <v/>
      </c>
      <c r="Y119">
        <f>HYPERLINK("https://klasma.github.io/Logging_0881/tillsynsmail/A 48980-2024 tillsynsbegäran mail.docx", "A 48980-2024")</f>
        <v/>
      </c>
    </row>
    <row r="120" ht="15" customHeight="1">
      <c r="A120" t="inlineStr">
        <is>
          <t>A 49579-2024</t>
        </is>
      </c>
      <c r="B120" s="1" t="n">
        <v>45596</v>
      </c>
      <c r="C120" s="1" t="n">
        <v>45762</v>
      </c>
      <c r="D120" t="inlineStr">
        <is>
          <t>KALMAR LÄN</t>
        </is>
      </c>
      <c r="E120" t="inlineStr">
        <is>
          <t>NYBRO</t>
        </is>
      </c>
      <c r="G120" t="n">
        <v>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HYPERLINK("https://klasma.github.io/Logging_0881/artfynd/A 49579-2024 artfynd.xlsx", "A 49579-2024")</f>
        <v/>
      </c>
      <c r="T120">
        <f>HYPERLINK("https://klasma.github.io/Logging_0881/kartor/A 49579-2024 karta.png", "A 49579-2024")</f>
        <v/>
      </c>
      <c r="V120">
        <f>HYPERLINK("https://klasma.github.io/Logging_0881/klagomål/A 49579-2024 FSC-klagomål.docx", "A 49579-2024")</f>
        <v/>
      </c>
      <c r="W120">
        <f>HYPERLINK("https://klasma.github.io/Logging_0881/klagomålsmail/A 49579-2024 FSC-klagomål mail.docx", "A 49579-2024")</f>
        <v/>
      </c>
      <c r="X120">
        <f>HYPERLINK("https://klasma.github.io/Logging_0881/tillsyn/A 49579-2024 tillsynsbegäran.docx", "A 49579-2024")</f>
        <v/>
      </c>
      <c r="Y120">
        <f>HYPERLINK("https://klasma.github.io/Logging_0881/tillsynsmail/A 49579-2024 tillsynsbegäran mail.docx", "A 49579-2024")</f>
        <v/>
      </c>
    </row>
    <row r="121" ht="15" customHeight="1">
      <c r="A121" t="inlineStr">
        <is>
          <t>A 50908-2024</t>
        </is>
      </c>
      <c r="B121" s="1" t="n">
        <v>45602</v>
      </c>
      <c r="C121" s="1" t="n">
        <v>45762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Asppraktbagge</t>
        </is>
      </c>
      <c r="S121">
        <f>HYPERLINK("https://klasma.github.io/Logging_0881/artfynd/A 50908-2024 artfynd.xlsx", "A 50908-2024")</f>
        <v/>
      </c>
      <c r="T121">
        <f>HYPERLINK("https://klasma.github.io/Logging_0881/kartor/A 50908-2024 karta.png", "A 50908-2024")</f>
        <v/>
      </c>
      <c r="V121">
        <f>HYPERLINK("https://klasma.github.io/Logging_0881/klagomål/A 50908-2024 FSC-klagomål.docx", "A 50908-2024")</f>
        <v/>
      </c>
      <c r="W121">
        <f>HYPERLINK("https://klasma.github.io/Logging_0881/klagomålsmail/A 50908-2024 FSC-klagomål mail.docx", "A 50908-2024")</f>
        <v/>
      </c>
      <c r="X121">
        <f>HYPERLINK("https://klasma.github.io/Logging_0881/tillsyn/A 50908-2024 tillsynsbegäran.docx", "A 50908-2024")</f>
        <v/>
      </c>
      <c r="Y121">
        <f>HYPERLINK("https://klasma.github.io/Logging_0881/tillsynsmail/A 50908-2024 tillsynsbegäran mail.docx", "A 50908-2024")</f>
        <v/>
      </c>
    </row>
    <row r="122" ht="15" customHeight="1">
      <c r="A122" t="inlineStr">
        <is>
          <t>A 51473-2024</t>
        </is>
      </c>
      <c r="B122" s="1" t="n">
        <v>45604</v>
      </c>
      <c r="C122" s="1" t="n">
        <v>45762</v>
      </c>
      <c r="D122" t="inlineStr">
        <is>
          <t>KALMAR LÄN</t>
        </is>
      </c>
      <c r="E122" t="inlineStr">
        <is>
          <t>NYBRO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HYPERLINK("https://klasma.github.io/Logging_0881/artfynd/A 51473-2024 artfynd.xlsx", "A 51473-2024")</f>
        <v/>
      </c>
      <c r="T122">
        <f>HYPERLINK("https://klasma.github.io/Logging_0881/kartor/A 51473-2024 karta.png", "A 51473-2024")</f>
        <v/>
      </c>
      <c r="V122">
        <f>HYPERLINK("https://klasma.github.io/Logging_0881/klagomål/A 51473-2024 FSC-klagomål.docx", "A 51473-2024")</f>
        <v/>
      </c>
      <c r="W122">
        <f>HYPERLINK("https://klasma.github.io/Logging_0881/klagomålsmail/A 51473-2024 FSC-klagomål mail.docx", "A 51473-2024")</f>
        <v/>
      </c>
      <c r="X122">
        <f>HYPERLINK("https://klasma.github.io/Logging_0881/tillsyn/A 51473-2024 tillsynsbegäran.docx", "A 51473-2024")</f>
        <v/>
      </c>
      <c r="Y122">
        <f>HYPERLINK("https://klasma.github.io/Logging_0881/tillsynsmail/A 51473-2024 tillsynsbegäran mail.docx", "A 51473-2024")</f>
        <v/>
      </c>
      <c r="Z122">
        <f>HYPERLINK("https://klasma.github.io/Logging_0881/fåglar/A 51473-2024 prioriterade fågelarter.docx", "A 51473-2024")</f>
        <v/>
      </c>
    </row>
    <row r="123" ht="15" customHeight="1">
      <c r="A123" t="inlineStr">
        <is>
          <t>A 53841-2024</t>
        </is>
      </c>
      <c r="B123" s="1" t="n">
        <v>45615</v>
      </c>
      <c r="C123" s="1" t="n">
        <v>45762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HYPERLINK("https://klasma.github.io/Logging_0881/artfynd/A 53841-2024 artfynd.xlsx", "A 53841-2024")</f>
        <v/>
      </c>
      <c r="T123">
        <f>HYPERLINK("https://klasma.github.io/Logging_0881/kartor/A 53841-2024 karta.png", "A 53841-2024")</f>
        <v/>
      </c>
      <c r="V123">
        <f>HYPERLINK("https://klasma.github.io/Logging_0881/klagomål/A 53841-2024 FSC-klagomål.docx", "A 53841-2024")</f>
        <v/>
      </c>
      <c r="W123">
        <f>HYPERLINK("https://klasma.github.io/Logging_0881/klagomålsmail/A 53841-2024 FSC-klagomål mail.docx", "A 53841-2024")</f>
        <v/>
      </c>
      <c r="X123">
        <f>HYPERLINK("https://klasma.github.io/Logging_0881/tillsyn/A 53841-2024 tillsynsbegäran.docx", "A 53841-2024")</f>
        <v/>
      </c>
      <c r="Y123">
        <f>HYPERLINK("https://klasma.github.io/Logging_0881/tillsynsmail/A 53841-2024 tillsynsbegäran mail.docx", "A 53841-2024")</f>
        <v/>
      </c>
    </row>
    <row r="124" ht="15" customHeight="1">
      <c r="A124" t="inlineStr">
        <is>
          <t>A 55290-2024</t>
        </is>
      </c>
      <c r="B124" s="1" t="n">
        <v>45621</v>
      </c>
      <c r="C124" s="1" t="n">
        <v>45762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5.9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HYPERLINK("https://klasma.github.io/Logging_0881/artfynd/A 55290-2024 artfynd.xlsx", "A 55290-2024")</f>
        <v/>
      </c>
      <c r="T124">
        <f>HYPERLINK("https://klasma.github.io/Logging_0881/kartor/A 55290-2024 karta.png", "A 55290-2024")</f>
        <v/>
      </c>
      <c r="V124">
        <f>HYPERLINK("https://klasma.github.io/Logging_0881/klagomål/A 55290-2024 FSC-klagomål.docx", "A 55290-2024")</f>
        <v/>
      </c>
      <c r="W124">
        <f>HYPERLINK("https://klasma.github.io/Logging_0881/klagomålsmail/A 55290-2024 FSC-klagomål mail.docx", "A 55290-2024")</f>
        <v/>
      </c>
      <c r="X124">
        <f>HYPERLINK("https://klasma.github.io/Logging_0881/tillsyn/A 55290-2024 tillsynsbegäran.docx", "A 55290-2024")</f>
        <v/>
      </c>
      <c r="Y124">
        <f>HYPERLINK("https://klasma.github.io/Logging_0881/tillsynsmail/A 55290-2024 tillsynsbegäran mail.docx", "A 55290-2024")</f>
        <v/>
      </c>
    </row>
    <row r="125" ht="15" customHeight="1">
      <c r="A125" t="inlineStr">
        <is>
          <t>A 55299-2024</t>
        </is>
      </c>
      <c r="B125" s="1" t="n">
        <v>45621</v>
      </c>
      <c r="C125" s="1" t="n">
        <v>45762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Sparvuggla</t>
        </is>
      </c>
      <c r="S125">
        <f>HYPERLINK("https://klasma.github.io/Logging_0881/artfynd/A 55299-2024 artfynd.xlsx", "A 55299-2024")</f>
        <v/>
      </c>
      <c r="T125">
        <f>HYPERLINK("https://klasma.github.io/Logging_0881/kartor/A 55299-2024 karta.png", "A 55299-2024")</f>
        <v/>
      </c>
      <c r="V125">
        <f>HYPERLINK("https://klasma.github.io/Logging_0881/klagomål/A 55299-2024 FSC-klagomål.docx", "A 55299-2024")</f>
        <v/>
      </c>
      <c r="W125">
        <f>HYPERLINK("https://klasma.github.io/Logging_0881/klagomålsmail/A 55299-2024 FSC-klagomål mail.docx", "A 55299-2024")</f>
        <v/>
      </c>
      <c r="X125">
        <f>HYPERLINK("https://klasma.github.io/Logging_0881/tillsyn/A 55299-2024 tillsynsbegäran.docx", "A 55299-2024")</f>
        <v/>
      </c>
      <c r="Y125">
        <f>HYPERLINK("https://klasma.github.io/Logging_0881/tillsynsmail/A 55299-2024 tillsynsbegäran mail.docx", "A 55299-2024")</f>
        <v/>
      </c>
      <c r="Z125">
        <f>HYPERLINK("https://klasma.github.io/Logging_0881/fåglar/A 55299-2024 prioriterade fågelarter.docx", "A 55299-2024")</f>
        <v/>
      </c>
    </row>
    <row r="126" ht="15" customHeight="1">
      <c r="A126" t="inlineStr">
        <is>
          <t>A 55304-2024</t>
        </is>
      </c>
      <c r="B126" s="1" t="n">
        <v>45621</v>
      </c>
      <c r="C126" s="1" t="n">
        <v>45762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HYPERLINK("https://klasma.github.io/Logging_0881/artfynd/A 55304-2024 artfynd.xlsx", "A 55304-2024")</f>
        <v/>
      </c>
      <c r="T126">
        <f>HYPERLINK("https://klasma.github.io/Logging_0881/kartor/A 55304-2024 karta.png", "A 55304-2024")</f>
        <v/>
      </c>
      <c r="V126">
        <f>HYPERLINK("https://klasma.github.io/Logging_0881/klagomål/A 55304-2024 FSC-klagomål.docx", "A 55304-2024")</f>
        <v/>
      </c>
      <c r="W126">
        <f>HYPERLINK("https://klasma.github.io/Logging_0881/klagomålsmail/A 55304-2024 FSC-klagomål mail.docx", "A 55304-2024")</f>
        <v/>
      </c>
      <c r="X126">
        <f>HYPERLINK("https://klasma.github.io/Logging_0881/tillsyn/A 55304-2024 tillsynsbegäran.docx", "A 55304-2024")</f>
        <v/>
      </c>
      <c r="Y126">
        <f>HYPERLINK("https://klasma.github.io/Logging_0881/tillsynsmail/A 55304-2024 tillsynsbegäran mail.docx", "A 55304-2024")</f>
        <v/>
      </c>
      <c r="Z126">
        <f>HYPERLINK("https://klasma.github.io/Logging_0881/fåglar/A 55304-2024 prioriterade fågelarter.docx", "A 55304-2024")</f>
        <v/>
      </c>
    </row>
    <row r="127" ht="15" customHeight="1">
      <c r="A127" t="inlineStr">
        <is>
          <t>A 57852-2024</t>
        </is>
      </c>
      <c r="B127" s="1" t="n">
        <v>45631</v>
      </c>
      <c r="C127" s="1" t="n">
        <v>45762</v>
      </c>
      <c r="D127" t="inlineStr">
        <is>
          <t>KALMAR LÄN</t>
        </is>
      </c>
      <c r="E127" t="inlineStr">
        <is>
          <t>NYBRO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HYPERLINK("https://klasma.github.io/Logging_0881/artfynd/A 57852-2024 artfynd.xlsx", "A 57852-2024")</f>
        <v/>
      </c>
      <c r="T127">
        <f>HYPERLINK("https://klasma.github.io/Logging_0881/kartor/A 57852-2024 karta.png", "A 57852-2024")</f>
        <v/>
      </c>
      <c r="V127">
        <f>HYPERLINK("https://klasma.github.io/Logging_0881/klagomål/A 57852-2024 FSC-klagomål.docx", "A 57852-2024")</f>
        <v/>
      </c>
      <c r="W127">
        <f>HYPERLINK("https://klasma.github.io/Logging_0881/klagomålsmail/A 57852-2024 FSC-klagomål mail.docx", "A 57852-2024")</f>
        <v/>
      </c>
      <c r="X127">
        <f>HYPERLINK("https://klasma.github.io/Logging_0881/tillsyn/A 57852-2024 tillsynsbegäran.docx", "A 57852-2024")</f>
        <v/>
      </c>
      <c r="Y127">
        <f>HYPERLINK("https://klasma.github.io/Logging_0881/tillsynsmail/A 57852-2024 tillsynsbegäran mail.docx", "A 57852-2024")</f>
        <v/>
      </c>
    </row>
    <row r="128" ht="15" customHeight="1">
      <c r="A128" t="inlineStr">
        <is>
          <t>A 3631-2025</t>
        </is>
      </c>
      <c r="B128" s="1" t="n">
        <v>45681</v>
      </c>
      <c r="C128" s="1" t="n">
        <v>45762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Åkerrättika</t>
        </is>
      </c>
      <c r="S128">
        <f>HYPERLINK("https://klasma.github.io/Logging_0881/artfynd/A 3631-2025 artfynd.xlsx", "A 3631-2025")</f>
        <v/>
      </c>
      <c r="T128">
        <f>HYPERLINK("https://klasma.github.io/Logging_0881/kartor/A 3631-2025 karta.png", "A 3631-2025")</f>
        <v/>
      </c>
      <c r="V128">
        <f>HYPERLINK("https://klasma.github.io/Logging_0881/klagomål/A 3631-2025 FSC-klagomål.docx", "A 3631-2025")</f>
        <v/>
      </c>
      <c r="W128">
        <f>HYPERLINK("https://klasma.github.io/Logging_0881/klagomålsmail/A 3631-2025 FSC-klagomål mail.docx", "A 3631-2025")</f>
        <v/>
      </c>
      <c r="X128">
        <f>HYPERLINK("https://klasma.github.io/Logging_0881/tillsyn/A 3631-2025 tillsynsbegäran.docx", "A 3631-2025")</f>
        <v/>
      </c>
      <c r="Y128">
        <f>HYPERLINK("https://klasma.github.io/Logging_0881/tillsynsmail/A 3631-2025 tillsynsbegäran mail.docx", "A 3631-2025")</f>
        <v/>
      </c>
    </row>
    <row r="129" ht="15" customHeight="1">
      <c r="A129" t="inlineStr">
        <is>
          <t>A 6061-2025</t>
        </is>
      </c>
      <c r="B129" s="1" t="n">
        <v>45695</v>
      </c>
      <c r="C129" s="1" t="n">
        <v>45762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Purpurknipprot</t>
        </is>
      </c>
      <c r="S129">
        <f>HYPERLINK("https://klasma.github.io/Logging_0881/artfynd/A 6061-2025 artfynd.xlsx", "A 6061-2025")</f>
        <v/>
      </c>
      <c r="T129">
        <f>HYPERLINK("https://klasma.github.io/Logging_0881/kartor/A 6061-2025 karta.png", "A 6061-2025")</f>
        <v/>
      </c>
      <c r="V129">
        <f>HYPERLINK("https://klasma.github.io/Logging_0881/klagomål/A 6061-2025 FSC-klagomål.docx", "A 6061-2025")</f>
        <v/>
      </c>
      <c r="W129">
        <f>HYPERLINK("https://klasma.github.io/Logging_0881/klagomålsmail/A 6061-2025 FSC-klagomål mail.docx", "A 6061-2025")</f>
        <v/>
      </c>
      <c r="X129">
        <f>HYPERLINK("https://klasma.github.io/Logging_0881/tillsyn/A 6061-2025 tillsynsbegäran.docx", "A 6061-2025")</f>
        <v/>
      </c>
      <c r="Y129">
        <f>HYPERLINK("https://klasma.github.io/Logging_0881/tillsynsmail/A 6061-2025 tillsynsbegäran mail.docx", "A 6061-2025")</f>
        <v/>
      </c>
    </row>
    <row r="130" ht="15" customHeight="1">
      <c r="A130" t="inlineStr">
        <is>
          <t>A 6931-2025</t>
        </is>
      </c>
      <c r="B130" s="1" t="n">
        <v>45701</v>
      </c>
      <c r="C130" s="1" t="n">
        <v>45762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HYPERLINK("https://klasma.github.io/Logging_0881/artfynd/A 6931-2025 artfynd.xlsx", "A 6931-2025")</f>
        <v/>
      </c>
      <c r="T130">
        <f>HYPERLINK("https://klasma.github.io/Logging_0881/kartor/A 6931-2025 karta.png", "A 6931-2025")</f>
        <v/>
      </c>
      <c r="V130">
        <f>HYPERLINK("https://klasma.github.io/Logging_0881/klagomål/A 6931-2025 FSC-klagomål.docx", "A 6931-2025")</f>
        <v/>
      </c>
      <c r="W130">
        <f>HYPERLINK("https://klasma.github.io/Logging_0881/klagomålsmail/A 6931-2025 FSC-klagomål mail.docx", "A 6931-2025")</f>
        <v/>
      </c>
      <c r="X130">
        <f>HYPERLINK("https://klasma.github.io/Logging_0881/tillsyn/A 6931-2025 tillsynsbegäran.docx", "A 6931-2025")</f>
        <v/>
      </c>
      <c r="Y130">
        <f>HYPERLINK("https://klasma.github.io/Logging_0881/tillsynsmail/A 6931-2025 tillsynsbegäran mail.docx", "A 6931-2025")</f>
        <v/>
      </c>
    </row>
    <row r="131" ht="15" customHeight="1">
      <c r="A131" t="inlineStr">
        <is>
          <t>A 9136-2025</t>
        </is>
      </c>
      <c r="B131" s="1" t="n">
        <v>45714</v>
      </c>
      <c r="C131" s="1" t="n">
        <v>45762</v>
      </c>
      <c r="D131" t="inlineStr">
        <is>
          <t>KALMAR LÄN</t>
        </is>
      </c>
      <c r="E131" t="inlineStr">
        <is>
          <t>NYBRO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HYPERLINK("https://klasma.github.io/Logging_0881/artfynd/A 9136-2025 artfynd.xlsx", "A 9136-2025")</f>
        <v/>
      </c>
      <c r="T131">
        <f>HYPERLINK("https://klasma.github.io/Logging_0881/kartor/A 9136-2025 karta.png", "A 9136-2025")</f>
        <v/>
      </c>
      <c r="V131">
        <f>HYPERLINK("https://klasma.github.io/Logging_0881/klagomål/A 9136-2025 FSC-klagomål.docx", "A 9136-2025")</f>
        <v/>
      </c>
      <c r="W131">
        <f>HYPERLINK("https://klasma.github.io/Logging_0881/klagomålsmail/A 9136-2025 FSC-klagomål mail.docx", "A 9136-2025")</f>
        <v/>
      </c>
      <c r="X131">
        <f>HYPERLINK("https://klasma.github.io/Logging_0881/tillsyn/A 9136-2025 tillsynsbegäran.docx", "A 9136-2025")</f>
        <v/>
      </c>
      <c r="Y131">
        <f>HYPERLINK("https://klasma.github.io/Logging_0881/tillsynsmail/A 9136-2025 tillsynsbegäran mail.docx", "A 9136-2025")</f>
        <v/>
      </c>
    </row>
    <row r="132" ht="15" customHeight="1">
      <c r="A132" t="inlineStr">
        <is>
          <t>A 10641-2025</t>
        </is>
      </c>
      <c r="B132" s="1" t="n">
        <v>45721</v>
      </c>
      <c r="C132" s="1" t="n">
        <v>45762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HYPERLINK("https://klasma.github.io/Logging_080881/artfynd/A 10641-2025 artfynd.xlsx", "A 10641-2025")</f>
        <v/>
      </c>
      <c r="T132">
        <f>HYPERLINK("https://klasma.github.io/Logging_080881/kartor/A 10641-2025 karta.png", "A 10641-2025")</f>
        <v/>
      </c>
      <c r="V132">
        <f>HYPERLINK("https://klasma.github.io/Logging_080881/klagomål/A 10641-2025 FSC-klagomål.docx", "A 10641-2025")</f>
        <v/>
      </c>
      <c r="W132">
        <f>HYPERLINK("https://klasma.github.io/Logging_080881/klagomålsmail/A 10641-2025 FSC-klagomål mail.docx", "A 10641-2025")</f>
        <v/>
      </c>
      <c r="X132">
        <f>HYPERLINK("https://klasma.github.io/Logging_080881/tillsyn/A 10641-2025 tillsynsbegäran.docx", "A 10641-2025")</f>
        <v/>
      </c>
      <c r="Y132">
        <f>HYPERLINK("https://klasma.github.io/Logging_080881/tillsynsmail/A 10641-2025 tillsynsbegäran mail.docx", "A 10641-2025")</f>
        <v/>
      </c>
    </row>
    <row r="133" ht="15" customHeight="1">
      <c r="A133" t="inlineStr">
        <is>
          <t>A 15435-2025</t>
        </is>
      </c>
      <c r="B133" s="1" t="n">
        <v>45747</v>
      </c>
      <c r="C133" s="1" t="n">
        <v>45762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Strandlummer</t>
        </is>
      </c>
      <c r="S133">
        <f>HYPERLINK("https://klasma.github.io/Logging_080881/artfynd/A 15435-2025 artfynd.xlsx", "A 15435-2025")</f>
        <v/>
      </c>
      <c r="T133">
        <f>HYPERLINK("https://klasma.github.io/Logging_080881/kartor/A 15435-2025 karta.png", "A 15435-2025")</f>
        <v/>
      </c>
      <c r="V133">
        <f>HYPERLINK("https://klasma.github.io/Logging_080881/klagomål/A 15435-2025 FSC-klagomål.docx", "A 15435-2025")</f>
        <v/>
      </c>
      <c r="W133">
        <f>HYPERLINK("https://klasma.github.io/Logging_080881/klagomålsmail/A 15435-2025 FSC-klagomål mail.docx", "A 15435-2025")</f>
        <v/>
      </c>
      <c r="X133">
        <f>HYPERLINK("https://klasma.github.io/Logging_080881/tillsyn/A 15435-2025 tillsynsbegäran.docx", "A 15435-2025")</f>
        <v/>
      </c>
      <c r="Y133">
        <f>HYPERLINK("https://klasma.github.io/Logging_080881/tillsynsmail/A 15435-2025 tillsynsbegäran mail.docx", "A 15435-2025")</f>
        <v/>
      </c>
    </row>
    <row r="134" ht="15" customHeight="1">
      <c r="A134" t="inlineStr">
        <is>
          <t>A 16715-2025</t>
        </is>
      </c>
      <c r="B134" s="1" t="n">
        <v>45754</v>
      </c>
      <c r="C134" s="1" t="n">
        <v>45762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Större brunfladdermus</t>
        </is>
      </c>
      <c r="S134">
        <f>HYPERLINK("https://klasma.github.io/Logging_080881/artfynd/A 16715-2025 artfynd.xlsx", "A 16715-2025")</f>
        <v/>
      </c>
      <c r="T134">
        <f>HYPERLINK("https://klasma.github.io/Logging_080881/kartor/A 16715-2025 karta.png", "A 16715-2025")</f>
        <v/>
      </c>
      <c r="V134">
        <f>HYPERLINK("https://klasma.github.io/Logging_080881/klagomål/A 16715-2025 FSC-klagomål.docx", "A 16715-2025")</f>
        <v/>
      </c>
      <c r="W134">
        <f>HYPERLINK("https://klasma.github.io/Logging_080881/klagomålsmail/A 16715-2025 FSC-klagomål mail.docx", "A 16715-2025")</f>
        <v/>
      </c>
      <c r="X134">
        <f>HYPERLINK("https://klasma.github.io/Logging_080881/tillsyn/A 16715-2025 tillsynsbegäran.docx", "A 16715-2025")</f>
        <v/>
      </c>
      <c r="Y134">
        <f>HYPERLINK("https://klasma.github.io/Logging_080881/tillsynsmail/A 16715-2025 tillsynsbegäran mail.docx", "A 16715-2025")</f>
        <v/>
      </c>
    </row>
    <row r="135" ht="15" customHeight="1">
      <c r="A135" t="inlineStr">
        <is>
          <t>A 18184-2019</t>
        </is>
      </c>
      <c r="B135" s="1" t="n">
        <v>43558</v>
      </c>
      <c r="C135" s="1" t="n">
        <v>45762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18455-2019</t>
        </is>
      </c>
      <c r="B136" s="1" t="n">
        <v>43559</v>
      </c>
      <c r="C136" s="1" t="n">
        <v>45762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18730-2019</t>
        </is>
      </c>
      <c r="B137" s="1" t="n">
        <v>43560</v>
      </c>
      <c r="C137" s="1" t="n">
        <v>45762</v>
      </c>
      <c r="D137" t="inlineStr">
        <is>
          <t>KALMAR LÄN</t>
        </is>
      </c>
      <c r="E137" t="inlineStr">
        <is>
          <t>NYBRO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18727-2019</t>
        </is>
      </c>
      <c r="B138" s="1" t="n">
        <v>43560</v>
      </c>
      <c r="C138" s="1" t="n">
        <v>45762</v>
      </c>
      <c r="D138" t="inlineStr">
        <is>
          <t>KALMAR LÄN</t>
        </is>
      </c>
      <c r="E138" t="inlineStr">
        <is>
          <t>NYBRO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18603-2019</t>
        </is>
      </c>
      <c r="B139" s="1" t="n">
        <v>43560</v>
      </c>
      <c r="C139" s="1" t="n">
        <v>45762</v>
      </c>
      <c r="D139" t="inlineStr">
        <is>
          <t>KALMAR LÄN</t>
        </is>
      </c>
      <c r="E139" t="inlineStr">
        <is>
          <t>NYBRO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19201-2019</t>
        </is>
      </c>
      <c r="B140" s="1" t="n">
        <v>43564</v>
      </c>
      <c r="C140" s="1" t="n">
        <v>45762</v>
      </c>
      <c r="D140" t="inlineStr">
        <is>
          <t>KALMAR LÄN</t>
        </is>
      </c>
      <c r="E140" t="inlineStr">
        <is>
          <t>NYBRO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19080-2019</t>
        </is>
      </c>
      <c r="B141" s="1" t="n">
        <v>43564</v>
      </c>
      <c r="C141" s="1" t="n">
        <v>45762</v>
      </c>
      <c r="D141" t="inlineStr">
        <is>
          <t>KALMAR LÄN</t>
        </is>
      </c>
      <c r="E141" t="inlineStr">
        <is>
          <t>NYBRO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19209-2019</t>
        </is>
      </c>
      <c r="B142" s="1" t="n">
        <v>43564</v>
      </c>
      <c r="C142" s="1" t="n">
        <v>45762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19242-2019</t>
        </is>
      </c>
      <c r="B143" s="1" t="n">
        <v>43564</v>
      </c>
      <c r="C143" s="1" t="n">
        <v>45762</v>
      </c>
      <c r="D143" t="inlineStr">
        <is>
          <t>KALMAR LÄN</t>
        </is>
      </c>
      <c r="E143" t="inlineStr">
        <is>
          <t>NYBRO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19205-2019</t>
        </is>
      </c>
      <c r="B144" s="1" t="n">
        <v>43564</v>
      </c>
      <c r="C144" s="1" t="n">
        <v>45762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19744-2019</t>
        </is>
      </c>
      <c r="B145" s="1" t="n">
        <v>43567</v>
      </c>
      <c r="C145" s="1" t="n">
        <v>45762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19838-2019</t>
        </is>
      </c>
      <c r="B146" s="1" t="n">
        <v>43567</v>
      </c>
      <c r="C146" s="1" t="n">
        <v>45762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19742-2019</t>
        </is>
      </c>
      <c r="B147" s="1" t="n">
        <v>43567</v>
      </c>
      <c r="C147" s="1" t="n">
        <v>45762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19743-2019</t>
        </is>
      </c>
      <c r="B148" s="1" t="n">
        <v>43567</v>
      </c>
      <c r="C148" s="1" t="n">
        <v>45762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20287-2019</t>
        </is>
      </c>
      <c r="B149" s="1" t="n">
        <v>43567</v>
      </c>
      <c r="C149" s="1" t="n">
        <v>45762</v>
      </c>
      <c r="D149" t="inlineStr">
        <is>
          <t>KALMAR LÄN</t>
        </is>
      </c>
      <c r="E149" t="inlineStr">
        <is>
          <t>NYBRO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19837-2019</t>
        </is>
      </c>
      <c r="B150" s="1" t="n">
        <v>43567</v>
      </c>
      <c r="C150" s="1" t="n">
        <v>45762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19764-2019</t>
        </is>
      </c>
      <c r="B151" s="1" t="n">
        <v>43567</v>
      </c>
      <c r="C151" s="1" t="n">
        <v>45762</v>
      </c>
      <c r="D151" t="inlineStr">
        <is>
          <t>KALMAR LÄN</t>
        </is>
      </c>
      <c r="E151" t="inlineStr">
        <is>
          <t>NYBRO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20060-2019</t>
        </is>
      </c>
      <c r="B152" s="1" t="n">
        <v>43570</v>
      </c>
      <c r="C152" s="1" t="n">
        <v>45762</v>
      </c>
      <c r="D152" t="inlineStr">
        <is>
          <t>KALMAR LÄN</t>
        </is>
      </c>
      <c r="E152" t="inlineStr">
        <is>
          <t>NYBRO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20415-2019</t>
        </is>
      </c>
      <c r="B153" s="1" t="n">
        <v>43571</v>
      </c>
      <c r="C153" s="1" t="n">
        <v>45762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20459-2019</t>
        </is>
      </c>
      <c r="B154" s="1" t="n">
        <v>43571</v>
      </c>
      <c r="C154" s="1" t="n">
        <v>45762</v>
      </c>
      <c r="D154" t="inlineStr">
        <is>
          <t>KALMAR LÄN</t>
        </is>
      </c>
      <c r="E154" t="inlineStr">
        <is>
          <t>NYBRO</t>
        </is>
      </c>
      <c r="G154" t="n">
        <v>45.1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20737-2019</t>
        </is>
      </c>
      <c r="B155" s="1" t="n">
        <v>43573</v>
      </c>
      <c r="C155" s="1" t="n">
        <v>45762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21223-2019</t>
        </is>
      </c>
      <c r="B156" s="1" t="n">
        <v>43579</v>
      </c>
      <c r="C156" s="1" t="n">
        <v>45762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21294-2019</t>
        </is>
      </c>
      <c r="B157" s="1" t="n">
        <v>43579</v>
      </c>
      <c r="C157" s="1" t="n">
        <v>45762</v>
      </c>
      <c r="D157" t="inlineStr">
        <is>
          <t>KALMAR LÄN</t>
        </is>
      </c>
      <c r="E157" t="inlineStr">
        <is>
          <t>NYBRO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21358-2019</t>
        </is>
      </c>
      <c r="B158" s="1" t="n">
        <v>43579</v>
      </c>
      <c r="C158" s="1" t="n">
        <v>45762</v>
      </c>
      <c r="D158" t="inlineStr">
        <is>
          <t>KALMAR LÄN</t>
        </is>
      </c>
      <c r="E158" t="inlineStr">
        <is>
          <t>NYBRO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21311-2019</t>
        </is>
      </c>
      <c r="B159" s="1" t="n">
        <v>43579</v>
      </c>
      <c r="C159" s="1" t="n">
        <v>45762</v>
      </c>
      <c r="D159" t="inlineStr">
        <is>
          <t>KALMAR LÄN</t>
        </is>
      </c>
      <c r="E159" t="inlineStr">
        <is>
          <t>NYBRO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21220-2019</t>
        </is>
      </c>
      <c r="B160" s="1" t="n">
        <v>43579</v>
      </c>
      <c r="C160" s="1" t="n">
        <v>45762</v>
      </c>
      <c r="D160" t="inlineStr">
        <is>
          <t>KALMAR LÄN</t>
        </is>
      </c>
      <c r="E160" t="inlineStr">
        <is>
          <t>NYBRO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21216-2019</t>
        </is>
      </c>
      <c r="B161" s="1" t="n">
        <v>43579</v>
      </c>
      <c r="C161" s="1" t="n">
        <v>45762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21821-2019</t>
        </is>
      </c>
      <c r="B162" s="1" t="n">
        <v>43583</v>
      </c>
      <c r="C162" s="1" t="n">
        <v>45762</v>
      </c>
      <c r="D162" t="inlineStr">
        <is>
          <t>KALMAR LÄN</t>
        </is>
      </c>
      <c r="E162" t="inlineStr">
        <is>
          <t>NYBRO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21822-2019</t>
        </is>
      </c>
      <c r="B163" s="1" t="n">
        <v>43583</v>
      </c>
      <c r="C163" s="1" t="n">
        <v>45762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22362-2019</t>
        </is>
      </c>
      <c r="B164" s="1" t="n">
        <v>43587</v>
      </c>
      <c r="C164" s="1" t="n">
        <v>45762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22492-2019</t>
        </is>
      </c>
      <c r="B165" s="1" t="n">
        <v>43587</v>
      </c>
      <c r="C165" s="1" t="n">
        <v>45762</v>
      </c>
      <c r="D165" t="inlineStr">
        <is>
          <t>KALMAR LÄN</t>
        </is>
      </c>
      <c r="E165" t="inlineStr">
        <is>
          <t>NYBRO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22485-2019</t>
        </is>
      </c>
      <c r="B166" s="1" t="n">
        <v>43587</v>
      </c>
      <c r="C166" s="1" t="n">
        <v>45762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22436-2019</t>
        </is>
      </c>
      <c r="B167" s="1" t="n">
        <v>43587</v>
      </c>
      <c r="C167" s="1" t="n">
        <v>45762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22505-2019</t>
        </is>
      </c>
      <c r="B168" s="1" t="n">
        <v>43587</v>
      </c>
      <c r="C168" s="1" t="n">
        <v>45762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22614-2019</t>
        </is>
      </c>
      <c r="B169" s="1" t="n">
        <v>43587</v>
      </c>
      <c r="C169" s="1" t="n">
        <v>45762</v>
      </c>
      <c r="D169" t="inlineStr">
        <is>
          <t>KALMAR LÄN</t>
        </is>
      </c>
      <c r="E169" t="inlineStr">
        <is>
          <t>NYBRO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22552-2019</t>
        </is>
      </c>
      <c r="B170" s="1" t="n">
        <v>43587</v>
      </c>
      <c r="C170" s="1" t="n">
        <v>45762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22610-2019</t>
        </is>
      </c>
      <c r="B171" s="1" t="n">
        <v>43587</v>
      </c>
      <c r="C171" s="1" t="n">
        <v>45762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22548-2019</t>
        </is>
      </c>
      <c r="B172" s="1" t="n">
        <v>43587</v>
      </c>
      <c r="C172" s="1" t="n">
        <v>45762</v>
      </c>
      <c r="D172" t="inlineStr">
        <is>
          <t>KALMAR LÄN</t>
        </is>
      </c>
      <c r="E172" t="inlineStr">
        <is>
          <t>NYBRO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22618-2019</t>
        </is>
      </c>
      <c r="B173" s="1" t="n">
        <v>43587</v>
      </c>
      <c r="C173" s="1" t="n">
        <v>45762</v>
      </c>
      <c r="D173" t="inlineStr">
        <is>
          <t>KALMAR LÄN</t>
        </is>
      </c>
      <c r="E173" t="inlineStr">
        <is>
          <t>NYBRO</t>
        </is>
      </c>
      <c r="G173" t="n">
        <v>39.8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22509-2019</t>
        </is>
      </c>
      <c r="B174" s="1" t="n">
        <v>43587</v>
      </c>
      <c r="C174" s="1" t="n">
        <v>45762</v>
      </c>
      <c r="D174" t="inlineStr">
        <is>
          <t>KALMAR LÄN</t>
        </is>
      </c>
      <c r="E174" t="inlineStr">
        <is>
          <t>NYBRO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22437-2019</t>
        </is>
      </c>
      <c r="B175" s="1" t="n">
        <v>43587</v>
      </c>
      <c r="C175" s="1" t="n">
        <v>45762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22378-2019</t>
        </is>
      </c>
      <c r="B176" s="1" t="n">
        <v>43587</v>
      </c>
      <c r="C176" s="1" t="n">
        <v>45762</v>
      </c>
      <c r="D176" t="inlineStr">
        <is>
          <t>KALMAR LÄN</t>
        </is>
      </c>
      <c r="E176" t="inlineStr">
        <is>
          <t>NYBRO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22361-2019</t>
        </is>
      </c>
      <c r="B177" s="1" t="n">
        <v>43587</v>
      </c>
      <c r="C177" s="1" t="n">
        <v>45762</v>
      </c>
      <c r="D177" t="inlineStr">
        <is>
          <t>KALMAR LÄN</t>
        </is>
      </c>
      <c r="E177" t="inlineStr">
        <is>
          <t>NYBRO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22355-2019</t>
        </is>
      </c>
      <c r="B178" s="1" t="n">
        <v>43587</v>
      </c>
      <c r="C178" s="1" t="n">
        <v>45762</v>
      </c>
      <c r="D178" t="inlineStr">
        <is>
          <t>KALMAR LÄN</t>
        </is>
      </c>
      <c r="E178" t="inlineStr">
        <is>
          <t>NYBRO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22545-2019</t>
        </is>
      </c>
      <c r="B179" s="1" t="n">
        <v>43587</v>
      </c>
      <c r="C179" s="1" t="n">
        <v>45762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22867-2019</t>
        </is>
      </c>
      <c r="B180" s="1" t="n">
        <v>43591</v>
      </c>
      <c r="C180" s="1" t="n">
        <v>45762</v>
      </c>
      <c r="D180" t="inlineStr">
        <is>
          <t>KALMAR LÄN</t>
        </is>
      </c>
      <c r="E180" t="inlineStr">
        <is>
          <t>NYBRO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22906-2019</t>
        </is>
      </c>
      <c r="B181" s="1" t="n">
        <v>43591</v>
      </c>
      <c r="C181" s="1" t="n">
        <v>45762</v>
      </c>
      <c r="D181" t="inlineStr">
        <is>
          <t>KALMAR LÄN</t>
        </is>
      </c>
      <c r="E181" t="inlineStr">
        <is>
          <t>NYBRO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22932-2019</t>
        </is>
      </c>
      <c r="B182" s="1" t="n">
        <v>43591</v>
      </c>
      <c r="C182" s="1" t="n">
        <v>45762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23000-2019</t>
        </is>
      </c>
      <c r="B183" s="1" t="n">
        <v>43591</v>
      </c>
      <c r="C183" s="1" t="n">
        <v>45762</v>
      </c>
      <c r="D183" t="inlineStr">
        <is>
          <t>KALMAR LÄN</t>
        </is>
      </c>
      <c r="E183" t="inlineStr">
        <is>
          <t>NYBRO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22994-2019</t>
        </is>
      </c>
      <c r="B184" s="1" t="n">
        <v>43591</v>
      </c>
      <c r="C184" s="1" t="n">
        <v>45762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22998-2019</t>
        </is>
      </c>
      <c r="B185" s="1" t="n">
        <v>43591</v>
      </c>
      <c r="C185" s="1" t="n">
        <v>45762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23635-2019</t>
        </is>
      </c>
      <c r="B186" s="1" t="n">
        <v>43594</v>
      </c>
      <c r="C186" s="1" t="n">
        <v>45762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23633-2019</t>
        </is>
      </c>
      <c r="B187" s="1" t="n">
        <v>43594</v>
      </c>
      <c r="C187" s="1" t="n">
        <v>45762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24407-2019</t>
        </is>
      </c>
      <c r="B188" s="1" t="n">
        <v>43598</v>
      </c>
      <c r="C188" s="1" t="n">
        <v>45762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24514-2019</t>
        </is>
      </c>
      <c r="B189" s="1" t="n">
        <v>43600</v>
      </c>
      <c r="C189" s="1" t="n">
        <v>45762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24520-2019</t>
        </is>
      </c>
      <c r="B190" s="1" t="n">
        <v>43600</v>
      </c>
      <c r="C190" s="1" t="n">
        <v>45762</v>
      </c>
      <c r="D190" t="inlineStr">
        <is>
          <t>KALMAR LÄN</t>
        </is>
      </c>
      <c r="E190" t="inlineStr">
        <is>
          <t>NYBRO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24656-2019</t>
        </is>
      </c>
      <c r="B191" s="1" t="n">
        <v>43601</v>
      </c>
      <c r="C191" s="1" t="n">
        <v>45762</v>
      </c>
      <c r="D191" t="inlineStr">
        <is>
          <t>KALMAR LÄN</t>
        </is>
      </c>
      <c r="E191" t="inlineStr">
        <is>
          <t>NYBRO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24605-2019</t>
        </is>
      </c>
      <c r="B192" s="1" t="n">
        <v>43601</v>
      </c>
      <c r="C192" s="1" t="n">
        <v>45762</v>
      </c>
      <c r="D192" t="inlineStr">
        <is>
          <t>KALMAR LÄN</t>
        </is>
      </c>
      <c r="E192" t="inlineStr">
        <is>
          <t>NYBRO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24659-2019</t>
        </is>
      </c>
      <c r="B193" s="1" t="n">
        <v>43601</v>
      </c>
      <c r="C193" s="1" t="n">
        <v>45762</v>
      </c>
      <c r="D193" t="inlineStr">
        <is>
          <t>KALMAR LÄN</t>
        </is>
      </c>
      <c r="E193" t="inlineStr">
        <is>
          <t>NYBRO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25289-2019</t>
        </is>
      </c>
      <c r="B194" s="1" t="n">
        <v>43605</v>
      </c>
      <c r="C194" s="1" t="n">
        <v>45762</v>
      </c>
      <c r="D194" t="inlineStr">
        <is>
          <t>KALMAR LÄN</t>
        </is>
      </c>
      <c r="E194" t="inlineStr">
        <is>
          <t>NYBRO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25673-2019</t>
        </is>
      </c>
      <c r="B195" s="1" t="n">
        <v>43607</v>
      </c>
      <c r="C195" s="1" t="n">
        <v>45762</v>
      </c>
      <c r="D195" t="inlineStr">
        <is>
          <t>KALMAR LÄN</t>
        </is>
      </c>
      <c r="E195" t="inlineStr">
        <is>
          <t>NYBRO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25689-2019</t>
        </is>
      </c>
      <c r="B196" s="1" t="n">
        <v>43607</v>
      </c>
      <c r="C196" s="1" t="n">
        <v>45762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25701-2019</t>
        </is>
      </c>
      <c r="B197" s="1" t="n">
        <v>43607</v>
      </c>
      <c r="C197" s="1" t="n">
        <v>45762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25753-2019</t>
        </is>
      </c>
      <c r="B198" s="1" t="n">
        <v>43608</v>
      </c>
      <c r="C198" s="1" t="n">
        <v>45762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26409-2019</t>
        </is>
      </c>
      <c r="B199" s="1" t="n">
        <v>43612</v>
      </c>
      <c r="C199" s="1" t="n">
        <v>45762</v>
      </c>
      <c r="D199" t="inlineStr">
        <is>
          <t>KALMAR LÄN</t>
        </is>
      </c>
      <c r="E199" t="inlineStr">
        <is>
          <t>NYBRO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26359-2019</t>
        </is>
      </c>
      <c r="B200" s="1" t="n">
        <v>43612</v>
      </c>
      <c r="C200" s="1" t="n">
        <v>45762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26793-2019</t>
        </is>
      </c>
      <c r="B201" s="1" t="n">
        <v>43613</v>
      </c>
      <c r="C201" s="1" t="n">
        <v>45762</v>
      </c>
      <c r="D201" t="inlineStr">
        <is>
          <t>KALMAR LÄN</t>
        </is>
      </c>
      <c r="E201" t="inlineStr">
        <is>
          <t>NYBRO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27630-2019</t>
        </is>
      </c>
      <c r="B202" s="1" t="n">
        <v>43619</v>
      </c>
      <c r="C202" s="1" t="n">
        <v>45762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27741-2019</t>
        </is>
      </c>
      <c r="B203" s="1" t="n">
        <v>43619</v>
      </c>
      <c r="C203" s="1" t="n">
        <v>45762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27910-2019</t>
        </is>
      </c>
      <c r="B204" s="1" t="n">
        <v>43620</v>
      </c>
      <c r="C204" s="1" t="n">
        <v>45762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29026-2019</t>
        </is>
      </c>
      <c r="B205" s="1" t="n">
        <v>43620</v>
      </c>
      <c r="C205" s="1" t="n">
        <v>45762</v>
      </c>
      <c r="D205" t="inlineStr">
        <is>
          <t>KALMAR LÄN</t>
        </is>
      </c>
      <c r="E205" t="inlineStr">
        <is>
          <t>NYBRO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28070-2019</t>
        </is>
      </c>
      <c r="B206" s="1" t="n">
        <v>43621</v>
      </c>
      <c r="C206" s="1" t="n">
        <v>45762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27989-2019</t>
        </is>
      </c>
      <c r="B207" s="1" t="n">
        <v>43621</v>
      </c>
      <c r="C207" s="1" t="n">
        <v>45762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28438-2019</t>
        </is>
      </c>
      <c r="B208" s="1" t="n">
        <v>43626</v>
      </c>
      <c r="C208" s="1" t="n">
        <v>45762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29056-2019</t>
        </is>
      </c>
      <c r="B209" s="1" t="n">
        <v>43628</v>
      </c>
      <c r="C209" s="1" t="n">
        <v>45762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30195-2019</t>
        </is>
      </c>
      <c r="B210" s="1" t="n">
        <v>43634</v>
      </c>
      <c r="C210" s="1" t="n">
        <v>45762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30466-2019</t>
        </is>
      </c>
      <c r="B211" s="1" t="n">
        <v>43635</v>
      </c>
      <c r="C211" s="1" t="n">
        <v>45762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31104-2019</t>
        </is>
      </c>
      <c r="B212" s="1" t="n">
        <v>43640</v>
      </c>
      <c r="C212" s="1" t="n">
        <v>45762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31118-2019</t>
        </is>
      </c>
      <c r="B213" s="1" t="n">
        <v>43640</v>
      </c>
      <c r="C213" s="1" t="n">
        <v>45762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31401-2019</t>
        </is>
      </c>
      <c r="B214" s="1" t="n">
        <v>43641</v>
      </c>
      <c r="C214" s="1" t="n">
        <v>45762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31802-2019</t>
        </is>
      </c>
      <c r="B215" s="1" t="n">
        <v>43641</v>
      </c>
      <c r="C215" s="1" t="n">
        <v>45762</v>
      </c>
      <c r="D215" t="inlineStr">
        <is>
          <t>KALMAR LÄN</t>
        </is>
      </c>
      <c r="E215" t="inlineStr">
        <is>
          <t>NYBRO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32122-2019</t>
        </is>
      </c>
      <c r="B216" s="1" t="n">
        <v>43643</v>
      </c>
      <c r="C216" s="1" t="n">
        <v>45762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32152-2019</t>
        </is>
      </c>
      <c r="B217" s="1" t="n">
        <v>43643</v>
      </c>
      <c r="C217" s="1" t="n">
        <v>45762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32771-2019</t>
        </is>
      </c>
      <c r="B218" s="1" t="n">
        <v>43648</v>
      </c>
      <c r="C218" s="1" t="n">
        <v>45762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33162-2019</t>
        </is>
      </c>
      <c r="B219" s="1" t="n">
        <v>43649</v>
      </c>
      <c r="C219" s="1" t="n">
        <v>45762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33126-2019</t>
        </is>
      </c>
      <c r="B220" s="1" t="n">
        <v>43649</v>
      </c>
      <c r="C220" s="1" t="n">
        <v>45762</v>
      </c>
      <c r="D220" t="inlineStr">
        <is>
          <t>KALMAR LÄN</t>
        </is>
      </c>
      <c r="E220" t="inlineStr">
        <is>
          <t>NYBRO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33145-2019</t>
        </is>
      </c>
      <c r="B221" s="1" t="n">
        <v>43649</v>
      </c>
      <c r="C221" s="1" t="n">
        <v>45762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33435-2019</t>
        </is>
      </c>
      <c r="B222" s="1" t="n">
        <v>43650</v>
      </c>
      <c r="C222" s="1" t="n">
        <v>45762</v>
      </c>
      <c r="D222" t="inlineStr">
        <is>
          <t>KALMAR LÄN</t>
        </is>
      </c>
      <c r="E222" t="inlineStr">
        <is>
          <t>NYBRO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35231-2019</t>
        </is>
      </c>
      <c r="B223" s="1" t="n">
        <v>43662</v>
      </c>
      <c r="C223" s="1" t="n">
        <v>45762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35214-2019</t>
        </is>
      </c>
      <c r="B224" s="1" t="n">
        <v>43662</v>
      </c>
      <c r="C224" s="1" t="n">
        <v>45762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36053-2019</t>
        </is>
      </c>
      <c r="B225" s="1" t="n">
        <v>43668</v>
      </c>
      <c r="C225" s="1" t="n">
        <v>45762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36593-2019</t>
        </is>
      </c>
      <c r="B226" s="1" t="n">
        <v>43669</v>
      </c>
      <c r="C226" s="1" t="n">
        <v>45762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36260-2019</t>
        </is>
      </c>
      <c r="B227" s="1" t="n">
        <v>43669</v>
      </c>
      <c r="C227" s="1" t="n">
        <v>45762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36791-2019</t>
        </is>
      </c>
      <c r="B228" s="1" t="n">
        <v>43672</v>
      </c>
      <c r="C228" s="1" t="n">
        <v>45762</v>
      </c>
      <c r="D228" t="inlineStr">
        <is>
          <t>KALMAR LÄN</t>
        </is>
      </c>
      <c r="E228" t="inlineStr">
        <is>
          <t>NYBRO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36967-2019</t>
        </is>
      </c>
      <c r="B229" s="1" t="n">
        <v>43676</v>
      </c>
      <c r="C229" s="1" t="n">
        <v>45762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37303-2019</t>
        </is>
      </c>
      <c r="B230" s="1" t="n">
        <v>43678</v>
      </c>
      <c r="C230" s="1" t="n">
        <v>45762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37411-2019</t>
        </is>
      </c>
      <c r="B231" s="1" t="n">
        <v>43678</v>
      </c>
      <c r="C231" s="1" t="n">
        <v>45762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37418-2019</t>
        </is>
      </c>
      <c r="B232" s="1" t="n">
        <v>43678</v>
      </c>
      <c r="C232" s="1" t="n">
        <v>45762</v>
      </c>
      <c r="D232" t="inlineStr">
        <is>
          <t>KALMAR LÄN</t>
        </is>
      </c>
      <c r="E232" t="inlineStr">
        <is>
          <t>NYBRO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37485-2019</t>
        </is>
      </c>
      <c r="B233" s="1" t="n">
        <v>43678</v>
      </c>
      <c r="C233" s="1" t="n">
        <v>45762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37810-2019</t>
        </is>
      </c>
      <c r="B234" s="1" t="n">
        <v>43682</v>
      </c>
      <c r="C234" s="1" t="n">
        <v>45762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37771-2019</t>
        </is>
      </c>
      <c r="B235" s="1" t="n">
        <v>43682</v>
      </c>
      <c r="C235" s="1" t="n">
        <v>45762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37968-2019</t>
        </is>
      </c>
      <c r="B236" s="1" t="n">
        <v>43683</v>
      </c>
      <c r="C236" s="1" t="n">
        <v>45762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37898-2019</t>
        </is>
      </c>
      <c r="B237" s="1" t="n">
        <v>43683</v>
      </c>
      <c r="C237" s="1" t="n">
        <v>45762</v>
      </c>
      <c r="D237" t="inlineStr">
        <is>
          <t>KALMAR LÄN</t>
        </is>
      </c>
      <c r="E237" t="inlineStr">
        <is>
          <t>NYBRO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37900-2019</t>
        </is>
      </c>
      <c r="B238" s="1" t="n">
        <v>43683</v>
      </c>
      <c r="C238" s="1" t="n">
        <v>45762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38367-2019</t>
        </is>
      </c>
      <c r="B239" s="1" t="n">
        <v>43683</v>
      </c>
      <c r="C239" s="1" t="n">
        <v>45762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37899-2019</t>
        </is>
      </c>
      <c r="B240" s="1" t="n">
        <v>43683</v>
      </c>
      <c r="C240" s="1" t="n">
        <v>45762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38307-2019</t>
        </is>
      </c>
      <c r="B241" s="1" t="n">
        <v>43684</v>
      </c>
      <c r="C241" s="1" t="n">
        <v>45762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38588-2019</t>
        </is>
      </c>
      <c r="B242" s="1" t="n">
        <v>43686</v>
      </c>
      <c r="C242" s="1" t="n">
        <v>45762</v>
      </c>
      <c r="D242" t="inlineStr">
        <is>
          <t>KALMAR LÄN</t>
        </is>
      </c>
      <c r="E242" t="inlineStr">
        <is>
          <t>NYBRO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38590-2019</t>
        </is>
      </c>
      <c r="B243" s="1" t="n">
        <v>43686</v>
      </c>
      <c r="C243" s="1" t="n">
        <v>45762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38804-2019</t>
        </is>
      </c>
      <c r="B244" s="1" t="n">
        <v>43688</v>
      </c>
      <c r="C244" s="1" t="n">
        <v>45762</v>
      </c>
      <c r="D244" t="inlineStr">
        <is>
          <t>KALMAR LÄN</t>
        </is>
      </c>
      <c r="E244" t="inlineStr">
        <is>
          <t>NYBRO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39149-2019</t>
        </is>
      </c>
      <c r="B245" s="1" t="n">
        <v>43690</v>
      </c>
      <c r="C245" s="1" t="n">
        <v>45762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39364-2019</t>
        </is>
      </c>
      <c r="B246" s="1" t="n">
        <v>43690</v>
      </c>
      <c r="C246" s="1" t="n">
        <v>45762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39357-2019</t>
        </is>
      </c>
      <c r="B247" s="1" t="n">
        <v>43690</v>
      </c>
      <c r="C247" s="1" t="n">
        <v>45762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39423-2019</t>
        </is>
      </c>
      <c r="B248" s="1" t="n">
        <v>43691</v>
      </c>
      <c r="C248" s="1" t="n">
        <v>45762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39426-2019</t>
        </is>
      </c>
      <c r="B249" s="1" t="n">
        <v>43691</v>
      </c>
      <c r="C249" s="1" t="n">
        <v>45762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39693-2019</t>
        </is>
      </c>
      <c r="B250" s="1" t="n">
        <v>43691</v>
      </c>
      <c r="C250" s="1" t="n">
        <v>45762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39699-2019</t>
        </is>
      </c>
      <c r="B251" s="1" t="n">
        <v>43691</v>
      </c>
      <c r="C251" s="1" t="n">
        <v>45762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40872-2019</t>
        </is>
      </c>
      <c r="B252" s="1" t="n">
        <v>43693</v>
      </c>
      <c r="C252" s="1" t="n">
        <v>45762</v>
      </c>
      <c r="D252" t="inlineStr">
        <is>
          <t>KALMAR LÄN</t>
        </is>
      </c>
      <c r="E252" t="inlineStr">
        <is>
          <t>NYBRO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40132-2019</t>
        </is>
      </c>
      <c r="B253" s="1" t="n">
        <v>43693</v>
      </c>
      <c r="C253" s="1" t="n">
        <v>45762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41076-2019</t>
        </is>
      </c>
      <c r="B254" s="1" t="n">
        <v>43698</v>
      </c>
      <c r="C254" s="1" t="n">
        <v>45762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41175-2019</t>
        </is>
      </c>
      <c r="B255" s="1" t="n">
        <v>43698</v>
      </c>
      <c r="C255" s="1" t="n">
        <v>45762</v>
      </c>
      <c r="D255" t="inlineStr">
        <is>
          <t>KALMAR LÄN</t>
        </is>
      </c>
      <c r="E255" t="inlineStr">
        <is>
          <t>NYBRO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41053-2019</t>
        </is>
      </c>
      <c r="B256" s="1" t="n">
        <v>43698</v>
      </c>
      <c r="C256" s="1" t="n">
        <v>45762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42262-2019</t>
        </is>
      </c>
      <c r="B257" s="1" t="n">
        <v>43699</v>
      </c>
      <c r="C257" s="1" t="n">
        <v>45762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42127-2019</t>
        </is>
      </c>
      <c r="B258" s="1" t="n">
        <v>43703</v>
      </c>
      <c r="C258" s="1" t="n">
        <v>45762</v>
      </c>
      <c r="D258" t="inlineStr">
        <is>
          <t>KALMAR LÄN</t>
        </is>
      </c>
      <c r="E258" t="inlineStr">
        <is>
          <t>NYBRO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42545-2019</t>
        </is>
      </c>
      <c r="B259" s="1" t="n">
        <v>43704</v>
      </c>
      <c r="C259" s="1" t="n">
        <v>45762</v>
      </c>
      <c r="D259" t="inlineStr">
        <is>
          <t>KALMAR LÄN</t>
        </is>
      </c>
      <c r="E259" t="inlineStr">
        <is>
          <t>NYBRO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42613-2019</t>
        </is>
      </c>
      <c r="B260" s="1" t="n">
        <v>43704</v>
      </c>
      <c r="C260" s="1" t="n">
        <v>45762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42800-2019</t>
        </is>
      </c>
      <c r="B261" s="1" t="n">
        <v>43705</v>
      </c>
      <c r="C261" s="1" t="n">
        <v>45762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43165-2019</t>
        </is>
      </c>
      <c r="B262" s="1" t="n">
        <v>43705</v>
      </c>
      <c r="C262" s="1" t="n">
        <v>45762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44057-2019</t>
        </is>
      </c>
      <c r="B263" s="1" t="n">
        <v>43705</v>
      </c>
      <c r="C263" s="1" t="n">
        <v>45762</v>
      </c>
      <c r="D263" t="inlineStr">
        <is>
          <t>KALMAR LÄN</t>
        </is>
      </c>
      <c r="E263" t="inlineStr">
        <is>
          <t>NYBRO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44465-2019</t>
        </is>
      </c>
      <c r="B264" s="1" t="n">
        <v>43706</v>
      </c>
      <c r="C264" s="1" t="n">
        <v>45762</v>
      </c>
      <c r="D264" t="inlineStr">
        <is>
          <t>KALMAR LÄN</t>
        </is>
      </c>
      <c r="E264" t="inlineStr">
        <is>
          <t>NYBRO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43983-2019</t>
        </is>
      </c>
      <c r="B265" s="1" t="n">
        <v>43709</v>
      </c>
      <c r="C265" s="1" t="n">
        <v>45762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45312-2019</t>
        </is>
      </c>
      <c r="B266" s="1" t="n">
        <v>43710</v>
      </c>
      <c r="C266" s="1" t="n">
        <v>45762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45381-2019</t>
        </is>
      </c>
      <c r="B267" s="1" t="n">
        <v>43710</v>
      </c>
      <c r="C267" s="1" t="n">
        <v>45762</v>
      </c>
      <c r="D267" t="inlineStr">
        <is>
          <t>KALMAR LÄN</t>
        </is>
      </c>
      <c r="E267" t="inlineStr">
        <is>
          <t>NYBRO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45011-2019</t>
        </is>
      </c>
      <c r="B268" s="1" t="n">
        <v>43713</v>
      </c>
      <c r="C268" s="1" t="n">
        <v>45762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45230-2019</t>
        </is>
      </c>
      <c r="B269" s="1" t="n">
        <v>43713</v>
      </c>
      <c r="C269" s="1" t="n">
        <v>45762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45232-2019</t>
        </is>
      </c>
      <c r="B270" s="1" t="n">
        <v>43713</v>
      </c>
      <c r="C270" s="1" t="n">
        <v>45762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46190-2019</t>
        </is>
      </c>
      <c r="B271" s="1" t="n">
        <v>43714</v>
      </c>
      <c r="C271" s="1" t="n">
        <v>45762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45727-2019</t>
        </is>
      </c>
      <c r="B272" s="1" t="n">
        <v>43717</v>
      </c>
      <c r="C272" s="1" t="n">
        <v>45762</v>
      </c>
      <c r="D272" t="inlineStr">
        <is>
          <t>KALMAR LÄN</t>
        </is>
      </c>
      <c r="E272" t="inlineStr">
        <is>
          <t>NYBRO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46557-2019</t>
        </is>
      </c>
      <c r="B273" s="1" t="n">
        <v>43717</v>
      </c>
      <c r="C273" s="1" t="n">
        <v>45762</v>
      </c>
      <c r="D273" t="inlineStr">
        <is>
          <t>KALMAR LÄN</t>
        </is>
      </c>
      <c r="E273" t="inlineStr">
        <is>
          <t>NYBRO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46993-2019</t>
        </is>
      </c>
      <c r="B274" s="1" t="n">
        <v>43717</v>
      </c>
      <c r="C274" s="1" t="n">
        <v>45762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46040-2019</t>
        </is>
      </c>
      <c r="B275" s="1" t="n">
        <v>43718</v>
      </c>
      <c r="C275" s="1" t="n">
        <v>45762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46061-2019</t>
        </is>
      </c>
      <c r="B276" s="1" t="n">
        <v>43718</v>
      </c>
      <c r="C276" s="1" t="n">
        <v>45762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46058-2019</t>
        </is>
      </c>
      <c r="B277" s="1" t="n">
        <v>43718</v>
      </c>
      <c r="C277" s="1" t="n">
        <v>45762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46815-2019</t>
        </is>
      </c>
      <c r="B278" s="1" t="n">
        <v>43719</v>
      </c>
      <c r="C278" s="1" t="n">
        <v>45762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47246-2019</t>
        </is>
      </c>
      <c r="B279" s="1" t="n">
        <v>43721</v>
      </c>
      <c r="C279" s="1" t="n">
        <v>45762</v>
      </c>
      <c r="D279" t="inlineStr">
        <is>
          <t>KALMAR LÄN</t>
        </is>
      </c>
      <c r="E279" t="inlineStr">
        <is>
          <t>NYBRO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47243-2019</t>
        </is>
      </c>
      <c r="B280" s="1" t="n">
        <v>43721</v>
      </c>
      <c r="C280" s="1" t="n">
        <v>45762</v>
      </c>
      <c r="D280" t="inlineStr">
        <is>
          <t>KALMAR LÄN</t>
        </is>
      </c>
      <c r="E280" t="inlineStr">
        <is>
          <t>NYBRO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48068-2019</t>
        </is>
      </c>
      <c r="B281" s="1" t="n">
        <v>43725</v>
      </c>
      <c r="C281" s="1" t="n">
        <v>45762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48750-2019</t>
        </is>
      </c>
      <c r="B282" s="1" t="n">
        <v>43727</v>
      </c>
      <c r="C282" s="1" t="n">
        <v>45762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49389-2019</t>
        </is>
      </c>
      <c r="B283" s="1" t="n">
        <v>43732</v>
      </c>
      <c r="C283" s="1" t="n">
        <v>45762</v>
      </c>
      <c r="D283" t="inlineStr">
        <is>
          <t>KALMAR LÄN</t>
        </is>
      </c>
      <c r="E283" t="inlineStr">
        <is>
          <t>NYBRO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49575-2019</t>
        </is>
      </c>
      <c r="B284" s="1" t="n">
        <v>43732</v>
      </c>
      <c r="C284" s="1" t="n">
        <v>45762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49883-2019</t>
        </is>
      </c>
      <c r="B285" s="1" t="n">
        <v>43733</v>
      </c>
      <c r="C285" s="1" t="n">
        <v>45762</v>
      </c>
      <c r="D285" t="inlineStr">
        <is>
          <t>KALMAR LÄN</t>
        </is>
      </c>
      <c r="E285" t="inlineStr">
        <is>
          <t>NYBRO</t>
        </is>
      </c>
      <c r="G285" t="n">
        <v>24.8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51500-2019</t>
        </is>
      </c>
      <c r="B286" s="1" t="n">
        <v>43733</v>
      </c>
      <c r="C286" s="1" t="n">
        <v>45762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49746-2019</t>
        </is>
      </c>
      <c r="B287" s="1" t="n">
        <v>43733</v>
      </c>
      <c r="C287" s="1" t="n">
        <v>45762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49904-2019</t>
        </is>
      </c>
      <c r="B288" s="1" t="n">
        <v>43733</v>
      </c>
      <c r="C288" s="1" t="n">
        <v>45762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50159-2019</t>
        </is>
      </c>
      <c r="B289" s="1" t="n">
        <v>43734</v>
      </c>
      <c r="C289" s="1" t="n">
        <v>45762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50113-2019</t>
        </is>
      </c>
      <c r="B290" s="1" t="n">
        <v>43734</v>
      </c>
      <c r="C290" s="1" t="n">
        <v>45762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52154-2019</t>
        </is>
      </c>
      <c r="B291" s="1" t="n">
        <v>43735</v>
      </c>
      <c r="C291" s="1" t="n">
        <v>45762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51314-2019</t>
        </is>
      </c>
      <c r="B292" s="1" t="n">
        <v>43739</v>
      </c>
      <c r="C292" s="1" t="n">
        <v>45762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51731-2019</t>
        </is>
      </c>
      <c r="B293" s="1" t="n">
        <v>43740</v>
      </c>
      <c r="C293" s="1" t="n">
        <v>45762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51937-2019</t>
        </is>
      </c>
      <c r="B294" s="1" t="n">
        <v>43741</v>
      </c>
      <c r="C294" s="1" t="n">
        <v>45762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52072-2019</t>
        </is>
      </c>
      <c r="B295" s="1" t="n">
        <v>43742</v>
      </c>
      <c r="C295" s="1" t="n">
        <v>45762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52312-2019</t>
        </is>
      </c>
      <c r="B296" s="1" t="n">
        <v>43742</v>
      </c>
      <c r="C296" s="1" t="n">
        <v>45762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52318-2019</t>
        </is>
      </c>
      <c r="B297" s="1" t="n">
        <v>43742</v>
      </c>
      <c r="C297" s="1" t="n">
        <v>45762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52883-2019</t>
        </is>
      </c>
      <c r="B298" s="1" t="n">
        <v>43746</v>
      </c>
      <c r="C298" s="1" t="n">
        <v>45762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52880-2019</t>
        </is>
      </c>
      <c r="B299" s="1" t="n">
        <v>43746</v>
      </c>
      <c r="C299" s="1" t="n">
        <v>45762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53153-2019</t>
        </is>
      </c>
      <c r="B300" s="1" t="n">
        <v>43747</v>
      </c>
      <c r="C300" s="1" t="n">
        <v>45762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53037-2019</t>
        </is>
      </c>
      <c r="B301" s="1" t="n">
        <v>43747</v>
      </c>
      <c r="C301" s="1" t="n">
        <v>45762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53432-2019</t>
        </is>
      </c>
      <c r="B302" s="1" t="n">
        <v>43748</v>
      </c>
      <c r="C302" s="1" t="n">
        <v>45762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55596-2019</t>
        </is>
      </c>
      <c r="B303" s="1" t="n">
        <v>43759</v>
      </c>
      <c r="C303" s="1" t="n">
        <v>45762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55565-2019</t>
        </is>
      </c>
      <c r="B304" s="1" t="n">
        <v>43760</v>
      </c>
      <c r="C304" s="1" t="n">
        <v>45762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55842-2019</t>
        </is>
      </c>
      <c r="B305" s="1" t="n">
        <v>43760</v>
      </c>
      <c r="C305" s="1" t="n">
        <v>45762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57308-2019</t>
        </is>
      </c>
      <c r="B306" s="1" t="n">
        <v>43760</v>
      </c>
      <c r="C306" s="1" t="n">
        <v>45762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56877-2019</t>
        </is>
      </c>
      <c r="B307" s="1" t="n">
        <v>43766</v>
      </c>
      <c r="C307" s="1" t="n">
        <v>45762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56987-2019</t>
        </is>
      </c>
      <c r="B308" s="1" t="n">
        <v>43766</v>
      </c>
      <c r="C308" s="1" t="n">
        <v>45762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58320-2019</t>
        </is>
      </c>
      <c r="B309" s="1" t="n">
        <v>43770</v>
      </c>
      <c r="C309" s="1" t="n">
        <v>45762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58331-2019</t>
        </is>
      </c>
      <c r="B310" s="1" t="n">
        <v>43770</v>
      </c>
      <c r="C310" s="1" t="n">
        <v>45762</v>
      </c>
      <c r="D310" t="inlineStr">
        <is>
          <t>KALMAR LÄN</t>
        </is>
      </c>
      <c r="E310" t="inlineStr">
        <is>
          <t>NYBRO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58382-2019</t>
        </is>
      </c>
      <c r="B311" s="1" t="n">
        <v>43771</v>
      </c>
      <c r="C311" s="1" t="n">
        <v>45762</v>
      </c>
      <c r="D311" t="inlineStr">
        <is>
          <t>KALMAR LÄN</t>
        </is>
      </c>
      <c r="E311" t="inlineStr">
        <is>
          <t>NYBRO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58380-2019</t>
        </is>
      </c>
      <c r="B312" s="1" t="n">
        <v>43771</v>
      </c>
      <c r="C312" s="1" t="n">
        <v>45762</v>
      </c>
      <c r="D312" t="inlineStr">
        <is>
          <t>KALMAR LÄN</t>
        </is>
      </c>
      <c r="E312" t="inlineStr">
        <is>
          <t>NYBRO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58480-2019</t>
        </is>
      </c>
      <c r="B313" s="1" t="n">
        <v>43773</v>
      </c>
      <c r="C313" s="1" t="n">
        <v>45762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58856-2019</t>
        </is>
      </c>
      <c r="B314" s="1" t="n">
        <v>43774</v>
      </c>
      <c r="C314" s="1" t="n">
        <v>45762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59113-2019</t>
        </is>
      </c>
      <c r="B315" s="1" t="n">
        <v>43775</v>
      </c>
      <c r="C315" s="1" t="n">
        <v>45762</v>
      </c>
      <c r="D315" t="inlineStr">
        <is>
          <t>KALMAR LÄN</t>
        </is>
      </c>
      <c r="E315" t="inlineStr">
        <is>
          <t>NYBRO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59114-2019</t>
        </is>
      </c>
      <c r="B316" s="1" t="n">
        <v>43775</v>
      </c>
      <c r="C316" s="1" t="n">
        <v>45762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59303-2019</t>
        </is>
      </c>
      <c r="B317" s="1" t="n">
        <v>43775</v>
      </c>
      <c r="C317" s="1" t="n">
        <v>45762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59391-2019</t>
        </is>
      </c>
      <c r="B318" s="1" t="n">
        <v>43775</v>
      </c>
      <c r="C318" s="1" t="n">
        <v>45762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59795-2019</t>
        </is>
      </c>
      <c r="B319" s="1" t="n">
        <v>43777</v>
      </c>
      <c r="C319" s="1" t="n">
        <v>45762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59794-2019</t>
        </is>
      </c>
      <c r="B320" s="1" t="n">
        <v>43777</v>
      </c>
      <c r="C320" s="1" t="n">
        <v>45762</v>
      </c>
      <c r="D320" t="inlineStr">
        <is>
          <t>KALMAR LÄN</t>
        </is>
      </c>
      <c r="E320" t="inlineStr">
        <is>
          <t>NYBRO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60311-2019</t>
        </is>
      </c>
      <c r="B321" s="1" t="n">
        <v>43780</v>
      </c>
      <c r="C321" s="1" t="n">
        <v>45762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60439-2019</t>
        </is>
      </c>
      <c r="B322" s="1" t="n">
        <v>43780</v>
      </c>
      <c r="C322" s="1" t="n">
        <v>45762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60451-2019</t>
        </is>
      </c>
      <c r="B323" s="1" t="n">
        <v>43780</v>
      </c>
      <c r="C323" s="1" t="n">
        <v>45762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60851-2019</t>
        </is>
      </c>
      <c r="B324" s="1" t="n">
        <v>43781</v>
      </c>
      <c r="C324" s="1" t="n">
        <v>45762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60794-2019</t>
        </is>
      </c>
      <c r="B325" s="1" t="n">
        <v>43781</v>
      </c>
      <c r="C325" s="1" t="n">
        <v>45762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61061-2019</t>
        </is>
      </c>
      <c r="B326" s="1" t="n">
        <v>43782</v>
      </c>
      <c r="C326" s="1" t="n">
        <v>45762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62074-2019</t>
        </is>
      </c>
      <c r="B327" s="1" t="n">
        <v>43782</v>
      </c>
      <c r="C327" s="1" t="n">
        <v>45762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61704-2019</t>
        </is>
      </c>
      <c r="B328" s="1" t="n">
        <v>43784</v>
      </c>
      <c r="C328" s="1" t="n">
        <v>45762</v>
      </c>
      <c r="D328" t="inlineStr">
        <is>
          <t>KALMAR LÄN</t>
        </is>
      </c>
      <c r="E328" t="inlineStr">
        <is>
          <t>NYBRO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61715-2019</t>
        </is>
      </c>
      <c r="B329" s="1" t="n">
        <v>43784</v>
      </c>
      <c r="C329" s="1" t="n">
        <v>45762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61768-2019</t>
        </is>
      </c>
      <c r="B330" s="1" t="n">
        <v>43784</v>
      </c>
      <c r="C330" s="1" t="n">
        <v>45762</v>
      </c>
      <c r="D330" t="inlineStr">
        <is>
          <t>KALMAR LÄN</t>
        </is>
      </c>
      <c r="E330" t="inlineStr">
        <is>
          <t>NYBRO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62030-2019</t>
        </is>
      </c>
      <c r="B331" s="1" t="n">
        <v>43787</v>
      </c>
      <c r="C331" s="1" t="n">
        <v>45762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62831-2019</t>
        </is>
      </c>
      <c r="B332" s="1" t="n">
        <v>43790</v>
      </c>
      <c r="C332" s="1" t="n">
        <v>45762</v>
      </c>
      <c r="D332" t="inlineStr">
        <is>
          <t>KALMAR LÄN</t>
        </is>
      </c>
      <c r="E332" t="inlineStr">
        <is>
          <t>NYBRO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64331-2019</t>
        </is>
      </c>
      <c r="B333" s="1" t="n">
        <v>43791</v>
      </c>
      <c r="C333" s="1" t="n">
        <v>45762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63982-2019</t>
        </is>
      </c>
      <c r="B334" s="1" t="n">
        <v>43796</v>
      </c>
      <c r="C334" s="1" t="n">
        <v>45762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64110-2019</t>
        </is>
      </c>
      <c r="B335" s="1" t="n">
        <v>43796</v>
      </c>
      <c r="C335" s="1" t="n">
        <v>45762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64004-2019</t>
        </is>
      </c>
      <c r="B336" s="1" t="n">
        <v>43796</v>
      </c>
      <c r="C336" s="1" t="n">
        <v>45762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64007-2019</t>
        </is>
      </c>
      <c r="B337" s="1" t="n">
        <v>43796</v>
      </c>
      <c r="C337" s="1" t="n">
        <v>45762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64243-2019</t>
        </is>
      </c>
      <c r="B338" s="1" t="n">
        <v>43797</v>
      </c>
      <c r="C338" s="1" t="n">
        <v>45762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64367-2019</t>
        </is>
      </c>
      <c r="B339" s="1" t="n">
        <v>43797</v>
      </c>
      <c r="C339" s="1" t="n">
        <v>45762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66836-2019</t>
        </is>
      </c>
      <c r="B340" s="1" t="n">
        <v>43804</v>
      </c>
      <c r="C340" s="1" t="n">
        <v>45762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66612-2019</t>
        </is>
      </c>
      <c r="B341" s="1" t="n">
        <v>43809</v>
      </c>
      <c r="C341" s="1" t="n">
        <v>45762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66683-2019</t>
        </is>
      </c>
      <c r="B342" s="1" t="n">
        <v>43809</v>
      </c>
      <c r="C342" s="1" t="n">
        <v>45762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66961-2019</t>
        </is>
      </c>
      <c r="B343" s="1" t="n">
        <v>43810</v>
      </c>
      <c r="C343" s="1" t="n">
        <v>45762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67519-2019</t>
        </is>
      </c>
      <c r="B344" s="1" t="n">
        <v>43815</v>
      </c>
      <c r="C344" s="1" t="n">
        <v>45762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68803-2019</t>
        </is>
      </c>
      <c r="B345" s="1" t="n">
        <v>43819</v>
      </c>
      <c r="C345" s="1" t="n">
        <v>45762</v>
      </c>
      <c r="D345" t="inlineStr">
        <is>
          <t>KALMAR LÄN</t>
        </is>
      </c>
      <c r="E345" t="inlineStr">
        <is>
          <t>NYBRO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68873-2019</t>
        </is>
      </c>
      <c r="B346" s="1" t="n">
        <v>43821</v>
      </c>
      <c r="C346" s="1" t="n">
        <v>45762</v>
      </c>
      <c r="D346" t="inlineStr">
        <is>
          <t>KALMAR LÄN</t>
        </is>
      </c>
      <c r="E346" t="inlineStr">
        <is>
          <t>NYBRO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53-2020</t>
        </is>
      </c>
      <c r="B347" s="1" t="n">
        <v>43832</v>
      </c>
      <c r="C347" s="1" t="n">
        <v>45762</v>
      </c>
      <c r="D347" t="inlineStr">
        <is>
          <t>KALMAR LÄN</t>
        </is>
      </c>
      <c r="E347" t="inlineStr">
        <is>
          <t>NYBRO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524-2020</t>
        </is>
      </c>
      <c r="B348" s="1" t="n">
        <v>43837</v>
      </c>
      <c r="C348" s="1" t="n">
        <v>45762</v>
      </c>
      <c r="D348" t="inlineStr">
        <is>
          <t>KALMAR LÄN</t>
        </is>
      </c>
      <c r="E348" t="inlineStr">
        <is>
          <t>NYBRO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825-2020</t>
        </is>
      </c>
      <c r="B349" s="1" t="n">
        <v>43839</v>
      </c>
      <c r="C349" s="1" t="n">
        <v>45762</v>
      </c>
      <c r="D349" t="inlineStr">
        <is>
          <t>KALMAR LÄN</t>
        </is>
      </c>
      <c r="E349" t="inlineStr">
        <is>
          <t>NYBRO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1073-2020</t>
        </is>
      </c>
      <c r="B350" s="1" t="n">
        <v>43840</v>
      </c>
      <c r="C350" s="1" t="n">
        <v>45762</v>
      </c>
      <c r="D350" t="inlineStr">
        <is>
          <t>KALMAR LÄN</t>
        </is>
      </c>
      <c r="E350" t="inlineStr">
        <is>
          <t>NYBRO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1072-2020</t>
        </is>
      </c>
      <c r="B351" s="1" t="n">
        <v>43840</v>
      </c>
      <c r="C351" s="1" t="n">
        <v>45762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1292-2020</t>
        </is>
      </c>
      <c r="B352" s="1" t="n">
        <v>43842</v>
      </c>
      <c r="C352" s="1" t="n">
        <v>45762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1342-2020</t>
        </is>
      </c>
      <c r="B353" s="1" t="n">
        <v>43843</v>
      </c>
      <c r="C353" s="1" t="n">
        <v>45762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1488-2020</t>
        </is>
      </c>
      <c r="B354" s="1" t="n">
        <v>43843</v>
      </c>
      <c r="C354" s="1" t="n">
        <v>45762</v>
      </c>
      <c r="D354" t="inlineStr">
        <is>
          <t>KALMAR LÄN</t>
        </is>
      </c>
      <c r="E354" t="inlineStr">
        <is>
          <t>NYBRO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1479-2020</t>
        </is>
      </c>
      <c r="B355" s="1" t="n">
        <v>43843</v>
      </c>
      <c r="C355" s="1" t="n">
        <v>45762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2210-2020</t>
        </is>
      </c>
      <c r="B356" s="1" t="n">
        <v>43846</v>
      </c>
      <c r="C356" s="1" t="n">
        <v>45762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2196-2020</t>
        </is>
      </c>
      <c r="B357" s="1" t="n">
        <v>43846</v>
      </c>
      <c r="C357" s="1" t="n">
        <v>45762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2206-2020</t>
        </is>
      </c>
      <c r="B358" s="1" t="n">
        <v>43846</v>
      </c>
      <c r="C358" s="1" t="n">
        <v>45762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4394-2020</t>
        </is>
      </c>
      <c r="B359" s="1" t="n">
        <v>43847</v>
      </c>
      <c r="C359" s="1" t="n">
        <v>45762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2400-2020</t>
        </is>
      </c>
      <c r="B360" s="1" t="n">
        <v>43847</v>
      </c>
      <c r="C360" s="1" t="n">
        <v>45762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4489-2020</t>
        </is>
      </c>
      <c r="B361" s="1" t="n">
        <v>43850</v>
      </c>
      <c r="C361" s="1" t="n">
        <v>45762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3475-2020</t>
        </is>
      </c>
      <c r="B362" s="1" t="n">
        <v>43852</v>
      </c>
      <c r="C362" s="1" t="n">
        <v>45762</v>
      </c>
      <c r="D362" t="inlineStr">
        <is>
          <t>KALMAR LÄN</t>
        </is>
      </c>
      <c r="E362" t="inlineStr">
        <is>
          <t>NYBRO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3476-2020</t>
        </is>
      </c>
      <c r="B363" s="1" t="n">
        <v>43852</v>
      </c>
      <c r="C363" s="1" t="n">
        <v>45762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3474-2020</t>
        </is>
      </c>
      <c r="B364" s="1" t="n">
        <v>43852</v>
      </c>
      <c r="C364" s="1" t="n">
        <v>45762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3636-2020</t>
        </is>
      </c>
      <c r="B365" s="1" t="n">
        <v>43853</v>
      </c>
      <c r="C365" s="1" t="n">
        <v>45762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3763-2020</t>
        </is>
      </c>
      <c r="B366" s="1" t="n">
        <v>43854</v>
      </c>
      <c r="C366" s="1" t="n">
        <v>45762</v>
      </c>
      <c r="D366" t="inlineStr">
        <is>
          <t>KALMAR LÄN</t>
        </is>
      </c>
      <c r="E366" t="inlineStr">
        <is>
          <t>NYBRO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3761-2020</t>
        </is>
      </c>
      <c r="B367" s="1" t="n">
        <v>43854</v>
      </c>
      <c r="C367" s="1" t="n">
        <v>45762</v>
      </c>
      <c r="D367" t="inlineStr">
        <is>
          <t>KALMAR LÄN</t>
        </is>
      </c>
      <c r="E367" t="inlineStr">
        <is>
          <t>NYBRO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3765-2020</t>
        </is>
      </c>
      <c r="B368" s="1" t="n">
        <v>43854</v>
      </c>
      <c r="C368" s="1" t="n">
        <v>45762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5444-2020</t>
        </is>
      </c>
      <c r="B369" s="1" t="n">
        <v>43859</v>
      </c>
      <c r="C369" s="1" t="n">
        <v>45762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5184-2020</t>
        </is>
      </c>
      <c r="B370" s="1" t="n">
        <v>43860</v>
      </c>
      <c r="C370" s="1" t="n">
        <v>45762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5638-2020</t>
        </is>
      </c>
      <c r="B371" s="1" t="n">
        <v>43860</v>
      </c>
      <c r="C371" s="1" t="n">
        <v>45762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6371-2020</t>
        </is>
      </c>
      <c r="B372" s="1" t="n">
        <v>43865</v>
      </c>
      <c r="C372" s="1" t="n">
        <v>45762</v>
      </c>
      <c r="D372" t="inlineStr">
        <is>
          <t>KALMAR LÄN</t>
        </is>
      </c>
      <c r="E372" t="inlineStr">
        <is>
          <t>NYBRO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6508-2020</t>
        </is>
      </c>
      <c r="B373" s="1" t="n">
        <v>43867</v>
      </c>
      <c r="C373" s="1" t="n">
        <v>45762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7557-2020</t>
        </is>
      </c>
      <c r="B374" s="1" t="n">
        <v>43872</v>
      </c>
      <c r="C374" s="1" t="n">
        <v>45762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8511-2020</t>
        </is>
      </c>
      <c r="B375" s="1" t="n">
        <v>43875</v>
      </c>
      <c r="C375" s="1" t="n">
        <v>45762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8555-2020</t>
        </is>
      </c>
      <c r="B376" s="1" t="n">
        <v>43877</v>
      </c>
      <c r="C376" s="1" t="n">
        <v>45762</v>
      </c>
      <c r="D376" t="inlineStr">
        <is>
          <t>KALMAR LÄN</t>
        </is>
      </c>
      <c r="E376" t="inlineStr">
        <is>
          <t>NYBRO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8675-2020</t>
        </is>
      </c>
      <c r="B377" s="1" t="n">
        <v>43878</v>
      </c>
      <c r="C377" s="1" t="n">
        <v>45762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8645-2020</t>
        </is>
      </c>
      <c r="B378" s="1" t="n">
        <v>43878</v>
      </c>
      <c r="C378" s="1" t="n">
        <v>45762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8673-2020</t>
        </is>
      </c>
      <c r="B379" s="1" t="n">
        <v>43878</v>
      </c>
      <c r="C379" s="1" t="n">
        <v>45762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9023-2020</t>
        </is>
      </c>
      <c r="B380" s="1" t="n">
        <v>43879</v>
      </c>
      <c r="C380" s="1" t="n">
        <v>45762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9283-2020</t>
        </is>
      </c>
      <c r="B381" s="1" t="n">
        <v>43879</v>
      </c>
      <c r="C381" s="1" t="n">
        <v>45762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9410-2020</t>
        </is>
      </c>
      <c r="B382" s="1" t="n">
        <v>43880</v>
      </c>
      <c r="C382" s="1" t="n">
        <v>45762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9434-2020</t>
        </is>
      </c>
      <c r="B383" s="1" t="n">
        <v>43880</v>
      </c>
      <c r="C383" s="1" t="n">
        <v>45762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10619-2020</t>
        </is>
      </c>
      <c r="B384" s="1" t="n">
        <v>43887</v>
      </c>
      <c r="C384" s="1" t="n">
        <v>45762</v>
      </c>
      <c r="D384" t="inlineStr">
        <is>
          <t>KALMAR LÄN</t>
        </is>
      </c>
      <c r="E384" t="inlineStr">
        <is>
          <t>NYBRO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10614-2020</t>
        </is>
      </c>
      <c r="B385" s="1" t="n">
        <v>43887</v>
      </c>
      <c r="C385" s="1" t="n">
        <v>45762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10672-2020</t>
        </is>
      </c>
      <c r="B386" s="1" t="n">
        <v>43888</v>
      </c>
      <c r="C386" s="1" t="n">
        <v>45762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11544-2020</t>
        </is>
      </c>
      <c r="B387" s="1" t="n">
        <v>43893</v>
      </c>
      <c r="C387" s="1" t="n">
        <v>45762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12006-2020</t>
        </is>
      </c>
      <c r="B388" s="1" t="n">
        <v>43894</v>
      </c>
      <c r="C388" s="1" t="n">
        <v>45762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13619-2020</t>
        </is>
      </c>
      <c r="B389" s="1" t="n">
        <v>43896</v>
      </c>
      <c r="C389" s="1" t="n">
        <v>45762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12385-2020</t>
        </is>
      </c>
      <c r="B390" s="1" t="n">
        <v>43896</v>
      </c>
      <c r="C390" s="1" t="n">
        <v>45762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12873-2020</t>
        </is>
      </c>
      <c r="B391" s="1" t="n">
        <v>43899</v>
      </c>
      <c r="C391" s="1" t="n">
        <v>45762</v>
      </c>
      <c r="D391" t="inlineStr">
        <is>
          <t>KALMAR LÄN</t>
        </is>
      </c>
      <c r="E391" t="inlineStr">
        <is>
          <t>NYBRO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15839-2020</t>
        </is>
      </c>
      <c r="B392" s="1" t="n">
        <v>43907</v>
      </c>
      <c r="C392" s="1" t="n">
        <v>45762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14723-2020</t>
        </is>
      </c>
      <c r="B393" s="1" t="n">
        <v>43908</v>
      </c>
      <c r="C393" s="1" t="n">
        <v>45762</v>
      </c>
      <c r="D393" t="inlineStr">
        <is>
          <t>KALMAR LÄN</t>
        </is>
      </c>
      <c r="E393" t="inlineStr">
        <is>
          <t>NYBRO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16805-2020</t>
        </is>
      </c>
      <c r="B394" s="1" t="n">
        <v>43913</v>
      </c>
      <c r="C394" s="1" t="n">
        <v>45762</v>
      </c>
      <c r="D394" t="inlineStr">
        <is>
          <t>KALMAR LÄN</t>
        </is>
      </c>
      <c r="E394" t="inlineStr">
        <is>
          <t>NYBRO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15414-2020</t>
        </is>
      </c>
      <c r="B395" s="1" t="n">
        <v>43914</v>
      </c>
      <c r="C395" s="1" t="n">
        <v>45762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15479-2020</t>
        </is>
      </c>
      <c r="B396" s="1" t="n">
        <v>43914</v>
      </c>
      <c r="C396" s="1" t="n">
        <v>45762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16439-2020</t>
        </is>
      </c>
      <c r="B397" s="1" t="n">
        <v>43914</v>
      </c>
      <c r="C397" s="1" t="n">
        <v>45762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15985-2020</t>
        </is>
      </c>
      <c r="B398" s="1" t="n">
        <v>43914</v>
      </c>
      <c r="C398" s="1" t="n">
        <v>45762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16810-2020</t>
        </is>
      </c>
      <c r="B399" s="1" t="n">
        <v>43914</v>
      </c>
      <c r="C399" s="1" t="n">
        <v>45762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15661-2020</t>
        </is>
      </c>
      <c r="B400" s="1" t="n">
        <v>43915</v>
      </c>
      <c r="C400" s="1" t="n">
        <v>45762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16002-2020</t>
        </is>
      </c>
      <c r="B401" s="1" t="n">
        <v>43916</v>
      </c>
      <c r="C401" s="1" t="n">
        <v>45762</v>
      </c>
      <c r="D401" t="inlineStr">
        <is>
          <t>KALMAR LÄN</t>
        </is>
      </c>
      <c r="E401" t="inlineStr">
        <is>
          <t>NYBRO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15995-2020</t>
        </is>
      </c>
      <c r="B402" s="1" t="n">
        <v>43916</v>
      </c>
      <c r="C402" s="1" t="n">
        <v>45762</v>
      </c>
      <c r="D402" t="inlineStr">
        <is>
          <t>KALMAR LÄN</t>
        </is>
      </c>
      <c r="E402" t="inlineStr">
        <is>
          <t>NYBRO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16168-2020</t>
        </is>
      </c>
      <c r="B403" s="1" t="n">
        <v>43917</v>
      </c>
      <c r="C403" s="1" t="n">
        <v>45762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16331-2020</t>
        </is>
      </c>
      <c r="B404" s="1" t="n">
        <v>43917</v>
      </c>
      <c r="C404" s="1" t="n">
        <v>45762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16422-2020</t>
        </is>
      </c>
      <c r="B405" s="1" t="n">
        <v>43919</v>
      </c>
      <c r="C405" s="1" t="n">
        <v>45762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16565-2020</t>
        </is>
      </c>
      <c r="B406" s="1" t="n">
        <v>43920</v>
      </c>
      <c r="C406" s="1" t="n">
        <v>45762</v>
      </c>
      <c r="D406" t="inlineStr">
        <is>
          <t>KALMAR LÄN</t>
        </is>
      </c>
      <c r="E406" t="inlineStr">
        <is>
          <t>NYBRO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17333-2020</t>
        </is>
      </c>
      <c r="B407" s="1" t="n">
        <v>43922</v>
      </c>
      <c r="C407" s="1" t="n">
        <v>45762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17499-2020</t>
        </is>
      </c>
      <c r="B408" s="1" t="n">
        <v>43923</v>
      </c>
      <c r="C408" s="1" t="n">
        <v>45762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18716-2020</t>
        </is>
      </c>
      <c r="B409" s="1" t="n">
        <v>43930</v>
      </c>
      <c r="C409" s="1" t="n">
        <v>45762</v>
      </c>
      <c r="D409" t="inlineStr">
        <is>
          <t>KALMAR LÄN</t>
        </is>
      </c>
      <c r="E409" t="inlineStr">
        <is>
          <t>NYBRO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19393-2020</t>
        </is>
      </c>
      <c r="B410" s="1" t="n">
        <v>43938</v>
      </c>
      <c r="C410" s="1" t="n">
        <v>45762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19373-2020</t>
        </is>
      </c>
      <c r="B411" s="1" t="n">
        <v>43938</v>
      </c>
      <c r="C411" s="1" t="n">
        <v>45762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19391-2020</t>
        </is>
      </c>
      <c r="B412" s="1" t="n">
        <v>43938</v>
      </c>
      <c r="C412" s="1" t="n">
        <v>45762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19368-2020</t>
        </is>
      </c>
      <c r="B413" s="1" t="n">
        <v>43938</v>
      </c>
      <c r="C413" s="1" t="n">
        <v>45762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20891-2020</t>
        </is>
      </c>
      <c r="B414" s="1" t="n">
        <v>43950</v>
      </c>
      <c r="C414" s="1" t="n">
        <v>45762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21317-2020</t>
        </is>
      </c>
      <c r="B415" s="1" t="n">
        <v>43955</v>
      </c>
      <c r="C415" s="1" t="n">
        <v>45762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21333-2020</t>
        </is>
      </c>
      <c r="B416" s="1" t="n">
        <v>43955</v>
      </c>
      <c r="C416" s="1" t="n">
        <v>45762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21331-2020</t>
        </is>
      </c>
      <c r="B417" s="1" t="n">
        <v>43955</v>
      </c>
      <c r="C417" s="1" t="n">
        <v>45762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21247-2020</t>
        </is>
      </c>
      <c r="B418" s="1" t="n">
        <v>43955</v>
      </c>
      <c r="C418" s="1" t="n">
        <v>45762</v>
      </c>
      <c r="D418" t="inlineStr">
        <is>
          <t>KALMAR LÄN</t>
        </is>
      </c>
      <c r="E418" t="inlineStr">
        <is>
          <t>NYBRO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21457-2020</t>
        </is>
      </c>
      <c r="B419" s="1" t="n">
        <v>43956</v>
      </c>
      <c r="C419" s="1" t="n">
        <v>45762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21657-2020</t>
        </is>
      </c>
      <c r="B420" s="1" t="n">
        <v>43957</v>
      </c>
      <c r="C420" s="1" t="n">
        <v>45762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21692-2020</t>
        </is>
      </c>
      <c r="B421" s="1" t="n">
        <v>43957</v>
      </c>
      <c r="C421" s="1" t="n">
        <v>45762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22306-2020</t>
        </is>
      </c>
      <c r="B422" s="1" t="n">
        <v>43962</v>
      </c>
      <c r="C422" s="1" t="n">
        <v>45762</v>
      </c>
      <c r="D422" t="inlineStr">
        <is>
          <t>KALMAR LÄN</t>
        </is>
      </c>
      <c r="E422" t="inlineStr">
        <is>
          <t>NYBRO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22812-2020</t>
        </is>
      </c>
      <c r="B423" s="1" t="n">
        <v>43964</v>
      </c>
      <c r="C423" s="1" t="n">
        <v>45762</v>
      </c>
      <c r="D423" t="inlineStr">
        <is>
          <t>KALMAR LÄN</t>
        </is>
      </c>
      <c r="E423" t="inlineStr">
        <is>
          <t>NYBRO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23389-2020</t>
        </is>
      </c>
      <c r="B424" s="1" t="n">
        <v>43968</v>
      </c>
      <c r="C424" s="1" t="n">
        <v>45762</v>
      </c>
      <c r="D424" t="inlineStr">
        <is>
          <t>KALMAR LÄN</t>
        </is>
      </c>
      <c r="E424" t="inlineStr">
        <is>
          <t>NYBRO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24005-2020</t>
        </is>
      </c>
      <c r="B425" s="1" t="n">
        <v>43971</v>
      </c>
      <c r="C425" s="1" t="n">
        <v>45762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24189-2020</t>
        </is>
      </c>
      <c r="B426" s="1" t="n">
        <v>43973</v>
      </c>
      <c r="C426" s="1" t="n">
        <v>45762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24169-2020</t>
        </is>
      </c>
      <c r="B427" s="1" t="n">
        <v>43975</v>
      </c>
      <c r="C427" s="1" t="n">
        <v>45762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24168-2020</t>
        </is>
      </c>
      <c r="B428" s="1" t="n">
        <v>43975</v>
      </c>
      <c r="C428" s="1" t="n">
        <v>45762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24170-2020</t>
        </is>
      </c>
      <c r="B429" s="1" t="n">
        <v>43975</v>
      </c>
      <c r="C429" s="1" t="n">
        <v>45762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25130-2020</t>
        </is>
      </c>
      <c r="B430" s="1" t="n">
        <v>43980</v>
      </c>
      <c r="C430" s="1" t="n">
        <v>45762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25943-2020</t>
        </is>
      </c>
      <c r="B431" s="1" t="n">
        <v>43985</v>
      </c>
      <c r="C431" s="1" t="n">
        <v>45762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26503-2020</t>
        </is>
      </c>
      <c r="B432" s="1" t="n">
        <v>43987</v>
      </c>
      <c r="C432" s="1" t="n">
        <v>45762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26552-2020</t>
        </is>
      </c>
      <c r="B433" s="1" t="n">
        <v>43987</v>
      </c>
      <c r="C433" s="1" t="n">
        <v>45762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27210-2020</t>
        </is>
      </c>
      <c r="B434" s="1" t="n">
        <v>43991</v>
      </c>
      <c r="C434" s="1" t="n">
        <v>45762</v>
      </c>
      <c r="D434" t="inlineStr">
        <is>
          <t>KALMAR LÄN</t>
        </is>
      </c>
      <c r="E434" t="inlineStr">
        <is>
          <t>NYBRO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27211-2020</t>
        </is>
      </c>
      <c r="B435" s="1" t="n">
        <v>43991</v>
      </c>
      <c r="C435" s="1" t="n">
        <v>45762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27567-2020</t>
        </is>
      </c>
      <c r="B436" s="1" t="n">
        <v>43993</v>
      </c>
      <c r="C436" s="1" t="n">
        <v>45762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29397-2020</t>
        </is>
      </c>
      <c r="B437" s="1" t="n">
        <v>44004</v>
      </c>
      <c r="C437" s="1" t="n">
        <v>45762</v>
      </c>
      <c r="D437" t="inlineStr">
        <is>
          <t>KALMAR LÄN</t>
        </is>
      </c>
      <c r="E437" t="inlineStr">
        <is>
          <t>NYBRO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29387-2020</t>
        </is>
      </c>
      <c r="B438" s="1" t="n">
        <v>44004</v>
      </c>
      <c r="C438" s="1" t="n">
        <v>45762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29392-2020</t>
        </is>
      </c>
      <c r="B439" s="1" t="n">
        <v>44004</v>
      </c>
      <c r="C439" s="1" t="n">
        <v>45762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29712-2020</t>
        </is>
      </c>
      <c r="B440" s="1" t="n">
        <v>44005</v>
      </c>
      <c r="C440" s="1" t="n">
        <v>45762</v>
      </c>
      <c r="D440" t="inlineStr">
        <is>
          <t>KALMAR LÄN</t>
        </is>
      </c>
      <c r="E440" t="inlineStr">
        <is>
          <t>NYBRO</t>
        </is>
      </c>
      <c r="G440" t="n">
        <v>27.9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29717-2020</t>
        </is>
      </c>
      <c r="B441" s="1" t="n">
        <v>44005</v>
      </c>
      <c r="C441" s="1" t="n">
        <v>45762</v>
      </c>
      <c r="D441" t="inlineStr">
        <is>
          <t>KALMAR LÄN</t>
        </is>
      </c>
      <c r="E441" t="inlineStr">
        <is>
          <t>NYBRO</t>
        </is>
      </c>
      <c r="G441" t="n">
        <v>23.3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30039-2020</t>
        </is>
      </c>
      <c r="B442" s="1" t="n">
        <v>44006</v>
      </c>
      <c r="C442" s="1" t="n">
        <v>45762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30775-2020</t>
        </is>
      </c>
      <c r="B443" s="1" t="n">
        <v>44009</v>
      </c>
      <c r="C443" s="1" t="n">
        <v>45762</v>
      </c>
      <c r="D443" t="inlineStr">
        <is>
          <t>KALMAR LÄN</t>
        </is>
      </c>
      <c r="E443" t="inlineStr">
        <is>
          <t>NYBRO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30774-2020</t>
        </is>
      </c>
      <c r="B444" s="1" t="n">
        <v>44009</v>
      </c>
      <c r="C444" s="1" t="n">
        <v>45762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30773-2020</t>
        </is>
      </c>
      <c r="B445" s="1" t="n">
        <v>44009</v>
      </c>
      <c r="C445" s="1" t="n">
        <v>45762</v>
      </c>
      <c r="D445" t="inlineStr">
        <is>
          <t>KALMAR LÄN</t>
        </is>
      </c>
      <c r="E445" t="inlineStr">
        <is>
          <t>NYBRO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31259-2020</t>
        </is>
      </c>
      <c r="B446" s="1" t="n">
        <v>44012</v>
      </c>
      <c r="C446" s="1" t="n">
        <v>45762</v>
      </c>
      <c r="D446" t="inlineStr">
        <is>
          <t>KALMAR LÄN</t>
        </is>
      </c>
      <c r="E446" t="inlineStr">
        <is>
          <t>NYBRO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31687-2020</t>
        </is>
      </c>
      <c r="B447" s="1" t="n">
        <v>44014</v>
      </c>
      <c r="C447" s="1" t="n">
        <v>45762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32395-2020</t>
        </is>
      </c>
      <c r="B448" s="1" t="n">
        <v>44018</v>
      </c>
      <c r="C448" s="1" t="n">
        <v>45762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32502-2020</t>
        </is>
      </c>
      <c r="B449" s="1" t="n">
        <v>44018</v>
      </c>
      <c r="C449" s="1" t="n">
        <v>45762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32828-2020</t>
        </is>
      </c>
      <c r="B450" s="1" t="n">
        <v>44020</v>
      </c>
      <c r="C450" s="1" t="n">
        <v>45762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33122-2020</t>
        </is>
      </c>
      <c r="B451" s="1" t="n">
        <v>44021</v>
      </c>
      <c r="C451" s="1" t="n">
        <v>45762</v>
      </c>
      <c r="D451" t="inlineStr">
        <is>
          <t>KALMAR LÄN</t>
        </is>
      </c>
      <c r="E451" t="inlineStr">
        <is>
          <t>NYBRO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33121-2020</t>
        </is>
      </c>
      <c r="B452" s="1" t="n">
        <v>44021</v>
      </c>
      <c r="C452" s="1" t="n">
        <v>45762</v>
      </c>
      <c r="D452" t="inlineStr">
        <is>
          <t>KALMAR LÄN</t>
        </is>
      </c>
      <c r="E452" t="inlineStr">
        <is>
          <t>NYBRO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33608-2020</t>
        </is>
      </c>
      <c r="B453" s="1" t="n">
        <v>44025</v>
      </c>
      <c r="C453" s="1" t="n">
        <v>45762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33962-2020</t>
        </is>
      </c>
      <c r="B454" s="1" t="n">
        <v>44026</v>
      </c>
      <c r="C454" s="1" t="n">
        <v>45762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34773-2020</t>
        </is>
      </c>
      <c r="B455" s="1" t="n">
        <v>44035</v>
      </c>
      <c r="C455" s="1" t="n">
        <v>45762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35709-2020</t>
        </is>
      </c>
      <c r="B456" s="1" t="n">
        <v>44046</v>
      </c>
      <c r="C456" s="1" t="n">
        <v>45762</v>
      </c>
      <c r="D456" t="inlineStr">
        <is>
          <t>KALMAR LÄN</t>
        </is>
      </c>
      <c r="E456" t="inlineStr">
        <is>
          <t>NYBRO</t>
        </is>
      </c>
      <c r="F456" t="inlineStr">
        <is>
          <t>Kommuner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36559-2020</t>
        </is>
      </c>
      <c r="B457" s="1" t="n">
        <v>44050</v>
      </c>
      <c r="C457" s="1" t="n">
        <v>45762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36558-2020</t>
        </is>
      </c>
      <c r="B458" s="1" t="n">
        <v>44050</v>
      </c>
      <c r="C458" s="1" t="n">
        <v>45762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36745-2020</t>
        </is>
      </c>
      <c r="B459" s="1" t="n">
        <v>44053</v>
      </c>
      <c r="C459" s="1" t="n">
        <v>45762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37130-2020</t>
        </is>
      </c>
      <c r="B460" s="1" t="n">
        <v>44054</v>
      </c>
      <c r="C460" s="1" t="n">
        <v>45762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37745-2020</t>
        </is>
      </c>
      <c r="B461" s="1" t="n">
        <v>44056</v>
      </c>
      <c r="C461" s="1" t="n">
        <v>45762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37651-2020</t>
        </is>
      </c>
      <c r="B462" s="1" t="n">
        <v>44056</v>
      </c>
      <c r="C462" s="1" t="n">
        <v>45762</v>
      </c>
      <c r="D462" t="inlineStr">
        <is>
          <t>KALMAR LÄN</t>
        </is>
      </c>
      <c r="E462" t="inlineStr">
        <is>
          <t>NYBRO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37939-2020</t>
        </is>
      </c>
      <c r="B463" s="1" t="n">
        <v>44057</v>
      </c>
      <c r="C463" s="1" t="n">
        <v>45762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38134-2020</t>
        </is>
      </c>
      <c r="B464" s="1" t="n">
        <v>44059</v>
      </c>
      <c r="C464" s="1" t="n">
        <v>45762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38210-2020</t>
        </is>
      </c>
      <c r="B465" s="1" t="n">
        <v>44060</v>
      </c>
      <c r="C465" s="1" t="n">
        <v>45762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38222-2020</t>
        </is>
      </c>
      <c r="B466" s="1" t="n">
        <v>44060</v>
      </c>
      <c r="C466" s="1" t="n">
        <v>45762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39395-2020</t>
        </is>
      </c>
      <c r="B467" s="1" t="n">
        <v>44064</v>
      </c>
      <c r="C467" s="1" t="n">
        <v>45762</v>
      </c>
      <c r="D467" t="inlineStr">
        <is>
          <t>KALMAR LÄN</t>
        </is>
      </c>
      <c r="E467" t="inlineStr">
        <is>
          <t>NYBRO</t>
        </is>
      </c>
      <c r="G467" t="n">
        <v>19.3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41062-2020</t>
        </is>
      </c>
      <c r="B468" s="1" t="n">
        <v>44071</v>
      </c>
      <c r="C468" s="1" t="n">
        <v>45762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41426-2020</t>
        </is>
      </c>
      <c r="B469" s="1" t="n">
        <v>44073</v>
      </c>
      <c r="C469" s="1" t="n">
        <v>45762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41427-2020</t>
        </is>
      </c>
      <c r="B470" s="1" t="n">
        <v>44073</v>
      </c>
      <c r="C470" s="1" t="n">
        <v>45762</v>
      </c>
      <c r="D470" t="inlineStr">
        <is>
          <t>KALMAR LÄN</t>
        </is>
      </c>
      <c r="E470" t="inlineStr">
        <is>
          <t>NYBRO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41425-2020</t>
        </is>
      </c>
      <c r="B471" s="1" t="n">
        <v>44073</v>
      </c>
      <c r="C471" s="1" t="n">
        <v>45762</v>
      </c>
      <c r="D471" t="inlineStr">
        <is>
          <t>KALMAR LÄN</t>
        </is>
      </c>
      <c r="E471" t="inlineStr">
        <is>
          <t>NYBRO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42090-2020</t>
        </is>
      </c>
      <c r="B472" s="1" t="n">
        <v>44074</v>
      </c>
      <c r="C472" s="1" t="n">
        <v>45762</v>
      </c>
      <c r="D472" t="inlineStr">
        <is>
          <t>KALMAR LÄN</t>
        </is>
      </c>
      <c r="E472" t="inlineStr">
        <is>
          <t>NYBRO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41959-2020</t>
        </is>
      </c>
      <c r="B473" s="1" t="n">
        <v>44075</v>
      </c>
      <c r="C473" s="1" t="n">
        <v>45762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42114-2020</t>
        </is>
      </c>
      <c r="B474" s="1" t="n">
        <v>44075</v>
      </c>
      <c r="C474" s="1" t="n">
        <v>45762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42240-2020</t>
        </is>
      </c>
      <c r="B475" s="1" t="n">
        <v>44076</v>
      </c>
      <c r="C475" s="1" t="n">
        <v>45762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42604-2020</t>
        </is>
      </c>
      <c r="B476" s="1" t="n">
        <v>44077</v>
      </c>
      <c r="C476" s="1" t="n">
        <v>45762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42804-2020</t>
        </is>
      </c>
      <c r="B477" s="1" t="n">
        <v>44078</v>
      </c>
      <c r="C477" s="1" t="n">
        <v>45762</v>
      </c>
      <c r="D477" t="inlineStr">
        <is>
          <t>KALMAR LÄN</t>
        </is>
      </c>
      <c r="E477" t="inlineStr">
        <is>
          <t>NYBRO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44048-2020</t>
        </is>
      </c>
      <c r="B478" s="1" t="n">
        <v>44083</v>
      </c>
      <c r="C478" s="1" t="n">
        <v>45762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44038-2020</t>
        </is>
      </c>
      <c r="B479" s="1" t="n">
        <v>44083</v>
      </c>
      <c r="C479" s="1" t="n">
        <v>45762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44174-2020</t>
        </is>
      </c>
      <c r="B480" s="1" t="n">
        <v>44083</v>
      </c>
      <c r="C480" s="1" t="n">
        <v>45762</v>
      </c>
      <c r="D480" t="inlineStr">
        <is>
          <t>KALMAR LÄN</t>
        </is>
      </c>
      <c r="E480" t="inlineStr">
        <is>
          <t>NYBRO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45115-2020</t>
        </is>
      </c>
      <c r="B481" s="1" t="n">
        <v>44083</v>
      </c>
      <c r="C481" s="1" t="n">
        <v>45762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44444-2020</t>
        </is>
      </c>
      <c r="B482" s="1" t="n">
        <v>44084</v>
      </c>
      <c r="C482" s="1" t="n">
        <v>45762</v>
      </c>
      <c r="D482" t="inlineStr">
        <is>
          <t>KALMAR LÄN</t>
        </is>
      </c>
      <c r="E482" t="inlineStr">
        <is>
          <t>NYBRO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44438-2020</t>
        </is>
      </c>
      <c r="B483" s="1" t="n">
        <v>44084</v>
      </c>
      <c r="C483" s="1" t="n">
        <v>45762</v>
      </c>
      <c r="D483" t="inlineStr">
        <is>
          <t>KALMAR LÄN</t>
        </is>
      </c>
      <c r="E483" t="inlineStr">
        <is>
          <t>NYBRO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44445-2020</t>
        </is>
      </c>
      <c r="B484" s="1" t="n">
        <v>44084</v>
      </c>
      <c r="C484" s="1" t="n">
        <v>45762</v>
      </c>
      <c r="D484" t="inlineStr">
        <is>
          <t>KALMAR LÄN</t>
        </is>
      </c>
      <c r="E484" t="inlineStr">
        <is>
          <t>NYBRO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44441-2020</t>
        </is>
      </c>
      <c r="B485" s="1" t="n">
        <v>44084</v>
      </c>
      <c r="C485" s="1" t="n">
        <v>45762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45077-2020</t>
        </is>
      </c>
      <c r="B486" s="1" t="n">
        <v>44088</v>
      </c>
      <c r="C486" s="1" t="n">
        <v>45762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46106-2020</t>
        </is>
      </c>
      <c r="B487" s="1" t="n">
        <v>44088</v>
      </c>
      <c r="C487" s="1" t="n">
        <v>45762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45276-2020</t>
        </is>
      </c>
      <c r="B488" s="1" t="n">
        <v>44089</v>
      </c>
      <c r="C488" s="1" t="n">
        <v>45762</v>
      </c>
      <c r="D488" t="inlineStr">
        <is>
          <t>KALMAR LÄN</t>
        </is>
      </c>
      <c r="E488" t="inlineStr">
        <is>
          <t>NYBRO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46678-2020</t>
        </is>
      </c>
      <c r="B489" s="1" t="n">
        <v>44089</v>
      </c>
      <c r="C489" s="1" t="n">
        <v>45762</v>
      </c>
      <c r="D489" t="inlineStr">
        <is>
          <t>KALMAR LÄN</t>
        </is>
      </c>
      <c r="E489" t="inlineStr">
        <is>
          <t>NYBRO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46173-2020</t>
        </is>
      </c>
      <c r="B490" s="1" t="n">
        <v>44092</v>
      </c>
      <c r="C490" s="1" t="n">
        <v>45762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48119-2020</t>
        </is>
      </c>
      <c r="B491" s="1" t="n">
        <v>44102</v>
      </c>
      <c r="C491" s="1" t="n">
        <v>45762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49021-2020</t>
        </is>
      </c>
      <c r="B492" s="1" t="n">
        <v>44104</v>
      </c>
      <c r="C492" s="1" t="n">
        <v>45762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50355-2020</t>
        </is>
      </c>
      <c r="B493" s="1" t="n">
        <v>44110</v>
      </c>
      <c r="C493" s="1" t="n">
        <v>45762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52387-2020</t>
        </is>
      </c>
      <c r="B494" s="1" t="n">
        <v>44112</v>
      </c>
      <c r="C494" s="1" t="n">
        <v>45762</v>
      </c>
      <c r="D494" t="inlineStr">
        <is>
          <t>KALMAR LÄN</t>
        </is>
      </c>
      <c r="E494" t="inlineStr">
        <is>
          <t>NYBRO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53043-2020</t>
        </is>
      </c>
      <c r="B495" s="1" t="n">
        <v>44120</v>
      </c>
      <c r="C495" s="1" t="n">
        <v>45762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53089-2020</t>
        </is>
      </c>
      <c r="B496" s="1" t="n">
        <v>44120</v>
      </c>
      <c r="C496" s="1" t="n">
        <v>45762</v>
      </c>
      <c r="D496" t="inlineStr">
        <is>
          <t>KALMAR LÄN</t>
        </is>
      </c>
      <c r="E496" t="inlineStr">
        <is>
          <t>NYBRO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53158-2020</t>
        </is>
      </c>
      <c r="B497" s="1" t="n">
        <v>44120</v>
      </c>
      <c r="C497" s="1" t="n">
        <v>45762</v>
      </c>
      <c r="D497" t="inlineStr">
        <is>
          <t>KALMAR LÄN</t>
        </is>
      </c>
      <c r="E497" t="inlineStr">
        <is>
          <t>NYBRO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53160-2020</t>
        </is>
      </c>
      <c r="B498" s="1" t="n">
        <v>44120</v>
      </c>
      <c r="C498" s="1" t="n">
        <v>45762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53222-2020</t>
        </is>
      </c>
      <c r="B499" s="1" t="n">
        <v>44123</v>
      </c>
      <c r="C499" s="1" t="n">
        <v>45762</v>
      </c>
      <c r="D499" t="inlineStr">
        <is>
          <t>KALMAR LÄN</t>
        </is>
      </c>
      <c r="E499" t="inlineStr">
        <is>
          <t>NYBRO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54001-2020</t>
        </is>
      </c>
      <c r="B500" s="1" t="n">
        <v>44125</v>
      </c>
      <c r="C500" s="1" t="n">
        <v>45762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53924-2020</t>
        </is>
      </c>
      <c r="B501" s="1" t="n">
        <v>44125</v>
      </c>
      <c r="C501" s="1" t="n">
        <v>45762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55046-2020</t>
        </is>
      </c>
      <c r="B502" s="1" t="n">
        <v>44130</v>
      </c>
      <c r="C502" s="1" t="n">
        <v>45762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55042-2020</t>
        </is>
      </c>
      <c r="B503" s="1" t="n">
        <v>44130</v>
      </c>
      <c r="C503" s="1" t="n">
        <v>45762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55455-2020</t>
        </is>
      </c>
      <c r="B504" s="1" t="n">
        <v>44131</v>
      </c>
      <c r="C504" s="1" t="n">
        <v>45762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56385-2020</t>
        </is>
      </c>
      <c r="B505" s="1" t="n">
        <v>44136</v>
      </c>
      <c r="C505" s="1" t="n">
        <v>45762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56551-2020</t>
        </is>
      </c>
      <c r="B506" s="1" t="n">
        <v>44137</v>
      </c>
      <c r="C506" s="1" t="n">
        <v>45762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56714-2020</t>
        </is>
      </c>
      <c r="B507" s="1" t="n">
        <v>44137</v>
      </c>
      <c r="C507" s="1" t="n">
        <v>45762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56987-2020</t>
        </is>
      </c>
      <c r="B508" s="1" t="n">
        <v>44137</v>
      </c>
      <c r="C508" s="1" t="n">
        <v>45762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56989-2020</t>
        </is>
      </c>
      <c r="B509" s="1" t="n">
        <v>44137</v>
      </c>
      <c r="C509" s="1" t="n">
        <v>45762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56841-2020</t>
        </is>
      </c>
      <c r="B510" s="1" t="n">
        <v>44138</v>
      </c>
      <c r="C510" s="1" t="n">
        <v>45762</v>
      </c>
      <c r="D510" t="inlineStr">
        <is>
          <t>KALMAR LÄN</t>
        </is>
      </c>
      <c r="E510" t="inlineStr">
        <is>
          <t>NYBRO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60381-2020</t>
        </is>
      </c>
      <c r="B511" s="1" t="n">
        <v>44152</v>
      </c>
      <c r="C511" s="1" t="n">
        <v>45762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61570-2020</t>
        </is>
      </c>
      <c r="B512" s="1" t="n">
        <v>44158</v>
      </c>
      <c r="C512" s="1" t="n">
        <v>45762</v>
      </c>
      <c r="D512" t="inlineStr">
        <is>
          <t>KALMAR LÄN</t>
        </is>
      </c>
      <c r="E512" t="inlineStr">
        <is>
          <t>NYBRO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62293-2020</t>
        </is>
      </c>
      <c r="B513" s="1" t="n">
        <v>44160</v>
      </c>
      <c r="C513" s="1" t="n">
        <v>45762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63414-2020</t>
        </is>
      </c>
      <c r="B514" s="1" t="n">
        <v>44160</v>
      </c>
      <c r="C514" s="1" t="n">
        <v>45762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62677-2020</t>
        </is>
      </c>
      <c r="B515" s="1" t="n">
        <v>44161</v>
      </c>
      <c r="C515" s="1" t="n">
        <v>45762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63257-2020</t>
        </is>
      </c>
      <c r="B516" s="1" t="n">
        <v>44164</v>
      </c>
      <c r="C516" s="1" t="n">
        <v>45762</v>
      </c>
      <c r="D516" t="inlineStr">
        <is>
          <t>KALMAR LÄN</t>
        </is>
      </c>
      <c r="E516" t="inlineStr">
        <is>
          <t>NYBRO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64514-2020</t>
        </is>
      </c>
      <c r="B517" s="1" t="n">
        <v>44169</v>
      </c>
      <c r="C517" s="1" t="n">
        <v>45762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64702-2020</t>
        </is>
      </c>
      <c r="B518" s="1" t="n">
        <v>44169</v>
      </c>
      <c r="C518" s="1" t="n">
        <v>45762</v>
      </c>
      <c r="D518" t="inlineStr">
        <is>
          <t>KALMAR LÄN</t>
        </is>
      </c>
      <c r="E518" t="inlineStr">
        <is>
          <t>NYBRO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64909-2020</t>
        </is>
      </c>
      <c r="B519" s="1" t="n">
        <v>44172</v>
      </c>
      <c r="C519" s="1" t="n">
        <v>45762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65474-2020</t>
        </is>
      </c>
      <c r="B520" s="1" t="n">
        <v>44173</v>
      </c>
      <c r="C520" s="1" t="n">
        <v>45762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67047-2020</t>
        </is>
      </c>
      <c r="B521" s="1" t="n">
        <v>44179</v>
      </c>
      <c r="C521" s="1" t="n">
        <v>45762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67036-2020</t>
        </is>
      </c>
      <c r="B522" s="1" t="n">
        <v>44179</v>
      </c>
      <c r="C522" s="1" t="n">
        <v>45762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67220-2020</t>
        </is>
      </c>
      <c r="B523" s="1" t="n">
        <v>44180</v>
      </c>
      <c r="C523" s="1" t="n">
        <v>45762</v>
      </c>
      <c r="D523" t="inlineStr">
        <is>
          <t>KALMAR LÄN</t>
        </is>
      </c>
      <c r="E523" t="inlineStr">
        <is>
          <t>NYBRO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68174-2020</t>
        </is>
      </c>
      <c r="B524" s="1" t="n">
        <v>44183</v>
      </c>
      <c r="C524" s="1" t="n">
        <v>45762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68459-2020</t>
        </is>
      </c>
      <c r="B525" s="1" t="n">
        <v>44183</v>
      </c>
      <c r="C525" s="1" t="n">
        <v>45762</v>
      </c>
      <c r="D525" t="inlineStr">
        <is>
          <t>KALMAR LÄN</t>
        </is>
      </c>
      <c r="E525" t="inlineStr">
        <is>
          <t>NYBRO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68449-2020</t>
        </is>
      </c>
      <c r="B526" s="1" t="n">
        <v>44183</v>
      </c>
      <c r="C526" s="1" t="n">
        <v>45762</v>
      </c>
      <c r="D526" t="inlineStr">
        <is>
          <t>KALMAR LÄN</t>
        </is>
      </c>
      <c r="E526" t="inlineStr">
        <is>
          <t>NYBRO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68463-2020</t>
        </is>
      </c>
      <c r="B527" s="1" t="n">
        <v>44183</v>
      </c>
      <c r="C527" s="1" t="n">
        <v>45762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68392-2020</t>
        </is>
      </c>
      <c r="B528" s="1" t="n">
        <v>44186</v>
      </c>
      <c r="C528" s="1" t="n">
        <v>45762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68932-2020</t>
        </is>
      </c>
      <c r="B529" s="1" t="n">
        <v>44187</v>
      </c>
      <c r="C529" s="1" t="n">
        <v>45762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69544-2020</t>
        </is>
      </c>
      <c r="B530" s="1" t="n">
        <v>44194</v>
      </c>
      <c r="C530" s="1" t="n">
        <v>45762</v>
      </c>
      <c r="D530" t="inlineStr">
        <is>
          <t>KALMAR LÄN</t>
        </is>
      </c>
      <c r="E530" t="inlineStr">
        <is>
          <t>NYBRO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311-2021</t>
        </is>
      </c>
      <c r="B531" s="1" t="n">
        <v>44201</v>
      </c>
      <c r="C531" s="1" t="n">
        <v>45762</v>
      </c>
      <c r="D531" t="inlineStr">
        <is>
          <t>KALMAR LÄN</t>
        </is>
      </c>
      <c r="E531" t="inlineStr">
        <is>
          <t>NYBRO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406-2021</t>
        </is>
      </c>
      <c r="B532" s="1" t="n">
        <v>44201</v>
      </c>
      <c r="C532" s="1" t="n">
        <v>45762</v>
      </c>
      <c r="D532" t="inlineStr">
        <is>
          <t>KALMAR LÄN</t>
        </is>
      </c>
      <c r="E532" t="inlineStr">
        <is>
          <t>NYBRO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405-2021</t>
        </is>
      </c>
      <c r="B533" s="1" t="n">
        <v>44201</v>
      </c>
      <c r="C533" s="1" t="n">
        <v>45762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1105-2021</t>
        </is>
      </c>
      <c r="B534" s="1" t="n">
        <v>44207</v>
      </c>
      <c r="C534" s="1" t="n">
        <v>45762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1372-2021</t>
        </is>
      </c>
      <c r="B535" s="1" t="n">
        <v>44208</v>
      </c>
      <c r="C535" s="1" t="n">
        <v>45762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1681-2021</t>
        </is>
      </c>
      <c r="B536" s="1" t="n">
        <v>44209</v>
      </c>
      <c r="C536" s="1" t="n">
        <v>45762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2206-2021</t>
        </is>
      </c>
      <c r="B537" s="1" t="n">
        <v>44211</v>
      </c>
      <c r="C537" s="1" t="n">
        <v>45762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3241-2021</t>
        </is>
      </c>
      <c r="B538" s="1" t="n">
        <v>44217</v>
      </c>
      <c r="C538" s="1" t="n">
        <v>45762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3290-2021</t>
        </is>
      </c>
      <c r="B539" s="1" t="n">
        <v>44217</v>
      </c>
      <c r="C539" s="1" t="n">
        <v>45762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3236-2021</t>
        </is>
      </c>
      <c r="B540" s="1" t="n">
        <v>44217</v>
      </c>
      <c r="C540" s="1" t="n">
        <v>45762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3471-2021</t>
        </is>
      </c>
      <c r="B541" s="1" t="n">
        <v>44218</v>
      </c>
      <c r="C541" s="1" t="n">
        <v>45762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4011-2021</t>
        </is>
      </c>
      <c r="B542" s="1" t="n">
        <v>44222</v>
      </c>
      <c r="C542" s="1" t="n">
        <v>45762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4398-2021</t>
        </is>
      </c>
      <c r="B543" s="1" t="n">
        <v>44223</v>
      </c>
      <c r="C543" s="1" t="n">
        <v>45762</v>
      </c>
      <c r="D543" t="inlineStr">
        <is>
          <t>KALMAR LÄN</t>
        </is>
      </c>
      <c r="E543" t="inlineStr">
        <is>
          <t>NYBRO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4378-2021</t>
        </is>
      </c>
      <c r="B544" s="1" t="n">
        <v>44223</v>
      </c>
      <c r="C544" s="1" t="n">
        <v>45762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4401-2021</t>
        </is>
      </c>
      <c r="B545" s="1" t="n">
        <v>44223</v>
      </c>
      <c r="C545" s="1" t="n">
        <v>45762</v>
      </c>
      <c r="D545" t="inlineStr">
        <is>
          <t>KALMAR LÄN</t>
        </is>
      </c>
      <c r="E545" t="inlineStr">
        <is>
          <t>NYBRO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4523-2021</t>
        </is>
      </c>
      <c r="B546" s="1" t="n">
        <v>44224</v>
      </c>
      <c r="C546" s="1" t="n">
        <v>45762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4514-2021</t>
        </is>
      </c>
      <c r="B547" s="1" t="n">
        <v>44224</v>
      </c>
      <c r="C547" s="1" t="n">
        <v>45762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4714-2021</t>
        </is>
      </c>
      <c r="B548" s="1" t="n">
        <v>44225</v>
      </c>
      <c r="C548" s="1" t="n">
        <v>45762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4872-2021</t>
        </is>
      </c>
      <c r="B549" s="1" t="n">
        <v>44225</v>
      </c>
      <c r="C549" s="1" t="n">
        <v>45762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5709-2021</t>
        </is>
      </c>
      <c r="B550" s="1" t="n">
        <v>44230</v>
      </c>
      <c r="C550" s="1" t="n">
        <v>45762</v>
      </c>
      <c r="D550" t="inlineStr">
        <is>
          <t>KALMAR LÄN</t>
        </is>
      </c>
      <c r="E550" t="inlineStr">
        <is>
          <t>NYBRO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5940-2021</t>
        </is>
      </c>
      <c r="B551" s="1" t="n">
        <v>44231</v>
      </c>
      <c r="C551" s="1" t="n">
        <v>45762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5925-2021</t>
        </is>
      </c>
      <c r="B552" s="1" t="n">
        <v>44231</v>
      </c>
      <c r="C552" s="1" t="n">
        <v>45762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6660-2021</t>
        </is>
      </c>
      <c r="B553" s="1" t="n">
        <v>44236</v>
      </c>
      <c r="C553" s="1" t="n">
        <v>45762</v>
      </c>
      <c r="D553" t="inlineStr">
        <is>
          <t>KALMAR LÄN</t>
        </is>
      </c>
      <c r="E553" t="inlineStr">
        <is>
          <t>NYBRO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6672-2021</t>
        </is>
      </c>
      <c r="B554" s="1" t="n">
        <v>44236</v>
      </c>
      <c r="C554" s="1" t="n">
        <v>45762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6759-2021</t>
        </is>
      </c>
      <c r="B555" s="1" t="n">
        <v>44236</v>
      </c>
      <c r="C555" s="1" t="n">
        <v>45762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7891-2021</t>
        </is>
      </c>
      <c r="B556" s="1" t="n">
        <v>44243</v>
      </c>
      <c r="C556" s="1" t="n">
        <v>45762</v>
      </c>
      <c r="D556" t="inlineStr">
        <is>
          <t>KALMAR LÄN</t>
        </is>
      </c>
      <c r="E556" t="inlineStr">
        <is>
          <t>NYBRO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8010-2021</t>
        </is>
      </c>
      <c r="B557" s="1" t="n">
        <v>44243</v>
      </c>
      <c r="C557" s="1" t="n">
        <v>45762</v>
      </c>
      <c r="D557" t="inlineStr">
        <is>
          <t>KALMAR LÄN</t>
        </is>
      </c>
      <c r="E557" t="inlineStr">
        <is>
          <t>NYBRO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8460-2021</t>
        </is>
      </c>
      <c r="B558" s="1" t="n">
        <v>44245</v>
      </c>
      <c r="C558" s="1" t="n">
        <v>45762</v>
      </c>
      <c r="D558" t="inlineStr">
        <is>
          <t>KALMAR LÄN</t>
        </is>
      </c>
      <c r="E558" t="inlineStr">
        <is>
          <t>NYBRO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8816-2021</t>
        </is>
      </c>
      <c r="B559" s="1" t="n">
        <v>44246</v>
      </c>
      <c r="C559" s="1" t="n">
        <v>45762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8814-2021</t>
        </is>
      </c>
      <c r="B560" s="1" t="n">
        <v>44246</v>
      </c>
      <c r="C560" s="1" t="n">
        <v>45762</v>
      </c>
      <c r="D560" t="inlineStr">
        <is>
          <t>KALMAR LÄN</t>
        </is>
      </c>
      <c r="E560" t="inlineStr">
        <is>
          <t>NYBRO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8989-2021</t>
        </is>
      </c>
      <c r="B561" s="1" t="n">
        <v>44249</v>
      </c>
      <c r="C561" s="1" t="n">
        <v>45762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8996-2021</t>
        </is>
      </c>
      <c r="B562" s="1" t="n">
        <v>44249</v>
      </c>
      <c r="C562" s="1" t="n">
        <v>45762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9299-2021</t>
        </is>
      </c>
      <c r="B563" s="1" t="n">
        <v>44250</v>
      </c>
      <c r="C563" s="1" t="n">
        <v>45762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9337-2021</t>
        </is>
      </c>
      <c r="B564" s="1" t="n">
        <v>44250</v>
      </c>
      <c r="C564" s="1" t="n">
        <v>45762</v>
      </c>
      <c r="D564" t="inlineStr">
        <is>
          <t>KALMAR LÄN</t>
        </is>
      </c>
      <c r="E564" t="inlineStr">
        <is>
          <t>NYBRO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10015-2021</t>
        </is>
      </c>
      <c r="B565" s="1" t="n">
        <v>44256</v>
      </c>
      <c r="C565" s="1" t="n">
        <v>45762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10831-2021</t>
        </is>
      </c>
      <c r="B566" s="1" t="n">
        <v>44259</v>
      </c>
      <c r="C566" s="1" t="n">
        <v>45762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11146-2021</t>
        </is>
      </c>
      <c r="B567" s="1" t="n">
        <v>44261</v>
      </c>
      <c r="C567" s="1" t="n">
        <v>45762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11489-2021</t>
        </is>
      </c>
      <c r="B568" s="1" t="n">
        <v>44264</v>
      </c>
      <c r="C568" s="1" t="n">
        <v>45762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12217-2021</t>
        </is>
      </c>
      <c r="B569" s="1" t="n">
        <v>44266</v>
      </c>
      <c r="C569" s="1" t="n">
        <v>45762</v>
      </c>
      <c r="D569" t="inlineStr">
        <is>
          <t>KALMAR LÄN</t>
        </is>
      </c>
      <c r="E569" t="inlineStr">
        <is>
          <t>NYBRO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12288-2021</t>
        </is>
      </c>
      <c r="B570" s="1" t="n">
        <v>44267</v>
      </c>
      <c r="C570" s="1" t="n">
        <v>45762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12724-2021</t>
        </is>
      </c>
      <c r="B571" s="1" t="n">
        <v>44270</v>
      </c>
      <c r="C571" s="1" t="n">
        <v>45762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12566-2021</t>
        </is>
      </c>
      <c r="B572" s="1" t="n">
        <v>44270</v>
      </c>
      <c r="C572" s="1" t="n">
        <v>45762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12921-2021</t>
        </is>
      </c>
      <c r="B573" s="1" t="n">
        <v>44271</v>
      </c>
      <c r="C573" s="1" t="n">
        <v>45762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13064-2021</t>
        </is>
      </c>
      <c r="B574" s="1" t="n">
        <v>44272</v>
      </c>
      <c r="C574" s="1" t="n">
        <v>45762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13766-2021</t>
        </is>
      </c>
      <c r="B575" s="1" t="n">
        <v>44274</v>
      </c>
      <c r="C575" s="1" t="n">
        <v>45762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13803-2021</t>
        </is>
      </c>
      <c r="B576" s="1" t="n">
        <v>44275</v>
      </c>
      <c r="C576" s="1" t="n">
        <v>45762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13997-2021</t>
        </is>
      </c>
      <c r="B577" s="1" t="n">
        <v>44277</v>
      </c>
      <c r="C577" s="1" t="n">
        <v>45762</v>
      </c>
      <c r="D577" t="inlineStr">
        <is>
          <t>KALMAR LÄN</t>
        </is>
      </c>
      <c r="E577" t="inlineStr">
        <is>
          <t>NYBRO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14245-2021</t>
        </is>
      </c>
      <c r="B578" s="1" t="n">
        <v>44278</v>
      </c>
      <c r="C578" s="1" t="n">
        <v>45762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14394-2021</t>
        </is>
      </c>
      <c r="B579" s="1" t="n">
        <v>44279</v>
      </c>
      <c r="C579" s="1" t="n">
        <v>45762</v>
      </c>
      <c r="D579" t="inlineStr">
        <is>
          <t>KALMAR LÄN</t>
        </is>
      </c>
      <c r="E579" t="inlineStr">
        <is>
          <t>NYBRO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15217-2021</t>
        </is>
      </c>
      <c r="B580" s="1" t="n">
        <v>44284</v>
      </c>
      <c r="C580" s="1" t="n">
        <v>45762</v>
      </c>
      <c r="D580" t="inlineStr">
        <is>
          <t>KALMAR LÄN</t>
        </is>
      </c>
      <c r="E580" t="inlineStr">
        <is>
          <t>NYBRO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15439-2021</t>
        </is>
      </c>
      <c r="B581" s="1" t="n">
        <v>44285</v>
      </c>
      <c r="C581" s="1" t="n">
        <v>45762</v>
      </c>
      <c r="D581" t="inlineStr">
        <is>
          <t>KALMAR LÄN</t>
        </is>
      </c>
      <c r="E581" t="inlineStr">
        <is>
          <t>NYBRO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16738-2021</t>
        </is>
      </c>
      <c r="B582" s="1" t="n">
        <v>44294</v>
      </c>
      <c r="C582" s="1" t="n">
        <v>45762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16957-2021</t>
        </is>
      </c>
      <c r="B583" s="1" t="n">
        <v>44295</v>
      </c>
      <c r="C583" s="1" t="n">
        <v>45762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17065-2021</t>
        </is>
      </c>
      <c r="B584" s="1" t="n">
        <v>44297</v>
      </c>
      <c r="C584" s="1" t="n">
        <v>45762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17099-2021</t>
        </is>
      </c>
      <c r="B585" s="1" t="n">
        <v>44298</v>
      </c>
      <c r="C585" s="1" t="n">
        <v>45762</v>
      </c>
      <c r="D585" t="inlineStr">
        <is>
          <t>KALMAR LÄN</t>
        </is>
      </c>
      <c r="E585" t="inlineStr">
        <is>
          <t>NYBRO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17560-2021</t>
        </is>
      </c>
      <c r="B586" s="1" t="n">
        <v>44299</v>
      </c>
      <c r="C586" s="1" t="n">
        <v>45762</v>
      </c>
      <c r="D586" t="inlineStr">
        <is>
          <t>KALMAR LÄN</t>
        </is>
      </c>
      <c r="E586" t="inlineStr">
        <is>
          <t>NYBRO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17641-2021</t>
        </is>
      </c>
      <c r="B587" s="1" t="n">
        <v>44300</v>
      </c>
      <c r="C587" s="1" t="n">
        <v>45762</v>
      </c>
      <c r="D587" t="inlineStr">
        <is>
          <t>KALMAR LÄN</t>
        </is>
      </c>
      <c r="E587" t="inlineStr">
        <is>
          <t>NYBRO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17653-2021</t>
        </is>
      </c>
      <c r="B588" s="1" t="n">
        <v>44300</v>
      </c>
      <c r="C588" s="1" t="n">
        <v>45762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17725-2021</t>
        </is>
      </c>
      <c r="B589" s="1" t="n">
        <v>44300</v>
      </c>
      <c r="C589" s="1" t="n">
        <v>45762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18241-2021</t>
        </is>
      </c>
      <c r="B590" s="1" t="n">
        <v>44302</v>
      </c>
      <c r="C590" s="1" t="n">
        <v>45762</v>
      </c>
      <c r="D590" t="inlineStr">
        <is>
          <t>KALMAR LÄN</t>
        </is>
      </c>
      <c r="E590" t="inlineStr">
        <is>
          <t>NYBRO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18163-2021</t>
        </is>
      </c>
      <c r="B591" s="1" t="n">
        <v>44302</v>
      </c>
      <c r="C591" s="1" t="n">
        <v>45762</v>
      </c>
      <c r="D591" t="inlineStr">
        <is>
          <t>KALMAR LÄN</t>
        </is>
      </c>
      <c r="E591" t="inlineStr">
        <is>
          <t>NYBRO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18475-2021</t>
        </is>
      </c>
      <c r="B592" s="1" t="n">
        <v>44306</v>
      </c>
      <c r="C592" s="1" t="n">
        <v>45762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18727-2021</t>
        </is>
      </c>
      <c r="B593" s="1" t="n">
        <v>44307</v>
      </c>
      <c r="C593" s="1" t="n">
        <v>45762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18966-2021</t>
        </is>
      </c>
      <c r="B594" s="1" t="n">
        <v>44308</v>
      </c>
      <c r="C594" s="1" t="n">
        <v>45762</v>
      </c>
      <c r="D594" t="inlineStr">
        <is>
          <t>KALMAR LÄN</t>
        </is>
      </c>
      <c r="E594" t="inlineStr">
        <is>
          <t>NYBRO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19573-2021</t>
        </is>
      </c>
      <c r="B595" s="1" t="n">
        <v>44312</v>
      </c>
      <c r="C595" s="1" t="n">
        <v>45762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20214-2021</t>
        </is>
      </c>
      <c r="B596" s="1" t="n">
        <v>44314</v>
      </c>
      <c r="C596" s="1" t="n">
        <v>45762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20461-2021</t>
        </is>
      </c>
      <c r="B597" s="1" t="n">
        <v>44315</v>
      </c>
      <c r="C597" s="1" t="n">
        <v>45762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20491-2021</t>
        </is>
      </c>
      <c r="B598" s="1" t="n">
        <v>44315</v>
      </c>
      <c r="C598" s="1" t="n">
        <v>45762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20828-2021</t>
        </is>
      </c>
      <c r="B599" s="1" t="n">
        <v>44318</v>
      </c>
      <c r="C599" s="1" t="n">
        <v>45762</v>
      </c>
      <c r="D599" t="inlineStr">
        <is>
          <t>KALMAR LÄN</t>
        </is>
      </c>
      <c r="E599" t="inlineStr">
        <is>
          <t>NYBRO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21109-2021</t>
        </is>
      </c>
      <c r="B600" s="1" t="n">
        <v>44320</v>
      </c>
      <c r="C600" s="1" t="n">
        <v>45762</v>
      </c>
      <c r="D600" t="inlineStr">
        <is>
          <t>KALMAR LÄN</t>
        </is>
      </c>
      <c r="E600" t="inlineStr">
        <is>
          <t>NYBRO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21217-2021</t>
        </is>
      </c>
      <c r="B601" s="1" t="n">
        <v>44320</v>
      </c>
      <c r="C601" s="1" t="n">
        <v>45762</v>
      </c>
      <c r="D601" t="inlineStr">
        <is>
          <t>KALMAR LÄN</t>
        </is>
      </c>
      <c r="E601" t="inlineStr">
        <is>
          <t>NYBRO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21322-2021</t>
        </is>
      </c>
      <c r="B602" s="1" t="n">
        <v>44320</v>
      </c>
      <c r="C602" s="1" t="n">
        <v>45762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21372-2021</t>
        </is>
      </c>
      <c r="B603" s="1" t="n">
        <v>44321</v>
      </c>
      <c r="C603" s="1" t="n">
        <v>45762</v>
      </c>
      <c r="D603" t="inlineStr">
        <is>
          <t>KALMAR LÄN</t>
        </is>
      </c>
      <c r="E603" t="inlineStr">
        <is>
          <t>NYBRO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22274-2021</t>
        </is>
      </c>
      <c r="B604" s="1" t="n">
        <v>44322</v>
      </c>
      <c r="C604" s="1" t="n">
        <v>45762</v>
      </c>
      <c r="D604" t="inlineStr">
        <is>
          <t>KALMAR LÄN</t>
        </is>
      </c>
      <c r="E604" t="inlineStr">
        <is>
          <t>NYBRO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21979-2021</t>
        </is>
      </c>
      <c r="B605" s="1" t="n">
        <v>44323</v>
      </c>
      <c r="C605" s="1" t="n">
        <v>45762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22913-2021</t>
        </is>
      </c>
      <c r="B606" s="1" t="n">
        <v>44328</v>
      </c>
      <c r="C606" s="1" t="n">
        <v>45762</v>
      </c>
      <c r="D606" t="inlineStr">
        <is>
          <t>KALMAR LÄN</t>
        </is>
      </c>
      <c r="E606" t="inlineStr">
        <is>
          <t>NYBRO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23178-2021</t>
        </is>
      </c>
      <c r="B607" s="1" t="n">
        <v>44333</v>
      </c>
      <c r="C607" s="1" t="n">
        <v>45762</v>
      </c>
      <c r="D607" t="inlineStr">
        <is>
          <t>KALMAR LÄN</t>
        </is>
      </c>
      <c r="E607" t="inlineStr">
        <is>
          <t>NYBRO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23420-2021</t>
        </is>
      </c>
      <c r="B608" s="1" t="n">
        <v>44333</v>
      </c>
      <c r="C608" s="1" t="n">
        <v>45762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23398-2021</t>
        </is>
      </c>
      <c r="B609" s="1" t="n">
        <v>44333</v>
      </c>
      <c r="C609" s="1" t="n">
        <v>45762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23507-2021</t>
        </is>
      </c>
      <c r="B610" s="1" t="n">
        <v>44334</v>
      </c>
      <c r="C610" s="1" t="n">
        <v>45762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23883-2021</t>
        </is>
      </c>
      <c r="B611" s="1" t="n">
        <v>44335</v>
      </c>
      <c r="C611" s="1" t="n">
        <v>45762</v>
      </c>
      <c r="D611" t="inlineStr">
        <is>
          <t>KALMAR LÄN</t>
        </is>
      </c>
      <c r="E611" t="inlineStr">
        <is>
          <t>NYBRO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24643-2021</t>
        </is>
      </c>
      <c r="B612" s="1" t="n">
        <v>44340</v>
      </c>
      <c r="C612" s="1" t="n">
        <v>45762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24736-2021</t>
        </is>
      </c>
      <c r="B613" s="1" t="n">
        <v>44340</v>
      </c>
      <c r="C613" s="1" t="n">
        <v>45762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24638-2021</t>
        </is>
      </c>
      <c r="B614" s="1" t="n">
        <v>44340</v>
      </c>
      <c r="C614" s="1" t="n">
        <v>45762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24640-2021</t>
        </is>
      </c>
      <c r="B615" s="1" t="n">
        <v>44340</v>
      </c>
      <c r="C615" s="1" t="n">
        <v>45762</v>
      </c>
      <c r="D615" t="inlineStr">
        <is>
          <t>KALMAR LÄN</t>
        </is>
      </c>
      <c r="E615" t="inlineStr">
        <is>
          <t>NYBRO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25426-2021</t>
        </is>
      </c>
      <c r="B616" s="1" t="n">
        <v>44342</v>
      </c>
      <c r="C616" s="1" t="n">
        <v>45762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25433-2021</t>
        </is>
      </c>
      <c r="B617" s="1" t="n">
        <v>44342</v>
      </c>
      <c r="C617" s="1" t="n">
        <v>45762</v>
      </c>
      <c r="D617" t="inlineStr">
        <is>
          <t>KALMAR LÄN</t>
        </is>
      </c>
      <c r="E617" t="inlineStr">
        <is>
          <t>NYBRO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26176-2021</t>
        </is>
      </c>
      <c r="B618" s="1" t="n">
        <v>44347</v>
      </c>
      <c r="C618" s="1" t="n">
        <v>45762</v>
      </c>
      <c r="D618" t="inlineStr">
        <is>
          <t>KALMAR LÄN</t>
        </is>
      </c>
      <c r="E618" t="inlineStr">
        <is>
          <t>NYBRO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26271-2021</t>
        </is>
      </c>
      <c r="B619" s="1" t="n">
        <v>44347</v>
      </c>
      <c r="C619" s="1" t="n">
        <v>45762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26578-2021</t>
        </is>
      </c>
      <c r="B620" s="1" t="n">
        <v>44348</v>
      </c>
      <c r="C620" s="1" t="n">
        <v>45762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27354-2021</t>
        </is>
      </c>
      <c r="B621" s="1" t="n">
        <v>44351</v>
      </c>
      <c r="C621" s="1" t="n">
        <v>45762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27357-2021</t>
        </is>
      </c>
      <c r="B622" s="1" t="n">
        <v>44351</v>
      </c>
      <c r="C622" s="1" t="n">
        <v>45762</v>
      </c>
      <c r="D622" t="inlineStr">
        <is>
          <t>KALMAR LÄN</t>
        </is>
      </c>
      <c r="E622" t="inlineStr">
        <is>
          <t>NYBRO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27526-2021</t>
        </is>
      </c>
      <c r="B623" s="1" t="n">
        <v>44351</v>
      </c>
      <c r="C623" s="1" t="n">
        <v>45762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28069-2021</t>
        </is>
      </c>
      <c r="B624" s="1" t="n">
        <v>44355</v>
      </c>
      <c r="C624" s="1" t="n">
        <v>45762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29703-2021</t>
        </is>
      </c>
      <c r="B625" s="1" t="n">
        <v>44362</v>
      </c>
      <c r="C625" s="1" t="n">
        <v>45762</v>
      </c>
      <c r="D625" t="inlineStr">
        <is>
          <t>KALMAR LÄN</t>
        </is>
      </c>
      <c r="E625" t="inlineStr">
        <is>
          <t>NYBRO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29737-2021</t>
        </is>
      </c>
      <c r="B626" s="1" t="n">
        <v>44362</v>
      </c>
      <c r="C626" s="1" t="n">
        <v>45762</v>
      </c>
      <c r="D626" t="inlineStr">
        <is>
          <t>KALMAR LÄN</t>
        </is>
      </c>
      <c r="E626" t="inlineStr">
        <is>
          <t>NYBRO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29747-2021</t>
        </is>
      </c>
      <c r="B627" s="1" t="n">
        <v>44362</v>
      </c>
      <c r="C627" s="1" t="n">
        <v>45762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29826-2021</t>
        </is>
      </c>
      <c r="B628" s="1" t="n">
        <v>44362</v>
      </c>
      <c r="C628" s="1" t="n">
        <v>45762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30238-2021</t>
        </is>
      </c>
      <c r="B629" s="1" t="n">
        <v>44363</v>
      </c>
      <c r="C629" s="1" t="n">
        <v>45762</v>
      </c>
      <c r="D629" t="inlineStr">
        <is>
          <t>KALMAR LÄN</t>
        </is>
      </c>
      <c r="E629" t="inlineStr">
        <is>
          <t>NYBRO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30243-2021</t>
        </is>
      </c>
      <c r="B630" s="1" t="n">
        <v>44363</v>
      </c>
      <c r="C630" s="1" t="n">
        <v>45762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30242-2021</t>
        </is>
      </c>
      <c r="B631" s="1" t="n">
        <v>44363</v>
      </c>
      <c r="C631" s="1" t="n">
        <v>45762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30240-2021</t>
        </is>
      </c>
      <c r="B632" s="1" t="n">
        <v>44363</v>
      </c>
      <c r="C632" s="1" t="n">
        <v>45762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30547-2021</t>
        </is>
      </c>
      <c r="B633" s="1" t="n">
        <v>44364</v>
      </c>
      <c r="C633" s="1" t="n">
        <v>45762</v>
      </c>
      <c r="D633" t="inlineStr">
        <is>
          <t>KALMAR LÄN</t>
        </is>
      </c>
      <c r="E633" t="inlineStr">
        <is>
          <t>NYBRO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30617-2021</t>
        </is>
      </c>
      <c r="B634" s="1" t="n">
        <v>44364</v>
      </c>
      <c r="C634" s="1" t="n">
        <v>45762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30600-2021</t>
        </is>
      </c>
      <c r="B635" s="1" t="n">
        <v>44365</v>
      </c>
      <c r="C635" s="1" t="n">
        <v>45762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30703-2021</t>
        </is>
      </c>
      <c r="B636" s="1" t="n">
        <v>44365</v>
      </c>
      <c r="C636" s="1" t="n">
        <v>45762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30736-2021</t>
        </is>
      </c>
      <c r="B637" s="1" t="n">
        <v>44365</v>
      </c>
      <c r="C637" s="1" t="n">
        <v>45762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30707-2021</t>
        </is>
      </c>
      <c r="B638" s="1" t="n">
        <v>44365</v>
      </c>
      <c r="C638" s="1" t="n">
        <v>45762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30697-2021</t>
        </is>
      </c>
      <c r="B639" s="1" t="n">
        <v>44365</v>
      </c>
      <c r="C639" s="1" t="n">
        <v>45762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30714-2021</t>
        </is>
      </c>
      <c r="B640" s="1" t="n">
        <v>44365</v>
      </c>
      <c r="C640" s="1" t="n">
        <v>45762</v>
      </c>
      <c r="D640" t="inlineStr">
        <is>
          <t>KALMAR LÄN</t>
        </is>
      </c>
      <c r="E640" t="inlineStr">
        <is>
          <t>NYBRO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31081-2021</t>
        </is>
      </c>
      <c r="B641" s="1" t="n">
        <v>44368</v>
      </c>
      <c r="C641" s="1" t="n">
        <v>45762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31084-2021</t>
        </is>
      </c>
      <c r="B642" s="1" t="n">
        <v>44368</v>
      </c>
      <c r="C642" s="1" t="n">
        <v>45762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31095-2021</t>
        </is>
      </c>
      <c r="B643" s="1" t="n">
        <v>44368</v>
      </c>
      <c r="C643" s="1" t="n">
        <v>45762</v>
      </c>
      <c r="D643" t="inlineStr">
        <is>
          <t>KALMAR LÄN</t>
        </is>
      </c>
      <c r="E643" t="inlineStr">
        <is>
          <t>NYBRO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31107-2021</t>
        </is>
      </c>
      <c r="B644" s="1" t="n">
        <v>44368</v>
      </c>
      <c r="C644" s="1" t="n">
        <v>45762</v>
      </c>
      <c r="D644" t="inlineStr">
        <is>
          <t>KALMAR LÄN</t>
        </is>
      </c>
      <c r="E644" t="inlineStr">
        <is>
          <t>NYBRO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31076-2021</t>
        </is>
      </c>
      <c r="B645" s="1" t="n">
        <v>44368</v>
      </c>
      <c r="C645" s="1" t="n">
        <v>45762</v>
      </c>
      <c r="D645" t="inlineStr">
        <is>
          <t>KALMAR LÄN</t>
        </is>
      </c>
      <c r="E645" t="inlineStr">
        <is>
          <t>NYBRO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31410-2021</t>
        </is>
      </c>
      <c r="B646" s="1" t="n">
        <v>44369</v>
      </c>
      <c r="C646" s="1" t="n">
        <v>45762</v>
      </c>
      <c r="D646" t="inlineStr">
        <is>
          <t>KALMAR LÄN</t>
        </is>
      </c>
      <c r="E646" t="inlineStr">
        <is>
          <t>NYBRO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31499-2021</t>
        </is>
      </c>
      <c r="B647" s="1" t="n">
        <v>44369</v>
      </c>
      <c r="C647" s="1" t="n">
        <v>45762</v>
      </c>
      <c r="D647" t="inlineStr">
        <is>
          <t>KALMAR LÄN</t>
        </is>
      </c>
      <c r="E647" t="inlineStr">
        <is>
          <t>NYBRO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31762-2021</t>
        </is>
      </c>
      <c r="B648" s="1" t="n">
        <v>44370</v>
      </c>
      <c r="C648" s="1" t="n">
        <v>45762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32609-2021</t>
        </is>
      </c>
      <c r="B649" s="1" t="n">
        <v>44375</v>
      </c>
      <c r="C649" s="1" t="n">
        <v>45762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32627-2021</t>
        </is>
      </c>
      <c r="B650" s="1" t="n">
        <v>44375</v>
      </c>
      <c r="C650" s="1" t="n">
        <v>45762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32927-2021</t>
        </is>
      </c>
      <c r="B651" s="1" t="n">
        <v>44375</v>
      </c>
      <c r="C651" s="1" t="n">
        <v>45762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45762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45762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45762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45762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45762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45762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45762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45762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45762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45762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45762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45762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45762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45762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45762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45762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45762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45762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45762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45762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45762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45762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45762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45762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45762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45762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45762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45762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45762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45762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45762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45762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45762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45762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45762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45762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45762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45762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45762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45762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45762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45762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45762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45762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45762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45762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45762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45762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45762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45762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45762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45762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45762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45762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45762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45762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45762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45762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45762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45762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45762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45762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45762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45762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45762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45762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45762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45762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45762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45762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45762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45762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45762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45762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45762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45762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45762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45762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45762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45762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45762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45762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45762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45762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45762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45762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45762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45762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45762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45762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45762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45762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45762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45762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45762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45762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45762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45762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45762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45762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45762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45762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45762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45762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45762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45762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45762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45762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45762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45762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45762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45762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45762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45762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45762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45762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45762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45762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45762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45762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45762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45762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45762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45762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45762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45762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45762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45762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45762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45762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45762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45762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45762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45762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45762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45762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45762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45762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45762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45762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45762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45762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45762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45762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45762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45762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45762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45762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45762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45762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45762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45762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45762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45762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45762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45762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45762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45762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45762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45762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45762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45762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45762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45762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45762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45762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45762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45762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45762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45762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45762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45762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45762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45762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45762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45762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45762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45762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45762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45762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45762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45762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45762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45762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45762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45762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45762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45762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45762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45762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45762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45762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45762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45762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45762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45762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45762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45762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45762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45762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45762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45762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45762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45762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45762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45762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45762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45762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45762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45762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45762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45762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45762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45762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45762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45762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45762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45762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45762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45762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45762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45762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45762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45762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45762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45762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45762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45762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45762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45762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45762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45762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45762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45762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45762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45762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45762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45762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45762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45762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45762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45762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45762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45762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45762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45762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45762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45762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45762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45762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45762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45762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45762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45762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45762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45762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45762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45762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45762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45762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45762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45762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45762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45762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45762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45762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45762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45762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45762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45762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45762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45762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45762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45762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45762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45762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45762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45762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45762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45762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45762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45762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45762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45762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45762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45762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45762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45762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45762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45762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45762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45762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45762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45762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45762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45762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45762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45762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45762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45762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45762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45762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45762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45762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45762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45762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45762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45762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45762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45762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45762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45762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45762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45762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45762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45762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45762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45762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45762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45762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45762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45762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45762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45762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45762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45762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45762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45762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45762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45762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45762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45762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45762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45762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45762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45762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45762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45762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45762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45762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45762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45762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45762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45762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45762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45762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45762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45762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45762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45762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45762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45762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45762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45762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45762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45762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45762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45762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45762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45762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45762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45762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45762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45762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45762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45762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45762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45762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45762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45762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45762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45762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45762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45762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45762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45762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45762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45762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45762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45762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45762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45762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45762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45762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45762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45762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45762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45762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45762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45762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45762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45762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45762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45762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45762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45762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45762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45762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45762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45762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45762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45762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45762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45762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45762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45762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45762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45762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45762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45762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45762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45762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45762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45762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45762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45762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45762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45762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45762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45762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45762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45762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45762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45762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45762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45762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45762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45762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45762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45762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45762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45762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45762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45762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45762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45762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45762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45762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45762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45762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45762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45762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45762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45762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45762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45762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45762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45762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45762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45762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45762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45762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45762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45762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45762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45762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45762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45762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45762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45762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45762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45762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45762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45762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45762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45762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45762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45762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45762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45762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45762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45762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45762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45762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45762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45762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45762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45762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45762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45762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45762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45762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45762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45762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45762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45762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45762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45762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45762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45762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45762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45762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45762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45762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45762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45762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45762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45762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45762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45762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45762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45762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45762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45762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45762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45762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45762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45762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45762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45762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45762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45762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45762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45762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45762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45762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45762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45762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45762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45762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45762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45762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45762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45762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45762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45762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45762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45762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45762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45762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45762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45762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45762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45762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45762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45762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45762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45762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45762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45762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45762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45762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45762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45762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45762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45762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45762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45762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45762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45762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45762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45762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45762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45762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45762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45762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45762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45762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45762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45762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45762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45762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45762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45762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45762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45762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45762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45762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45762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45762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45762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45762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45762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45762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45762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45762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45762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45762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45762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45762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45762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45762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45762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45762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45762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45762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45762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45762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45762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45762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45762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45762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45762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45762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45762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45762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45762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45762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45762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45762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45762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45762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45762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45762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45762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45762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45762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45762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45762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45762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45762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45762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45762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45762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45762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45762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45762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45762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45762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45762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45762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45762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45762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45762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45762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45762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45762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45762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45762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45762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45762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45762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45762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45762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45762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45762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45762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45762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45762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45762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45762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45762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45762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45762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45762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45762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45762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45762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45762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45762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45762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45762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45762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45762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45762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45762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45762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45762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45762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45762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45762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45762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45762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45762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45762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45762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45762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45762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45762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45762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45762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45762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45762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45762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45762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45762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45762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45762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45762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45762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45762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45762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45762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45762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45762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45762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45762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45762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45762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45762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45762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45762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45762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45762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45762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45762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45762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45762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45762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45762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45762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45762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45762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45762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45762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45762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45762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45762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45762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45762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45762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45762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45762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45762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45762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45762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45762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45762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45762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45762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45762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45762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45762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45762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45762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45762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45762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45762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45762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45762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45762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45762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45762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45762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45762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45762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45762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45762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45762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45762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45762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45762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45762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45762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45762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45762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45762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45762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45762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45762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45762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45762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45762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45762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45762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45762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45762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45762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45762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45762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45762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45762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45762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45762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45762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45762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45762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45762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45762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45762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45762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45762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45762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45762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45762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45762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45762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45762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45762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45762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45762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45762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45762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45762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45762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45762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45762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45762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45762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45762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45762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45762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45762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45762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45762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45762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45762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45762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45762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45762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45762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45762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45762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45762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45762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45762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45762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45762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45762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45762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45762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45762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45762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45762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45762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45762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45762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45762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45762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45762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45762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45762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45762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45762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45762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45762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45762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45762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45762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45762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45762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45762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45762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45762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45762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45762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45762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45762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45762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45762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45762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45762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45762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45762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45762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45762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45762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45762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45762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45762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45762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45762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45762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45762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45762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45762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45762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45762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45762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45762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45762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45762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45762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45762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45762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45762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45762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45762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45762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45762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45762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45762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45762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45762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45762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45762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45762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45762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45762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45762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45762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45762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45762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45762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45762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45762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45762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45762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45762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45762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45762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45762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45762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45762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45762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45762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45762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45762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45762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45762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45762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45762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45762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45762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45762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45762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45762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45762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45762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45762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45762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45762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45762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45762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45762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45762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45762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45762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45762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45762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45762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45762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45762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45762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45762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45762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45762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45762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45762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45762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45762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45762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45762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45762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45762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45762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45762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45762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45762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45762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45762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45762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45762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45762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45762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45762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45762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45762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45762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45762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45762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45762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45762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45762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45762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45762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45762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45762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45762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45762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45762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45762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45762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45762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45762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45762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45762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45762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45762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45762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45762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45762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45762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45762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45762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45762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45762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45762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45762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45762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45762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45762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45762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45762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45762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45762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45762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45762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45762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45762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45762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45762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45762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45762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45762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45762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45762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45762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45762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45762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45762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45762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45762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45762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45762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45762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45762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45762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45762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45762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45762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45762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45762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45762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45762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45762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45762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45762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45762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45762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45762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45762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45762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45762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45762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45762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45762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45762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45762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45762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45762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45762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45762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45762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45762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45762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45762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45762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45762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45762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45762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45762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45762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45762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45762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45762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45762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45762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45762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45762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45762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45762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45762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45762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45762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45762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45762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45762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45762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45762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45762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45762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45762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45762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45762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45762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45762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45762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45762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45762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45762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45762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45762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45762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45762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45762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45762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45762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45762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45762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45762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45762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45762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45762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45762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45762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45762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45762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45762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45762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45762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45762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45762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45762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45762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45762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45762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45762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45762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45762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45762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45762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45762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45762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45762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45762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45762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45762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45762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45762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45762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45762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45762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45762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45762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45762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45762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45762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45762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45762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45762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45762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45762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45762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45762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45762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45762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45762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45762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45762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45762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45762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45762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45762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45762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45762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45762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45762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45762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45762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45762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45762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45762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45762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45762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45762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45762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45762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45762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45762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45762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45762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45762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45762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45762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45762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45762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45762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45762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45762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45762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45762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45762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45762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45762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45762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45762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45762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45762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45762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45762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45762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45762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45762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45762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45762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45762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45762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45762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45762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45762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45762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45762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45762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45762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45762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45762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45762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45762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45762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45762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45762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45762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45762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45762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45762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45762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45762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45762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45762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45762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45762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45762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45762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45762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45762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45762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45762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45762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45762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45762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45762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45762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45762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15098-2025</t>
        </is>
      </c>
      <c r="B1866" s="1" t="n">
        <v>45744</v>
      </c>
      <c r="C1866" s="1" t="n">
        <v>45762</v>
      </c>
      <c r="D1866" t="inlineStr">
        <is>
          <t>KALMAR LÄN</t>
        </is>
      </c>
      <c r="E1866" t="inlineStr">
        <is>
          <t>NYBRO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15109-2025</t>
        </is>
      </c>
      <c r="B1867" s="1" t="n">
        <v>45744</v>
      </c>
      <c r="C1867" s="1" t="n">
        <v>45762</v>
      </c>
      <c r="D1867" t="inlineStr">
        <is>
          <t>KALMAR LÄN</t>
        </is>
      </c>
      <c r="E1867" t="inlineStr">
        <is>
          <t>NYBRO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45762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15100-2025</t>
        </is>
      </c>
      <c r="B1869" s="1" t="n">
        <v>45744</v>
      </c>
      <c r="C1869" s="1" t="n">
        <v>45762</v>
      </c>
      <c r="D1869" t="inlineStr">
        <is>
          <t>KALMAR LÄN</t>
        </is>
      </c>
      <c r="E1869" t="inlineStr">
        <is>
          <t>NYBRO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45762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45762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45762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45762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45762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45762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45762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45762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45762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45762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45762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45762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17439-2025</t>
        </is>
      </c>
      <c r="B1882" s="1" t="n">
        <v>45757</v>
      </c>
      <c r="C1882" s="1" t="n">
        <v>45762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45762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17714-2025</t>
        </is>
      </c>
      <c r="B1884" s="1" t="n">
        <v>45758</v>
      </c>
      <c r="C1884" s="1" t="n">
        <v>45762</v>
      </c>
      <c r="D1884" t="inlineStr">
        <is>
          <t>KALMAR LÄN</t>
        </is>
      </c>
      <c r="E1884" t="inlineStr">
        <is>
          <t>NYBRO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45762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45762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18218-2025</t>
        </is>
      </c>
      <c r="B1887" s="1" t="n">
        <v>45761</v>
      </c>
      <c r="C1887" s="1" t="n">
        <v>45762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18216-2025</t>
        </is>
      </c>
      <c r="B1888" s="1" t="n">
        <v>45761</v>
      </c>
      <c r="C1888" s="1" t="n">
        <v>45762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17969-2025</t>
        </is>
      </c>
      <c r="B1889" s="1" t="n">
        <v>45761</v>
      </c>
      <c r="C1889" s="1" t="n">
        <v>45762</v>
      </c>
      <c r="D1889" t="inlineStr">
        <is>
          <t>KALMAR LÄN</t>
        </is>
      </c>
      <c r="E1889" t="inlineStr">
        <is>
          <t>NYBRO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18141-2025</t>
        </is>
      </c>
      <c r="B1890" s="1" t="n">
        <v>45761</v>
      </c>
      <c r="C1890" s="1" t="n">
        <v>45762</v>
      </c>
      <c r="D1890" t="inlineStr">
        <is>
          <t>KALMAR LÄN</t>
        </is>
      </c>
      <c r="E1890" t="inlineStr">
        <is>
          <t>NYBRO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45762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18092-2025</t>
        </is>
      </c>
      <c r="B1892" s="1" t="n">
        <v>45761</v>
      </c>
      <c r="C1892" s="1" t="n">
        <v>45762</v>
      </c>
      <c r="D1892" t="inlineStr">
        <is>
          <t>KALMAR LÄN</t>
        </is>
      </c>
      <c r="E1892" t="inlineStr">
        <is>
          <t>NYBRO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>
      <c r="A1893" t="inlineStr">
        <is>
          <t>A 18214-2025</t>
        </is>
      </c>
      <c r="B1893" s="1" t="n">
        <v>45761</v>
      </c>
      <c r="C1893" s="1" t="n">
        <v>45762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2025-04-15T16:08:14Z</dcterms:created>
  <dcterms:modified xmlns:dcterms="http://purl.org/dc/terms/" xmlns:xsi="http://www.w3.org/2001/XMLSchema-instance" xsi:type="dcterms:W3CDTF">2025-04-15T16:08:16Z</dcterms:modified>
</cp:coreProperties>
</file>