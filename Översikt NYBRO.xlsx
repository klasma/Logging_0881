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46293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46293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46293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46293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46293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46293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46293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46293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46293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46293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46293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46293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46293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46293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46293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46293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46293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46293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46293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46293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46293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46293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46293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46293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46293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46293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46293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46293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46293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46293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46293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46293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46293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46293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46293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46293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46293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46293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46293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46293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46293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46293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46293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63006-2025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46293</v>
      </c>
      <c r="F54" t="inlineStr">
        <is>
          <t>KALMAR LÄN</t>
        </is>
      </c>
      <c r="G54" t="inlineStr">
        <is>
          <t>NYBRO</t>
        </is>
      </c>
      <c r="I54" t="n">
        <v>6.8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Bronshjon
Mindre märgborre</t>
        </is>
      </c>
      <c r="W54">
        <f>HYPERLINK("https://klasma.github.io/Logging_0881/artfynd/A 63006-2025 artfynd.xlsx", "A 63006-2025")</f>
        <v/>
      </c>
      <c r="X54">
        <f>HYPERLINK("https://klasma.github.io/Logging_0881/kartor/A 63006-2025 karta.png", "A 63006-2025")</f>
        <v/>
      </c>
      <c r="Y54">
        <f>HYPERLINK("https://klasma.github.io/Logging_0881/kartor_geotiff/A 63006-2025 georefererad karta.tif", "A 63006-2025")</f>
        <v/>
      </c>
      <c r="AA54">
        <f>HYPERLINK("https://klasma.github.io/Logging_0881/klagomål/A 63006-2025 FSC-klagomål.docx", "A 63006-2025")</f>
        <v/>
      </c>
      <c r="AB54">
        <f>HYPERLINK("https://klasma.github.io/Logging_0881/klagomålsmail/A 63006-2025 FSC-klagomål mail.docx", "A 63006-2025")</f>
        <v/>
      </c>
      <c r="AC54">
        <f>HYPERLINK("https://klasma.github.io/Logging_0881/tillsyn/A 63006-2025 tillsynsbegäran.docx", "A 63006-2025")</f>
        <v/>
      </c>
      <c r="AD54">
        <f>HYPERLINK("https://klasma.github.io/Logging_0881/tillsynsmail/A 63006-2025 tillsynsbegäran mail.docx", "A 63006-2025")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46293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46293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46293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46293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35002-2025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45850</v>
      </c>
      <c r="E60" s="1" t="n">
        <v>46293</v>
      </c>
      <c r="F60" t="inlineStr">
        <is>
          <t>KALMAR LÄN</t>
        </is>
      </c>
      <c r="G60" t="inlineStr">
        <is>
          <t>NYBRO</t>
        </is>
      </c>
      <c r="I60" t="n">
        <v>1.9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Knärot
Blomkålssvamp</t>
        </is>
      </c>
      <c r="W60">
        <f>HYPERLINK("https://klasma.github.io/Logging_0881/artfynd/A 35002-2025 artfynd.xlsx", "A 35002-2025")</f>
        <v/>
      </c>
      <c r="X60">
        <f>HYPERLINK("https://klasma.github.io/Logging_0881/kartor/A 35002-2025 karta.png", "A 35002-2025")</f>
        <v/>
      </c>
      <c r="Y60">
        <f>HYPERLINK("https://klasma.github.io/Logging_0881/kartor_geotiff/A 35002-2025 georefererad karta.tif", "A 35002-2025")</f>
        <v/>
      </c>
      <c r="Z60">
        <f>HYPERLINK("https://klasma.github.io/Logging_0881/knärot/A 35002-2025 karta knärot.png", "A 35002-2025")</f>
        <v/>
      </c>
      <c r="AA60">
        <f>HYPERLINK("https://klasma.github.io/Logging_0881/klagomål/A 35002-2025 FSC-klagomål.docx", "A 35002-2025")</f>
        <v/>
      </c>
      <c r="AB60">
        <f>HYPERLINK("https://klasma.github.io/Logging_0881/klagomålsmail/A 35002-2025 FSC-klagomål mail.docx", "A 35002-2025")</f>
        <v/>
      </c>
      <c r="AC60">
        <f>HYPERLINK("https://klasma.github.io/Logging_0881/tillsyn/A 35002-2025 tillsynsbegäran.docx", "A 35002-2025")</f>
        <v/>
      </c>
      <c r="AD60">
        <f>HYPERLINK("https://klasma.github.io/Logging_0881/tillsynsmail/A 35002-2025 tillsynsbegäran mail.docx", "A 35002-2025")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46293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46293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46293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46293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46293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46293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46293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46293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46293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46293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46293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46293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46293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46293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46293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46293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46293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46293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46293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46293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46293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46293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HYPERLINK("https://klasma.github.io/Logging_0881/artfynd/A 22952-2024 artfynd.xlsx", "A 22952-2024")</f>
        <v/>
      </c>
      <c r="X82">
        <f>HYPERLINK("https://klasma.github.io/Logging_0881/kartor/A 22952-2024 karta.png", "A 22952-2024")</f>
        <v/>
      </c>
      <c r="Y82">
        <f>HYPERLINK("https://klasma.github.io/Logging_0881/kartor_geotiff/A 22952-2024 georefererad karta.tif", "A 22952-2024")</f>
        <v/>
      </c>
      <c r="AA82">
        <f>HYPERLINK("https://klasma.github.io/Logging_0881/klagomål/A 22952-2024 FSC-klagomål.docx", "A 22952-2024")</f>
        <v/>
      </c>
      <c r="AB82">
        <f>HYPERLINK("https://klasma.github.io/Logging_0881/klagomålsmail/A 22952-2024 FSC-klagomål mail.docx", "A 22952-2024")</f>
        <v/>
      </c>
      <c r="AC82">
        <f>HYPERLINK("https://klasma.github.io/Logging_0881/tillsyn/A 22952-2024 tillsynsbegäran.docx", "A 22952-2024")</f>
        <v/>
      </c>
      <c r="AD82">
        <f>HYPERLINK("https://klasma.github.io/Logging_0881/tillsynsmail/A 22952-2024 tillsynsbegäran mail.docx", "A 22952-2024")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46293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46223-2024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46293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Sumpviol</t>
        </is>
      </c>
      <c r="W84">
        <f>HYPERLINK("https://klasma.github.io/Logging_0881/artfynd/A 46223-2024 artfynd.xlsx", "A 46223-2024")</f>
        <v/>
      </c>
      <c r="X84">
        <f>HYPERLINK("https://klasma.github.io/Logging_0881/kartor/A 46223-2024 karta.png", "A 46223-2024")</f>
        <v/>
      </c>
      <c r="Y84">
        <f>HYPERLINK("https://klasma.github.io/Logging_0881/kartor_geotiff/A 46223-2024 georefererad karta.tif", "A 46223-2024")</f>
        <v/>
      </c>
      <c r="AA84">
        <f>HYPERLINK("https://klasma.github.io/Logging_0881/klagomål/A 46223-2024 FSC-klagomål.docx", "A 46223-2024")</f>
        <v/>
      </c>
      <c r="AB84">
        <f>HYPERLINK("https://klasma.github.io/Logging_0881/klagomålsmail/A 46223-2024 FSC-klagomål mail.docx", "A 46223-2024")</f>
        <v/>
      </c>
      <c r="AC84">
        <f>HYPERLINK("https://klasma.github.io/Logging_0881/tillsyn/A 46223-2024 tillsynsbegäran.docx", "A 46223-2024")</f>
        <v/>
      </c>
      <c r="AD84">
        <f>HYPERLINK("https://klasma.github.io/Logging_0881/tillsynsmail/A 46223-2024 tillsynsbegäran mail.docx", "A 46223-2024")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46293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46293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46293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46293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46293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20647-2026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46293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Ljungögontröst</t>
        </is>
      </c>
      <c r="W90">
        <f>HYPERLINK("https://klasma.github.io/Logging_0881/artfynd/A 20647-2026 artfynd.xlsx", "A 20647-2026")</f>
        <v/>
      </c>
      <c r="X90">
        <f>HYPERLINK("https://klasma.github.io/Logging_0881/kartor/A 20647-2026 karta.png", "A 20647-2026")</f>
        <v/>
      </c>
      <c r="Y90">
        <f>HYPERLINK("https://klasma.github.io/Logging_0881/kartor_geotiff/A 20647-2026 georefererad karta.tif", "A 20647-2026")</f>
        <v/>
      </c>
      <c r="AA90">
        <f>HYPERLINK("https://klasma.github.io/Logging_0881/klagomål/A 20647-2026 FSC-klagomål.docx", "A 20647-2026")</f>
        <v/>
      </c>
      <c r="AB90">
        <f>HYPERLINK("https://klasma.github.io/Logging_0881/klagomålsmail/A 20647-2026 FSC-klagomål mail.docx", "A 20647-2026")</f>
        <v/>
      </c>
      <c r="AC90">
        <f>HYPERLINK("https://klasma.github.io/Logging_0881/tillsyn/A 20647-2026 tillsynsbegäran.docx", "A 20647-2026")</f>
        <v/>
      </c>
      <c r="AD90">
        <f>HYPERLINK("https://klasma.github.io/Logging_0881/tillsynsmail/A 20647-2026 tillsynsbegäran mail.docx", "A 20647-2026")</f>
        <v/>
      </c>
    </row>
    <row r="91" ht="15" customHeight="1">
      <c r="A91" t="inlineStr">
        <is>
          <t>A 22086-2026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46293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Talltita</t>
        </is>
      </c>
      <c r="W91">
        <f>HYPERLINK("https://klasma.github.io/Logging_0881/artfynd/A 22086-2026 artfynd.xlsx", "A 22086-2026")</f>
        <v/>
      </c>
      <c r="X91">
        <f>HYPERLINK("https://klasma.github.io/Logging_0881/kartor/A 22086-2026 karta.png", "A 22086-2026")</f>
        <v/>
      </c>
      <c r="Y91">
        <f>HYPERLINK("https://klasma.github.io/Logging_0881/kartor_geotiff/A 22086-2026 georefererad karta.tif", "A 22086-2026")</f>
        <v/>
      </c>
      <c r="AA91">
        <f>HYPERLINK("https://klasma.github.io/Logging_0881/klagomål/A 22086-2026 FSC-klagomål.docx", "A 22086-2026")</f>
        <v/>
      </c>
      <c r="AB91">
        <f>HYPERLINK("https://klasma.github.io/Logging_0881/klagomålsmail/A 22086-2026 FSC-klagomål mail.docx", "A 22086-2026")</f>
        <v/>
      </c>
      <c r="AC91">
        <f>HYPERLINK("https://klasma.github.io/Logging_0881/tillsyn/A 22086-2026 tillsynsbegäran.docx", "A 22086-2026")</f>
        <v/>
      </c>
      <c r="AD91">
        <f>HYPERLINK("https://klasma.github.io/Logging_0881/tillsynsmail/A 22086-2026 tillsynsbegäran mail.docx", "A 22086-2026")</f>
        <v/>
      </c>
      <c r="AE91">
        <f>HYPERLINK("https://klasma.github.io/Logging_0881/fåglar/A 22086-2026 prioriterade fågelarter.docx", "A 22086-2026")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46293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46293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46293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24315-2026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46293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8.5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24315-2026 artfynd.xlsx", "A 24315-2026")</f>
        <v/>
      </c>
      <c r="X95">
        <f>HYPERLINK("https://klasma.github.io/Logging_0881/kartor/A 24315-2026 karta.png", "A 24315-2026")</f>
        <v/>
      </c>
      <c r="Y95">
        <f>HYPERLINK("https://klasma.github.io/Logging_0881/kartor_geotiff/A 24315-2026 georefererad karta.tif", "A 24315-2026")</f>
        <v/>
      </c>
      <c r="AA95">
        <f>HYPERLINK("https://klasma.github.io/Logging_0881/klagomål/A 24315-2026 FSC-klagomål.docx", "A 24315-2026")</f>
        <v/>
      </c>
      <c r="AB95">
        <f>HYPERLINK("https://klasma.github.io/Logging_0881/klagomålsmail/A 24315-2026 FSC-klagomål mail.docx", "A 24315-2026")</f>
        <v/>
      </c>
      <c r="AC95">
        <f>HYPERLINK("https://klasma.github.io/Logging_0881/tillsyn/A 24315-2026 tillsynsbegäran.docx", "A 24315-2026")</f>
        <v/>
      </c>
      <c r="AD95">
        <f>HYPERLINK("https://klasma.github.io/Logging_0881/tillsynsmail/A 24315-2026 tillsynsbegäran mail.docx", "A 24315-2026")</f>
        <v/>
      </c>
    </row>
    <row r="96" ht="15" customHeight="1">
      <c r="A96" t="inlineStr">
        <is>
          <t>A 37016-2023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46293</v>
      </c>
      <c r="F96" t="inlineStr">
        <is>
          <t>KALMAR LÄN</t>
        </is>
      </c>
      <c r="G96" t="inlineStr">
        <is>
          <t>NYBRO</t>
        </is>
      </c>
      <c r="I96" t="n">
        <v>6.4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</t>
        </is>
      </c>
      <c r="W96">
        <f>HYPERLINK("https://klasma.github.io/Logging_0881/artfynd/A 37016-2023 artfynd.xlsx", "A 37016-2023")</f>
        <v/>
      </c>
      <c r="X96">
        <f>HYPERLINK("https://klasma.github.io/Logging_0881/kartor/A 37016-2023 karta.png", "A 37016-2023")</f>
        <v/>
      </c>
      <c r="Y96">
        <f>HYPERLINK("https://klasma.github.io/Logging_0881/kartor_geotiff/A 37016-2023 georefererad karta.tif", "A 37016-2023")</f>
        <v/>
      </c>
      <c r="AA96">
        <f>HYPERLINK("https://klasma.github.io/Logging_0881/klagomål/A 37016-2023 FSC-klagomål.docx", "A 37016-2023")</f>
        <v/>
      </c>
      <c r="AB96">
        <f>HYPERLINK("https://klasma.github.io/Logging_0881/klagomålsmail/A 37016-2023 FSC-klagomål mail.docx", "A 37016-2023")</f>
        <v/>
      </c>
      <c r="AC96">
        <f>HYPERLINK("https://klasma.github.io/Logging_0881/tillsyn/A 37016-2023 tillsynsbegäran.docx", "A 37016-2023")</f>
        <v/>
      </c>
      <c r="AD96">
        <f>HYPERLINK("https://klasma.github.io/Logging_0881/tillsynsmail/A 37016-2023 tillsynsbegäran mail.docx", "A 37016-2023")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46293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26463-2026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46293</v>
      </c>
      <c r="F98" t="inlineStr">
        <is>
          <t>KALMAR LÄN</t>
        </is>
      </c>
      <c r="G98" t="inlineStr">
        <is>
          <t>NYBRO</t>
        </is>
      </c>
      <c r="I98" t="n">
        <v>2.7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Blåmossa</t>
        </is>
      </c>
      <c r="W98">
        <f>HYPERLINK("https://klasma.github.io/Logging_0881/artfynd/A 26463-2026 artfynd.xlsx", "A 26463-2026")</f>
        <v/>
      </c>
      <c r="X98">
        <f>HYPERLINK("https://klasma.github.io/Logging_0881/kartor/A 26463-2026 karta.png", "A 26463-2026")</f>
        <v/>
      </c>
      <c r="Y98">
        <f>HYPERLINK("https://klasma.github.io/Logging_0881/kartor_geotiff/A 26463-2026 georefererad karta.tif", "A 26463-2026")</f>
        <v/>
      </c>
      <c r="AA98">
        <f>HYPERLINK("https://klasma.github.io/Logging_0881/klagomål/A 26463-2026 FSC-klagomål.docx", "A 26463-2026")</f>
        <v/>
      </c>
      <c r="AB98">
        <f>HYPERLINK("https://klasma.github.io/Logging_0881/klagomålsmail/A 26463-2026 FSC-klagomål mail.docx", "A 26463-2026")</f>
        <v/>
      </c>
      <c r="AC98">
        <f>HYPERLINK("https://klasma.github.io/Logging_0881/tillsyn/A 26463-2026 tillsynsbegäran.docx", "A 26463-2026")</f>
        <v/>
      </c>
      <c r="AD98">
        <f>HYPERLINK("https://klasma.github.io/Logging_0881/tillsynsmail/A 26463-2026 tillsynsbegäran mail.docx", "A 26463-2026")</f>
        <v/>
      </c>
    </row>
    <row r="99" ht="15" customHeight="1">
      <c r="A99" t="inlineStr">
        <is>
          <t>A 31861-2023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45118</v>
      </c>
      <c r="E99" s="1" t="n">
        <v>46293</v>
      </c>
      <c r="F99" t="inlineStr">
        <is>
          <t>KALMAR LÄN</t>
        </is>
      </c>
      <c r="G99" t="inlineStr">
        <is>
          <t>NYBRO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HYPERLINK("https://klasma.github.io/Logging_0881/artfynd/A 31861-2023 artfynd.xlsx", "A 31861-2023")</f>
        <v/>
      </c>
      <c r="X99">
        <f>HYPERLINK("https://klasma.github.io/Logging_0881/kartor/A 31861-2023 karta.png", "A 31861-2023")</f>
        <v/>
      </c>
      <c r="Y99">
        <f>HYPERLINK("https://klasma.github.io/Logging_0881/kartor_geotiff/A 31861-2023 georefererad karta.tif", "A 31861-2023")</f>
        <v/>
      </c>
      <c r="AA99">
        <f>HYPERLINK("https://klasma.github.io/Logging_0881/klagomål/A 31861-2023 FSC-klagomål.docx", "A 31861-2023")</f>
        <v/>
      </c>
      <c r="AB99">
        <f>HYPERLINK("https://klasma.github.io/Logging_0881/klagomålsmail/A 31861-2023 FSC-klagomål mail.docx", "A 31861-2023")</f>
        <v/>
      </c>
      <c r="AC99">
        <f>HYPERLINK("https://klasma.github.io/Logging_0881/tillsyn/A 31861-2023 tillsynsbegäran.docx", "A 31861-2023")</f>
        <v/>
      </c>
      <c r="AD99">
        <f>HYPERLINK("https://klasma.github.io/Logging_0881/tillsynsmail/A 31861-2023 tillsynsbegäran mail.docx", "A 31861-2023")</f>
        <v/>
      </c>
    </row>
    <row r="100" ht="15" customHeight="1">
      <c r="A100" t="inlineStr">
        <is>
          <t>A 27669-2026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46190</v>
      </c>
      <c r="E100" s="1" t="n">
        <v>46293</v>
      </c>
      <c r="F100" t="inlineStr">
        <is>
          <t>KALMAR LÄN</t>
        </is>
      </c>
      <c r="G100" t="inlineStr">
        <is>
          <t>NYBRO</t>
        </is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HYPERLINK("https://klasma.github.io/Logging_0881/artfynd/A 27669-2026 artfynd.xlsx", "A 27669-2026")</f>
        <v/>
      </c>
      <c r="X100">
        <f>HYPERLINK("https://klasma.github.io/Logging_0881/kartor/A 27669-2026 karta.png", "A 27669-2026")</f>
        <v/>
      </c>
      <c r="Y100">
        <f>HYPERLINK("https://klasma.github.io/Logging_0881/kartor_geotiff/A 27669-2026 georefererad karta.tif", "A 27669-2026")</f>
        <v/>
      </c>
      <c r="AA100">
        <f>HYPERLINK("https://klasma.github.io/Logging_0881/klagomål/A 27669-2026 FSC-klagomål.docx", "A 27669-2026")</f>
        <v/>
      </c>
      <c r="AB100">
        <f>HYPERLINK("https://klasma.github.io/Logging_0881/klagomålsmail/A 27669-2026 FSC-klagomål mail.docx", "A 27669-2026")</f>
        <v/>
      </c>
      <c r="AC100">
        <f>HYPERLINK("https://klasma.github.io/Logging_0881/tillsyn/A 27669-2026 tillsynsbegäran.docx", "A 27669-2026")</f>
        <v/>
      </c>
      <c r="AD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46293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34361-2026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46293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9.5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HYPERLINK("https://klasma.github.io/Logging_0881/artfynd/A 34361-2026 artfynd.xlsx", "A 34361-2026")</f>
        <v/>
      </c>
      <c r="X102">
        <f>HYPERLINK("https://klasma.github.io/Logging_0881/kartor/A 34361-2026 karta.png", "A 34361-2026")</f>
        <v/>
      </c>
      <c r="Y102">
        <f>HYPERLINK("https://klasma.github.io/Logging_0881/kartor_geotiff/A 34361-2026 georefererad karta.tif", "A 34361-2026")</f>
        <v/>
      </c>
      <c r="AA102">
        <f>HYPERLINK("https://klasma.github.io/Logging_0881/klagomål/A 34361-2026 FSC-klagomål.docx", "A 34361-2026")</f>
        <v/>
      </c>
      <c r="AB102">
        <f>HYPERLINK("https://klasma.github.io/Logging_0881/klagomålsmail/A 34361-2026 FSC-klagomål mail.docx", "A 34361-2026")</f>
        <v/>
      </c>
      <c r="AC102">
        <f>HYPERLINK("https://klasma.github.io/Logging_0881/tillsyn/A 34361-2026 tillsynsbegäran.docx", "A 34361-2026")</f>
        <v/>
      </c>
      <c r="AD102">
        <f>HYPERLINK("https://klasma.github.io/Logging_0881/tillsynsmail/A 34361-2026 tillsynsbegäran mail.docx", "A 34361-2026")</f>
        <v/>
      </c>
      <c r="AE102">
        <f>HYPERLINK("https://klasma.github.io/Logging_0881/fåglar/A 34361-2026 prioriterade fågelarter.docx", "A 34361-2026")</f>
        <v/>
      </c>
    </row>
    <row r="103" ht="15" customHeight="1">
      <c r="A103" t="inlineStr">
        <is>
          <t>A 1717-2024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45307</v>
      </c>
      <c r="E103" s="1" t="n">
        <v>46293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HYPERLINK("https://klasma.github.io/Logging_0881/artfynd/A 1717-2024 artfynd.xlsx", "A 1717-2024")</f>
        <v/>
      </c>
      <c r="X103">
        <f>HYPERLINK("https://klasma.github.io/Logging_0881/kartor/A 1717-2024 karta.png", "A 1717-2024")</f>
        <v/>
      </c>
      <c r="Y103">
        <f>HYPERLINK("https://klasma.github.io/Logging_0881/kartor_geotiff/A 1717-2024 georefererad karta.tif", "A 1717-2024")</f>
        <v/>
      </c>
      <c r="AA103">
        <f>HYPERLINK("https://klasma.github.io/Logging_0881/klagomål/A 1717-2024 FSC-klagomål.docx", "A 1717-2024")</f>
        <v/>
      </c>
      <c r="AB103">
        <f>HYPERLINK("https://klasma.github.io/Logging_0881/klagomålsmail/A 1717-2024 FSC-klagomål mail.docx", "A 1717-2024")</f>
        <v/>
      </c>
      <c r="AC103">
        <f>HYPERLINK("https://klasma.github.io/Logging_0881/tillsyn/A 1717-2024 tillsynsbegäran.docx", "A 1717-2024")</f>
        <v/>
      </c>
      <c r="AD103">
        <f>HYPERLINK("https://klasma.github.io/Logging_0881/tillsynsmail/A 1717-2024 tillsynsbegäran mail.docx", "A 1717-2024")</f>
        <v/>
      </c>
    </row>
    <row r="104" ht="15" customHeight="1">
      <c r="A104" t="inlineStr">
        <is>
          <t>A 12323-2025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46293</v>
      </c>
      <c r="F104" t="inlineStr">
        <is>
          <t>KALMAR LÄN</t>
        </is>
      </c>
      <c r="G104" t="inlineStr">
        <is>
          <t>NYBRO</t>
        </is>
      </c>
      <c r="I104" t="n">
        <v>14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HYPERLINK("https://klasma.github.io/Logging_0881/artfynd/A 12323-2025 artfynd.xlsx", "A 12323-2025")</f>
        <v/>
      </c>
      <c r="X104">
        <f>HYPERLINK("https://klasma.github.io/Logging_0881/kartor/A 12323-2025 karta.png", "A 12323-2025")</f>
        <v/>
      </c>
      <c r="Y104">
        <f>HYPERLINK("https://klasma.github.io/Logging_0881/kartor_geotiff/A 12323-2025 georefererad karta.tif", "A 12323-2025")</f>
        <v/>
      </c>
      <c r="AA104">
        <f>HYPERLINK("https://klasma.github.io/Logging_0881/klagomål/A 12323-2025 FSC-klagomål.docx", "A 12323-2025")</f>
        <v/>
      </c>
      <c r="AB104">
        <f>HYPERLINK("https://klasma.github.io/Logging_0881/klagomålsmail/A 12323-2025 FSC-klagomål mail.docx", "A 12323-2025")</f>
        <v/>
      </c>
      <c r="AC104">
        <f>HYPERLINK("https://klasma.github.io/Logging_0881/tillsyn/A 12323-2025 tillsynsbegäran.docx", "A 12323-2025")</f>
        <v/>
      </c>
      <c r="AD104">
        <f>HYPERLINK("https://klasma.github.io/Logging_0881/tillsynsmail/A 12323-2025 tillsynsbegäran mail.docx", "A 12323-2025")</f>
        <v/>
      </c>
      <c r="AE104">
        <f>HYPERLINK("https://klasma.github.io/Logging_0881/fåglar/A 12323-2025 prioriterade fågelarter.docx", "A 12323-2025")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46293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61790-2022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46293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3.7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61790-2022 artfynd.xlsx", "A 61790-2022")</f>
        <v/>
      </c>
      <c r="X106">
        <f>HYPERLINK("https://klasma.github.io/Logging_0881/kartor/A 61790-2022 karta.png", "A 61790-2022")</f>
        <v/>
      </c>
      <c r="Y106">
        <f>HYPERLINK("https://klasma.github.io/Logging_0881/kartor_geotiff/A 61790-2022 georefererad karta.tif", "A 61790-2022")</f>
        <v/>
      </c>
      <c r="AA106">
        <f>HYPERLINK("https://klasma.github.io/Logging_0881/klagomål/A 61790-2022 FSC-klagomål.docx", "A 61790-2022")</f>
        <v/>
      </c>
      <c r="AB106">
        <f>HYPERLINK("https://klasma.github.io/Logging_0881/klagomålsmail/A 61790-2022 FSC-klagomål mail.docx", "A 61790-2022")</f>
        <v/>
      </c>
      <c r="AC106">
        <f>HYPERLINK("https://klasma.github.io/Logging_0881/tillsyn/A 61790-2022 tillsynsbegäran.docx", "A 61790-2022")</f>
        <v/>
      </c>
      <c r="AD106">
        <f>HYPERLINK("https://klasma.github.io/Logging_0881/tillsynsmail/A 61790-2022 tillsynsbegäran mail.docx", "A 61790-2022")</f>
        <v/>
      </c>
    </row>
    <row r="107" ht="15" customHeight="1">
      <c r="A107" t="inlineStr">
        <is>
          <t>A 22127-2026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46293</v>
      </c>
      <c r="F107" t="inlineStr">
        <is>
          <t>KALMAR LÄN</t>
        </is>
      </c>
      <c r="G107" t="inlineStr">
        <is>
          <t>NYBRO</t>
        </is>
      </c>
      <c r="I107" t="n">
        <v>4.3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HYPERLINK("https://klasma.github.io/Logging_0881/artfynd/A 22127-2026 artfynd.xlsx", "A 22127-2026")</f>
        <v/>
      </c>
      <c r="X107">
        <f>HYPERLINK("https://klasma.github.io/Logging_0881/kartor/A 22127-2026 karta.png", "A 22127-2026")</f>
        <v/>
      </c>
      <c r="Y107">
        <f>HYPERLINK("https://klasma.github.io/Logging_0881/kartor_geotiff/A 22127-2026 georefererad karta.tif", "A 22127-2026")</f>
        <v/>
      </c>
      <c r="AA107">
        <f>HYPERLINK("https://klasma.github.io/Logging_0881/klagomål/A 22127-2026 FSC-klagomål.docx", "A 22127-2026")</f>
        <v/>
      </c>
      <c r="AB107">
        <f>HYPERLINK("https://klasma.github.io/Logging_0881/klagomålsmail/A 22127-2026 FSC-klagomål mail.docx", "A 22127-2026")</f>
        <v/>
      </c>
      <c r="AC107">
        <f>HYPERLINK("https://klasma.github.io/Logging_0881/tillsyn/A 22127-2026 tillsynsbegäran.docx", "A 22127-2026")</f>
        <v/>
      </c>
      <c r="AD107">
        <f>HYPERLINK("https://klasma.github.io/Logging_0881/tillsynsmail/A 22127-2026 tillsynsbegäran mail.docx", "A 22127-2026")</f>
        <v/>
      </c>
      <c r="AE107">
        <f>HYPERLINK("https://klasma.github.io/Logging_0881/fåglar/A 22127-2026 prioriterade fågelarter.docx", "A 22127-2026")</f>
        <v/>
      </c>
    </row>
    <row r="108" ht="15" customHeight="1">
      <c r="A108" t="inlineStr">
        <is>
          <t>A 35388-2022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46293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Motaggsvamp</t>
        </is>
      </c>
      <c r="W108">
        <f>HYPERLINK("https://klasma.github.io/Logging_0881/artfynd/A 35388-2022 artfynd.xlsx", "A 35388-2022")</f>
        <v/>
      </c>
      <c r="X108">
        <f>HYPERLINK("https://klasma.github.io/Logging_0881/kartor/A 35388-2022 karta.png", "A 35388-2022")</f>
        <v/>
      </c>
      <c r="Y108">
        <f>HYPERLINK("https://klasma.github.io/Logging_0881/kartor_geotiff/A 35388-2022 georefererad karta.tif", "A 35388-2022")</f>
        <v/>
      </c>
      <c r="AA108">
        <f>HYPERLINK("https://klasma.github.io/Logging_0881/klagomål/A 35388-2022 FSC-klagomål.docx", "A 35388-2022")</f>
        <v/>
      </c>
      <c r="AB108">
        <f>HYPERLINK("https://klasma.github.io/Logging_0881/klagomålsmail/A 35388-2022 FSC-klagomål mail.docx", "A 35388-2022")</f>
        <v/>
      </c>
      <c r="AC108">
        <f>HYPERLINK("https://klasma.github.io/Logging_0881/tillsyn/A 35388-2022 tillsynsbegäran.docx", "A 35388-2022")</f>
        <v/>
      </c>
      <c r="AD108">
        <f>HYPERLINK("https://klasma.github.io/Logging_0881/tillsynsmail/A 35388-2022 tillsynsbegäran mail.docx", "A 35388-2022")</f>
        <v/>
      </c>
    </row>
    <row r="109" ht="15" customHeight="1">
      <c r="A109" t="inlineStr">
        <is>
          <t>A 22171-2023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46293</v>
      </c>
      <c r="F109" t="inlineStr">
        <is>
          <t>KALMAR LÄN</t>
        </is>
      </c>
      <c r="G109" t="inlineStr">
        <is>
          <t>NYBRO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22171-2023 artfynd.xlsx", "A 22171-2023")</f>
        <v/>
      </c>
      <c r="X109">
        <f>HYPERLINK("https://klasma.github.io/Logging_0881/kartor/A 22171-2023 karta.png", "A 22171-2023")</f>
        <v/>
      </c>
      <c r="Y109">
        <f>HYPERLINK("https://klasma.github.io/Logging_0881/kartor_geotiff/A 22171-2023 georefererad karta.tif", "A 22171-2023")</f>
        <v/>
      </c>
      <c r="AA109">
        <f>HYPERLINK("https://klasma.github.io/Logging_0881/klagomål/A 22171-2023 FSC-klagomål.docx", "A 22171-2023")</f>
        <v/>
      </c>
      <c r="AB109">
        <f>HYPERLINK("https://klasma.github.io/Logging_0881/klagomålsmail/A 22171-2023 FSC-klagomål mail.docx", "A 22171-2023")</f>
        <v/>
      </c>
      <c r="AC109">
        <f>HYPERLINK("https://klasma.github.io/Logging_0881/tillsyn/A 22171-2023 tillsynsbegäran.docx", "A 22171-2023")</f>
        <v/>
      </c>
      <c r="AD109">
        <f>HYPERLINK("https://klasma.github.io/Logging_0881/tillsynsmail/A 22171-2023 tillsynsbegäran mail.docx", "A 22171-2023")</f>
        <v/>
      </c>
    </row>
    <row r="110" ht="15" customHeight="1">
      <c r="A110" t="inlineStr">
        <is>
          <t>A 30510-2023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46293</v>
      </c>
      <c r="F110" t="inlineStr">
        <is>
          <t>KALMAR LÄN</t>
        </is>
      </c>
      <c r="G110" t="inlineStr">
        <is>
          <t>NYBRO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HYPERLINK("https://klasma.github.io/Logging_0881/artfynd/A 30510-2023 artfynd.xlsx", "A 30510-2023")</f>
        <v/>
      </c>
      <c r="X110">
        <f>HYPERLINK("https://klasma.github.io/Logging_0881/kartor/A 30510-2023 karta.png", "A 30510-2023")</f>
        <v/>
      </c>
      <c r="Y110">
        <f>HYPERLINK("https://klasma.github.io/Logging_0881/kartor_geotiff/A 30510-2023 georefererad karta.tif", "A 30510-2023")</f>
        <v/>
      </c>
      <c r="AA110">
        <f>HYPERLINK("https://klasma.github.io/Logging_0881/klagomål/A 30510-2023 FSC-klagomål.docx", "A 30510-2023")</f>
        <v/>
      </c>
      <c r="AB110">
        <f>HYPERLINK("https://klasma.github.io/Logging_0881/klagomålsmail/A 30510-2023 FSC-klagomål mail.docx", "A 30510-2023")</f>
        <v/>
      </c>
      <c r="AC110">
        <f>HYPERLINK("https://klasma.github.io/Logging_0881/tillsyn/A 30510-2023 tillsynsbegäran.docx", "A 30510-2023")</f>
        <v/>
      </c>
      <c r="AD110">
        <f>HYPERLINK("https://klasma.github.io/Logging_0881/tillsynsmail/A 30510-2023 tillsynsbegäran mail.docx", "A 30510-2023")</f>
        <v/>
      </c>
      <c r="AE110">
        <f>HYPERLINK("https://klasma.github.io/Logging_0881/fåglar/A 30510-2023 prioriterade fågelarter.docx", "A 30510-2023")</f>
        <v/>
      </c>
    </row>
    <row r="111" ht="15" customHeight="1">
      <c r="A111" t="inlineStr">
        <is>
          <t>A 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46293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Etternässla</t>
        </is>
      </c>
      <c r="W111">
        <f>HYPERLINK("https://klasma.github.io/Logging_0881/artfynd/A 6676-2023 artfynd.xlsx", "A 6676-2023")</f>
        <v/>
      </c>
      <c r="X111">
        <f>HYPERLINK("https://klasma.github.io/Logging_0881/kartor/A 6676-2023 karta.png", "A 6676-2023")</f>
        <v/>
      </c>
      <c r="Y111">
        <f>HYPERLINK("https://klasma.github.io/Logging_0881/kartor_geotiff/A 6676-2023 georefererad karta.tif", "A 6676-2023")</f>
        <v/>
      </c>
      <c r="AA111">
        <f>HYPERLINK("https://klasma.github.io/Logging_0881/klagomål/A 6676-2023 FSC-klagomål.docx", "A 6676-2023")</f>
        <v/>
      </c>
      <c r="AB111">
        <f>HYPERLINK("https://klasma.github.io/Logging_0881/klagomålsmail/A 6676-2023 FSC-klagomål mail.docx", "A 6676-2023")</f>
        <v/>
      </c>
      <c r="AC111">
        <f>HYPERLINK("https://klasma.github.io/Logging_0881/tillsyn/A 6676-2023 tillsynsbegäran.docx", "A 6676-2023")</f>
        <v/>
      </c>
      <c r="AD111">
        <f>HYPERLINK("https://klasma.github.io/Logging_0881/tillsynsmail/A 6676-2023 tillsynsbegäran mail.docx", "A 6676-2023")</f>
        <v/>
      </c>
    </row>
    <row r="112" ht="15" customHeight="1">
      <c r="A112" t="inlineStr">
        <is>
          <t>A 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44951</v>
      </c>
      <c r="E112" s="1" t="n">
        <v>46293</v>
      </c>
      <c r="F112" t="inlineStr">
        <is>
          <t>KALMAR LÄN</t>
        </is>
      </c>
      <c r="G112" t="inlineStr">
        <is>
          <t>NYBRO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HYPERLINK("https://klasma.github.io/Logging_0881/artfynd/A 3726-2023 artfynd.xlsx", "A 3726-2023")</f>
        <v/>
      </c>
      <c r="X112">
        <f>HYPERLINK("https://klasma.github.io/Logging_0881/kartor/A 3726-2023 karta.png", "A 3726-2023")</f>
        <v/>
      </c>
      <c r="Y112">
        <f>HYPERLINK("https://klasma.github.io/Logging_0881/kartor_geotiff/A 3726-2023 georefererad karta.tif", "A 3726-2023")</f>
        <v/>
      </c>
      <c r="AA112">
        <f>HYPERLINK("https://klasma.github.io/Logging_0881/klagomål/A 3726-2023 FSC-klagomål.docx", "A 3726-2023")</f>
        <v/>
      </c>
      <c r="AB112">
        <f>HYPERLINK("https://klasma.github.io/Logging_0881/klagomålsmail/A 3726-2023 FSC-klagomål mail.docx", "A 3726-2023")</f>
        <v/>
      </c>
      <c r="AC112">
        <f>HYPERLINK("https://klasma.github.io/Logging_0881/tillsyn/A 3726-2023 tillsynsbegäran.docx", "A 3726-2023")</f>
        <v/>
      </c>
      <c r="AD112">
        <f>HYPERLINK("https://klasma.github.io/Logging_0881/tillsynsmail/A 3726-2023 tillsynsbegäran mail.docx", "A 3726-2023")</f>
        <v/>
      </c>
    </row>
    <row r="113" ht="15" customHeight="1">
      <c r="A113" t="inlineStr">
        <is>
          <t>A 61809-2024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45649</v>
      </c>
      <c r="E113" s="1" t="n">
        <v>46293</v>
      </c>
      <c r="F113" t="inlineStr">
        <is>
          <t>KALMAR LÄN</t>
        </is>
      </c>
      <c r="G113" t="inlineStr">
        <is>
          <t>NYBRO</t>
        </is>
      </c>
      <c r="I113" t="n">
        <v>15.8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HYPERLINK("https://klasma.github.io/Logging_0881/artfynd/A 61809-2024 artfynd.xlsx", "A 61809-2024")</f>
        <v/>
      </c>
      <c r="X113">
        <f>HYPERLINK("https://klasma.github.io/Logging_0881/kartor/A 61809-2024 karta.png", "A 61809-2024")</f>
        <v/>
      </c>
      <c r="Y113">
        <f>HYPERLINK("https://klasma.github.io/Logging_0881/kartor_geotiff/A 61809-2024 georefererad karta.tif", "A 61809-2024")</f>
        <v/>
      </c>
      <c r="AA113">
        <f>HYPERLINK("https://klasma.github.io/Logging_0881/klagomål/A 61809-2024 FSC-klagomål.docx", "A 61809-2024")</f>
        <v/>
      </c>
      <c r="AB113">
        <f>HYPERLINK("https://klasma.github.io/Logging_0881/klagomålsmail/A 61809-2024 FSC-klagomål mail.docx", "A 61809-2024")</f>
        <v/>
      </c>
      <c r="AC113">
        <f>HYPERLINK("https://klasma.github.io/Logging_0881/tillsyn/A 61809-2024 tillsynsbegäran.docx", "A 61809-2024")</f>
        <v/>
      </c>
      <c r="AD113">
        <f>HYPERLINK("https://klasma.github.io/Logging_0881/tillsynsmail/A 61809-2024 tillsynsbegäran mail.docx", "A 61809-2024")</f>
        <v/>
      </c>
      <c r="AE113">
        <f>HYPERLINK("https://klasma.github.io/Logging_0881/fåglar/A 61809-2024 prioriterade fågelarter.docx", "A 61809-2024")</f>
        <v/>
      </c>
    </row>
    <row r="114" ht="15" customHeight="1">
      <c r="A114" t="inlineStr">
        <is>
          <t>A 54314-2022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46293</v>
      </c>
      <c r="F114" t="inlineStr">
        <is>
          <t>KALMAR LÄN</t>
        </is>
      </c>
      <c r="G114" t="inlineStr">
        <is>
          <t>NYBRO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6</v>
      </c>
      <c r="U114" t="n">
        <v>0</v>
      </c>
      <c r="V114" s="2" t="inlineStr">
        <is>
          <t>Ask</t>
        </is>
      </c>
      <c r="W114">
        <f>HYPERLINK("https://klasma.github.io/Logging_0881/artfynd/A 54314-2022 artfynd.xlsx", "A 54314-2022")</f>
        <v/>
      </c>
      <c r="X114">
        <f>HYPERLINK("https://klasma.github.io/Logging_0881/kartor/A 54314-2022 karta.png", "A 54314-2022")</f>
        <v/>
      </c>
      <c r="Y114">
        <f>HYPERLINK("https://klasma.github.io/Logging_0881/kartor_geotiff/A 54314-2022 georefererad karta.tif", "A 54314-2022")</f>
        <v/>
      </c>
      <c r="AA114">
        <f>HYPERLINK("https://klasma.github.io/Logging_0881/klagomål/A 54314-2022 FSC-klagomål.docx", "A 54314-2022")</f>
        <v/>
      </c>
      <c r="AB114">
        <f>HYPERLINK("https://klasma.github.io/Logging_0881/klagomålsmail/A 54314-2022 FSC-klagomål mail.docx", "A 54314-2022")</f>
        <v/>
      </c>
      <c r="AC114">
        <f>HYPERLINK("https://klasma.github.io/Logging_0881/tillsyn/A 54314-2022 tillsynsbegäran.docx", "A 54314-2022")</f>
        <v/>
      </c>
      <c r="AD114">
        <f>HYPERLINK("https://klasma.github.io/Logging_0881/tillsynsmail/A 54314-2022 tillsynsbegäran mail.docx", "A 54314-2022")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46293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46293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46293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46293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46293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46293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46293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46293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46293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46293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46293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A 59567-2021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46293</v>
      </c>
      <c r="F126" t="inlineStr">
        <is>
          <t>KALMAR LÄN</t>
        </is>
      </c>
      <c r="G126" t="inlineStr">
        <is>
          <t>NYBRO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44630</v>
      </c>
      <c r="E127" s="1" t="n">
        <v>46293</v>
      </c>
      <c r="F127" t="inlineStr">
        <is>
          <t>KALMAR LÄN</t>
        </is>
      </c>
      <c r="G127" t="inlineStr">
        <is>
          <t>NYBRO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46293</v>
      </c>
      <c r="F128" t="inlineStr">
        <is>
          <t>KALMAR LÄN</t>
        </is>
      </c>
      <c r="G128" t="inlineStr">
        <is>
          <t>NYBRO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44474</v>
      </c>
      <c r="E129" s="1" t="n">
        <v>46293</v>
      </c>
      <c r="F129" t="inlineStr">
        <is>
          <t>KALMAR LÄN</t>
        </is>
      </c>
      <c r="G129" t="inlineStr">
        <is>
          <t>NYBRO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46293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46293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46293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46293</v>
      </c>
      <c r="F133" t="inlineStr">
        <is>
          <t>KALMAR LÄN</t>
        </is>
      </c>
      <c r="G133" t="inlineStr">
        <is>
          <t>NYBRO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46293</v>
      </c>
      <c r="F134" t="inlineStr">
        <is>
          <t>KALMAR LÄN</t>
        </is>
      </c>
      <c r="G134" t="inlineStr">
        <is>
          <t>NYBRO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46293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46293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46293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46293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46293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46293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46293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46293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46293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46293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46293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46293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46293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46293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46293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46293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46293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46293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46293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46293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46293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46293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46293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46293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46293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46293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46293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46293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46293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46293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46293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46293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46293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46293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46293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46293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46293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46293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46293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46293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46293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46293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46293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44870</v>
      </c>
      <c r="E178" s="1" t="n">
        <v>46293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46293</v>
      </c>
      <c r="F179" t="inlineStr">
        <is>
          <t>KALMAR LÄN</t>
        </is>
      </c>
      <c r="G179" t="inlineStr">
        <is>
          <t>NYBRO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46293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46293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46293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46293</v>
      </c>
      <c r="F183" t="inlineStr">
        <is>
          <t>KALMAR LÄN</t>
        </is>
      </c>
      <c r="G183" t="inlineStr">
        <is>
          <t>NYBRO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46293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46293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45510</v>
      </c>
      <c r="E186" s="1" t="n">
        <v>46293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46293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46293</v>
      </c>
      <c r="F188" t="inlineStr">
        <is>
          <t>KALMAR LÄN</t>
        </is>
      </c>
      <c r="G188" t="inlineStr">
        <is>
          <t>NYBRO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46293</v>
      </c>
      <c r="F189" t="inlineStr">
        <is>
          <t>KALMAR LÄN</t>
        </is>
      </c>
      <c r="G189" t="inlineStr">
        <is>
          <t>NYBRO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46293</v>
      </c>
      <c r="F190" t="inlineStr">
        <is>
          <t>KALMAR LÄN</t>
        </is>
      </c>
      <c r="G190" t="inlineStr">
        <is>
          <t>NYBRO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46293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46293</v>
      </c>
      <c r="F192" t="inlineStr">
        <is>
          <t>KALMAR LÄN</t>
        </is>
      </c>
      <c r="G192" t="inlineStr">
        <is>
          <t>NYBRO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45190</v>
      </c>
      <c r="E193" s="1" t="n">
        <v>46293</v>
      </c>
      <c r="F193" t="inlineStr">
        <is>
          <t>KALMAR LÄN</t>
        </is>
      </c>
      <c r="G193" t="inlineStr">
        <is>
          <t>NYBRO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45342</v>
      </c>
      <c r="E194" s="1" t="n">
        <v>46293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44827</v>
      </c>
      <c r="E195" s="1" t="n">
        <v>46293</v>
      </c>
      <c r="F195" t="inlineStr">
        <is>
          <t>KALMAR LÄN</t>
        </is>
      </c>
      <c r="G195" t="inlineStr">
        <is>
          <t>NYBRO</t>
        </is>
      </c>
      <c r="I195" t="n">
        <v>12.1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46293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46293</v>
      </c>
      <c r="F197" t="inlineStr">
        <is>
          <t>KALMAR LÄN</t>
        </is>
      </c>
      <c r="G197" t="inlineStr">
        <is>
          <t>NYBRO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46293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46293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46293</v>
      </c>
      <c r="F200" t="inlineStr">
        <is>
          <t>KALMAR LÄN</t>
        </is>
      </c>
      <c r="G200" t="inlineStr">
        <is>
          <t>NYBRO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46293</v>
      </c>
      <c r="F201" t="inlineStr">
        <is>
          <t>KALMAR LÄN</t>
        </is>
      </c>
      <c r="G201" t="inlineStr">
        <is>
          <t>NYBRO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21388-2024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45440</v>
      </c>
      <c r="E202" s="1" t="n">
        <v>46293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46293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46293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46293</v>
      </c>
      <c r="F205" t="inlineStr">
        <is>
          <t>KALMAR LÄN</t>
        </is>
      </c>
      <c r="G205" t="inlineStr">
        <is>
          <t>NYBRO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46293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46293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46293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46293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46293</v>
      </c>
      <c r="F210" t="inlineStr">
        <is>
          <t>KALMAR LÄN</t>
        </is>
      </c>
      <c r="G210" t="inlineStr">
        <is>
          <t>NYBRO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46293</v>
      </c>
      <c r="F211" t="inlineStr">
        <is>
          <t>KALMAR LÄN</t>
        </is>
      </c>
      <c r="G211" t="inlineStr">
        <is>
          <t>NYBRO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46293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46293</v>
      </c>
      <c r="F213" t="inlineStr">
        <is>
          <t>KALMAR LÄN</t>
        </is>
      </c>
      <c r="G213" t="inlineStr">
        <is>
          <t>NYBRO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46293</v>
      </c>
      <c r="F214" t="inlineStr">
        <is>
          <t>KALMAR LÄN</t>
        </is>
      </c>
      <c r="G214" t="inlineStr">
        <is>
          <t>NYBRO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44505</v>
      </c>
      <c r="E215" s="1" t="n">
        <v>46293</v>
      </c>
      <c r="F215" t="inlineStr">
        <is>
          <t>KALMAR LÄN</t>
        </is>
      </c>
      <c r="G215" t="inlineStr">
        <is>
          <t>NYBRO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45233</v>
      </c>
      <c r="E216" s="1" t="n">
        <v>46293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46293</v>
      </c>
      <c r="F217" t="inlineStr">
        <is>
          <t>KALMAR LÄN</t>
        </is>
      </c>
      <c r="G217" t="inlineStr">
        <is>
          <t>NYBRO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46293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46293</v>
      </c>
      <c r="F219" t="inlineStr">
        <is>
          <t>KALMAR LÄN</t>
        </is>
      </c>
      <c r="G219" t="inlineStr">
        <is>
          <t>NYBRO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46293</v>
      </c>
      <c r="F220" t="inlineStr">
        <is>
          <t>KALMAR LÄN</t>
        </is>
      </c>
      <c r="G220" t="inlineStr">
        <is>
          <t>NYBRO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46293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46293</v>
      </c>
      <c r="F222" t="inlineStr">
        <is>
          <t>KALMAR LÄN</t>
        </is>
      </c>
      <c r="G222" t="inlineStr">
        <is>
          <t>NYBRO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46293</v>
      </c>
      <c r="F223" t="inlineStr">
        <is>
          <t>KALMAR LÄN</t>
        </is>
      </c>
      <c r="G223" t="inlineStr">
        <is>
          <t>NYBRO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46293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46293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46293</v>
      </c>
      <c r="F226" t="inlineStr">
        <is>
          <t>KALMAR LÄN</t>
        </is>
      </c>
      <c r="G226" t="inlineStr">
        <is>
          <t>NYBRO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68345-2021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44528</v>
      </c>
      <c r="E227" s="1" t="n">
        <v>46293</v>
      </c>
      <c r="F227" t="inlineStr">
        <is>
          <t>KALMAR LÄN</t>
        </is>
      </c>
      <c r="G227" t="inlineStr">
        <is>
          <t>NYBRO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46293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44982</v>
      </c>
      <c r="E229" s="1" t="n">
        <v>46293</v>
      </c>
      <c r="F229" t="inlineStr">
        <is>
          <t>KALMAR LÄN</t>
        </is>
      </c>
      <c r="G229" t="inlineStr">
        <is>
          <t>NYBRO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46293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46293</v>
      </c>
      <c r="F231" t="inlineStr">
        <is>
          <t>KALMAR LÄN</t>
        </is>
      </c>
      <c r="G231" t="inlineStr">
        <is>
          <t>NYBRO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46293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46293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46293</v>
      </c>
      <c r="F234" t="inlineStr">
        <is>
          <t>KALMAR LÄN</t>
        </is>
      </c>
      <c r="G234" t="inlineStr">
        <is>
          <t>NYBRO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46293</v>
      </c>
      <c r="F235" t="inlineStr">
        <is>
          <t>KALMAR LÄN</t>
        </is>
      </c>
      <c r="G235" t="inlineStr">
        <is>
          <t>NYBRO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46293</v>
      </c>
      <c r="F236" t="inlineStr">
        <is>
          <t>KALMAR LÄN</t>
        </is>
      </c>
      <c r="G236" t="inlineStr">
        <is>
          <t>NYBRO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46293</v>
      </c>
      <c r="F237" t="inlineStr">
        <is>
          <t>KALMAR LÄN</t>
        </is>
      </c>
      <c r="G237" t="inlineStr">
        <is>
          <t>NYBRO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46293</v>
      </c>
      <c r="F238" t="inlineStr">
        <is>
          <t>KALMAR LÄN</t>
        </is>
      </c>
      <c r="G238" t="inlineStr">
        <is>
          <t>NYBRO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46293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46293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46293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46293</v>
      </c>
      <c r="F242" t="inlineStr">
        <is>
          <t>KALMAR LÄN</t>
        </is>
      </c>
      <c r="G242" t="inlineStr">
        <is>
          <t>NYBRO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46293</v>
      </c>
      <c r="F243" t="inlineStr">
        <is>
          <t>KALMAR LÄN</t>
        </is>
      </c>
      <c r="G243" t="inlineStr">
        <is>
          <t>NYBRO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46293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46293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46293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44915</v>
      </c>
      <c r="E247" s="1" t="n">
        <v>46293</v>
      </c>
      <c r="F247" t="inlineStr">
        <is>
          <t>KALMAR LÄN</t>
        </is>
      </c>
      <c r="G247" t="inlineStr">
        <is>
          <t>NYBRO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46293</v>
      </c>
      <c r="F248" t="inlineStr">
        <is>
          <t>KALMAR LÄN</t>
        </is>
      </c>
      <c r="G248" t="inlineStr">
        <is>
          <t>NYBRO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46293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46293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58455-2021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46293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46293</v>
      </c>
      <c r="F252" t="inlineStr">
        <is>
          <t>KALMAR LÄN</t>
        </is>
      </c>
      <c r="G252" t="inlineStr">
        <is>
          <t>NYBRO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46293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45852</v>
      </c>
      <c r="E254" s="1" t="n">
        <v>46293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44914</v>
      </c>
      <c r="E255" s="1" t="n">
        <v>46293</v>
      </c>
      <c r="F255" t="inlineStr">
        <is>
          <t>KALMAR LÄN</t>
        </is>
      </c>
      <c r="G255" t="inlineStr">
        <is>
          <t>NYBRO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46293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46293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46293</v>
      </c>
      <c r="F258" t="inlineStr">
        <is>
          <t>KALMAR LÄN</t>
        </is>
      </c>
      <c r="G258" t="inlineStr">
        <is>
          <t>NYBRO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46293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46293</v>
      </c>
      <c r="F260" t="inlineStr">
        <is>
          <t>KALMAR LÄN</t>
        </is>
      </c>
      <c r="G260" t="inlineStr">
        <is>
          <t>NYBRO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46293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45442</v>
      </c>
      <c r="E262" s="1" t="n">
        <v>46293</v>
      </c>
      <c r="F262" t="inlineStr">
        <is>
          <t>KALMAR LÄN</t>
        </is>
      </c>
      <c r="G262" t="inlineStr">
        <is>
          <t>NYBRO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46293</v>
      </c>
      <c r="F263" t="inlineStr">
        <is>
          <t>KALMAR LÄN</t>
        </is>
      </c>
      <c r="G263" t="inlineStr">
        <is>
          <t>NYBRO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45664</v>
      </c>
      <c r="E264" s="1" t="n">
        <v>46293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46293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46293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72166-2021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46293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46293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46293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46293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34362-2024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45525</v>
      </c>
      <c r="E271" s="1" t="n">
        <v>46293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46293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8883-2026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46067</v>
      </c>
      <c r="E273" s="1" t="n">
        <v>46293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46293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19244-2022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44692</v>
      </c>
      <c r="E275" s="1" t="n">
        <v>46293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46293</v>
      </c>
      <c r="F276" t="inlineStr">
        <is>
          <t>KALMAR LÄN</t>
        </is>
      </c>
      <c r="G276" t="inlineStr">
        <is>
          <t>NYBRO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46293</v>
      </c>
      <c r="F277" t="inlineStr">
        <is>
          <t>KALMAR LÄN</t>
        </is>
      </c>
      <c r="G277" t="inlineStr">
        <is>
          <t>NYBRO</t>
        </is>
      </c>
      <c r="H277" t="inlineStr">
        <is>
          <t>Kyrkan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46293</v>
      </c>
      <c r="F278" t="inlineStr">
        <is>
          <t>KALMAR LÄN</t>
        </is>
      </c>
      <c r="G278" t="inlineStr">
        <is>
          <t>NYBRO</t>
        </is>
      </c>
      <c r="H278" t="inlineStr">
        <is>
          <t>Kyrkan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46293</v>
      </c>
      <c r="F279" t="inlineStr">
        <is>
          <t>KALMAR LÄN</t>
        </is>
      </c>
      <c r="G279" t="inlineStr">
        <is>
          <t>NYBRO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46293</v>
      </c>
      <c r="F280" t="inlineStr">
        <is>
          <t>KALMAR LÄN</t>
        </is>
      </c>
      <c r="G280" t="inlineStr">
        <is>
          <t>NYBRO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46293</v>
      </c>
      <c r="F281" t="inlineStr">
        <is>
          <t>KALMAR LÄN</t>
        </is>
      </c>
      <c r="G281" t="inlineStr">
        <is>
          <t>NYBRO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46293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46293</v>
      </c>
      <c r="F283" t="inlineStr">
        <is>
          <t>KALMAR LÄN</t>
        </is>
      </c>
      <c r="G283" t="inlineStr">
        <is>
          <t>NYBRO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46293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46293</v>
      </c>
      <c r="F285" t="inlineStr">
        <is>
          <t>KALMAR LÄN</t>
        </is>
      </c>
      <c r="G285" t="inlineStr">
        <is>
          <t>NYBRO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46293</v>
      </c>
      <c r="F286" t="inlineStr">
        <is>
          <t>KALMAR LÄN</t>
        </is>
      </c>
      <c r="G286" t="inlineStr">
        <is>
          <t>NYBRO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46293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46293</v>
      </c>
      <c r="F288" t="inlineStr">
        <is>
          <t>KALMAR LÄN</t>
        </is>
      </c>
      <c r="G288" t="inlineStr">
        <is>
          <t>NYBRO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46293</v>
      </c>
      <c r="F289" t="inlineStr">
        <is>
          <t>KALMAR LÄN</t>
        </is>
      </c>
      <c r="G289" t="inlineStr">
        <is>
          <t>NYBRO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46293</v>
      </c>
      <c r="F290" t="inlineStr">
        <is>
          <t>KALMAR LÄN</t>
        </is>
      </c>
      <c r="G290" t="inlineStr">
        <is>
          <t>NYBRO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46293</v>
      </c>
      <c r="F291" t="inlineStr">
        <is>
          <t>KALMAR LÄN</t>
        </is>
      </c>
      <c r="G291" t="inlineStr">
        <is>
          <t>NYBRO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46293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46293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46293</v>
      </c>
      <c r="F294" t="inlineStr">
        <is>
          <t>KALMAR LÄN</t>
        </is>
      </c>
      <c r="G294" t="inlineStr">
        <is>
          <t>NYBRO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46293</v>
      </c>
      <c r="F295" t="inlineStr">
        <is>
          <t>KALMAR LÄN</t>
        </is>
      </c>
      <c r="G295" t="inlineStr">
        <is>
          <t>NYBRO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44973</v>
      </c>
      <c r="E296" s="1" t="n">
        <v>46293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46293</v>
      </c>
      <c r="F297" t="inlineStr">
        <is>
          <t>KALMAR LÄN</t>
        </is>
      </c>
      <c r="G297" t="inlineStr">
        <is>
          <t>NYBRO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46293</v>
      </c>
      <c r="F298" t="inlineStr">
        <is>
          <t>KALMAR LÄN</t>
        </is>
      </c>
      <c r="G298" t="inlineStr">
        <is>
          <t>NYBRO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46293</v>
      </c>
      <c r="F299" t="inlineStr">
        <is>
          <t>KALMAR LÄN</t>
        </is>
      </c>
      <c r="G299" t="inlineStr">
        <is>
          <t>NYBRO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46293</v>
      </c>
      <c r="F300" t="inlineStr">
        <is>
          <t>KALMAR LÄN</t>
        </is>
      </c>
      <c r="G300" t="inlineStr">
        <is>
          <t>NYBRO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46293</v>
      </c>
      <c r="F301" t="inlineStr">
        <is>
          <t>KALMAR LÄN</t>
        </is>
      </c>
      <c r="G301" t="inlineStr">
        <is>
          <t>NYBRO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45037</v>
      </c>
      <c r="E302" s="1" t="n">
        <v>46293</v>
      </c>
      <c r="F302" t="inlineStr">
        <is>
          <t>KALMAR LÄN</t>
        </is>
      </c>
      <c r="G302" t="inlineStr">
        <is>
          <t>NYBRO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46293</v>
      </c>
      <c r="F303" t="inlineStr">
        <is>
          <t>KALMAR LÄN</t>
        </is>
      </c>
      <c r="G303" t="inlineStr">
        <is>
          <t>NYBRO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46293</v>
      </c>
      <c r="F304" t="inlineStr">
        <is>
          <t>KALMAR LÄN</t>
        </is>
      </c>
      <c r="G304" t="inlineStr">
        <is>
          <t>NYBRO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46293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45367</v>
      </c>
      <c r="E306" s="1" t="n">
        <v>46293</v>
      </c>
      <c r="F306" t="inlineStr">
        <is>
          <t>KALMAR LÄN</t>
        </is>
      </c>
      <c r="G306" t="inlineStr">
        <is>
          <t>NYBRO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46293</v>
      </c>
      <c r="F307" t="inlineStr">
        <is>
          <t>KALMAR LÄN</t>
        </is>
      </c>
      <c r="G307" t="inlineStr">
        <is>
          <t>NYBRO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46293</v>
      </c>
      <c r="F308" t="inlineStr">
        <is>
          <t>KALMAR LÄN</t>
        </is>
      </c>
      <c r="G308" t="inlineStr">
        <is>
          <t>NYBRO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49338-2025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45938</v>
      </c>
      <c r="E309" s="1" t="n">
        <v>46293</v>
      </c>
      <c r="F309" t="inlineStr">
        <is>
          <t>KALMAR LÄN</t>
        </is>
      </c>
      <c r="G309" t="inlineStr">
        <is>
          <t>NYBRO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46293</v>
      </c>
      <c r="F310" t="inlineStr">
        <is>
          <t>KALMAR LÄN</t>
        </is>
      </c>
      <c r="G310" t="inlineStr">
        <is>
          <t>NYBRO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25717-2022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44733</v>
      </c>
      <c r="E311" s="1" t="n">
        <v>46293</v>
      </c>
      <c r="F311" t="inlineStr">
        <is>
          <t>KALMAR LÄN</t>
        </is>
      </c>
      <c r="G311" t="inlineStr">
        <is>
          <t>NYBRO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46293</v>
      </c>
      <c r="F312" t="inlineStr">
        <is>
          <t>KALMAR LÄN</t>
        </is>
      </c>
      <c r="G312" t="inlineStr">
        <is>
          <t>NYBRO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46293</v>
      </c>
      <c r="F313" t="inlineStr">
        <is>
          <t>KALMAR LÄN</t>
        </is>
      </c>
      <c r="G313" t="inlineStr">
        <is>
          <t>NYBRO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46293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46293</v>
      </c>
      <c r="F315" t="inlineStr">
        <is>
          <t>KALMAR LÄN</t>
        </is>
      </c>
      <c r="G315" t="inlineStr">
        <is>
          <t>NYBRO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46293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46293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46293</v>
      </c>
      <c r="F318" t="inlineStr">
        <is>
          <t>KALMAR LÄN</t>
        </is>
      </c>
      <c r="G318" t="inlineStr">
        <is>
          <t>NYBRO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46293</v>
      </c>
      <c r="F319" t="inlineStr">
        <is>
          <t>KALMAR LÄN</t>
        </is>
      </c>
      <c r="G319" t="inlineStr">
        <is>
          <t>NYBRO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45095</v>
      </c>
      <c r="E320" s="1" t="n">
        <v>46293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46293</v>
      </c>
      <c r="F321" t="inlineStr">
        <is>
          <t>KALMAR LÄN</t>
        </is>
      </c>
      <c r="G321" t="inlineStr">
        <is>
          <t>NYBRO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46293</v>
      </c>
      <c r="F322" t="inlineStr">
        <is>
          <t>KALMAR LÄN</t>
        </is>
      </c>
      <c r="G322" t="inlineStr">
        <is>
          <t>NYBRO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44713</v>
      </c>
      <c r="E323" s="1" t="n">
        <v>46293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46293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45415</v>
      </c>
      <c r="E325" s="1" t="n">
        <v>46293</v>
      </c>
      <c r="F325" t="inlineStr">
        <is>
          <t>KALMAR LÄN</t>
        </is>
      </c>
      <c r="G325" t="inlineStr">
        <is>
          <t>NYBRO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46293</v>
      </c>
      <c r="F326" t="inlineStr">
        <is>
          <t>KALMAR LÄN</t>
        </is>
      </c>
      <c r="G326" t="inlineStr">
        <is>
          <t>NYBRO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47270-2024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45586</v>
      </c>
      <c r="E327" s="1" t="n">
        <v>46293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46293</v>
      </c>
      <c r="F328" t="inlineStr">
        <is>
          <t>KALMAR LÄN</t>
        </is>
      </c>
      <c r="G328" t="inlineStr">
        <is>
          <t>NYBRO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46293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46293</v>
      </c>
      <c r="F330" t="inlineStr">
        <is>
          <t>KALMAR LÄN</t>
        </is>
      </c>
      <c r="G330" t="inlineStr">
        <is>
          <t>NYBRO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44825</v>
      </c>
      <c r="E331" s="1" t="n">
        <v>46293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22429-2023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45070</v>
      </c>
      <c r="E332" s="1" t="n">
        <v>46293</v>
      </c>
      <c r="F332" t="inlineStr">
        <is>
          <t>KALMAR LÄN</t>
        </is>
      </c>
      <c r="G332" t="inlineStr">
        <is>
          <t>NYBRO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10630-2024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45367</v>
      </c>
      <c r="E333" s="1" t="n">
        <v>46293</v>
      </c>
      <c r="F333" t="inlineStr">
        <is>
          <t>KALMAR LÄN</t>
        </is>
      </c>
      <c r="G333" t="inlineStr">
        <is>
          <t>NYBRO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46293</v>
      </c>
      <c r="F334" t="inlineStr">
        <is>
          <t>KALMAR LÄN</t>
        </is>
      </c>
      <c r="G334" t="inlineStr">
        <is>
          <t>NYBRO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46293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46293</v>
      </c>
      <c r="F336" t="inlineStr">
        <is>
          <t>KALMAR LÄN</t>
        </is>
      </c>
      <c r="G336" t="inlineStr">
        <is>
          <t>NYBRO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46293</v>
      </c>
      <c r="F337" t="inlineStr">
        <is>
          <t>KALMAR LÄN</t>
        </is>
      </c>
      <c r="G337" t="inlineStr">
        <is>
          <t>NYBRO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46293</v>
      </c>
      <c r="F338" t="inlineStr">
        <is>
          <t>KALMAR LÄN</t>
        </is>
      </c>
      <c r="G338" t="inlineStr">
        <is>
          <t>NYBRO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46293</v>
      </c>
      <c r="F339" t="inlineStr">
        <is>
          <t>KALMAR LÄN</t>
        </is>
      </c>
      <c r="G339" t="inlineStr">
        <is>
          <t>NYBRO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46293</v>
      </c>
      <c r="F340" t="inlineStr">
        <is>
          <t>KALMAR LÄN</t>
        </is>
      </c>
      <c r="G340" t="inlineStr">
        <is>
          <t>NYBRO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46293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46293</v>
      </c>
      <c r="F342" t="inlineStr">
        <is>
          <t>KALMAR LÄN</t>
        </is>
      </c>
      <c r="G342" t="inlineStr">
        <is>
          <t>NYBRO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46293</v>
      </c>
      <c r="F343" t="inlineStr">
        <is>
          <t>KALMAR LÄN</t>
        </is>
      </c>
      <c r="G343" t="inlineStr">
        <is>
          <t>NYBRO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46293</v>
      </c>
      <c r="F344" t="inlineStr">
        <is>
          <t>KALMAR LÄN</t>
        </is>
      </c>
      <c r="G344" t="inlineStr">
        <is>
          <t>NYBRO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46293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46293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28164-2022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44746</v>
      </c>
      <c r="E347" s="1" t="n">
        <v>46293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44798</v>
      </c>
      <c r="E348" s="1" t="n">
        <v>46293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46293</v>
      </c>
      <c r="F349" t="inlineStr">
        <is>
          <t>KALMAR LÄN</t>
        </is>
      </c>
      <c r="G349" t="inlineStr">
        <is>
          <t>NYBRO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46293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25382-2023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46293</v>
      </c>
      <c r="F351" t="inlineStr">
        <is>
          <t>KALMAR LÄN</t>
        </is>
      </c>
      <c r="G351" t="inlineStr">
        <is>
          <t>NYBRO</t>
        </is>
      </c>
      <c r="H351" t="inlineStr">
        <is>
          <t>Kommuner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46293</v>
      </c>
      <c r="F352" t="inlineStr">
        <is>
          <t>KALMAR LÄN</t>
        </is>
      </c>
      <c r="G352" t="inlineStr">
        <is>
          <t>NYBRO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46293</v>
      </c>
      <c r="F353" t="inlineStr">
        <is>
          <t>KALMAR LÄN</t>
        </is>
      </c>
      <c r="G353" t="inlineStr">
        <is>
          <t>NYBRO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44931</v>
      </c>
      <c r="E354" s="1" t="n">
        <v>46293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46293</v>
      </c>
      <c r="F355" t="inlineStr">
        <is>
          <t>KALMAR LÄN</t>
        </is>
      </c>
      <c r="G355" t="inlineStr">
        <is>
          <t>NYBRO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46293</v>
      </c>
      <c r="F356" t="inlineStr">
        <is>
          <t>KALMAR LÄN</t>
        </is>
      </c>
      <c r="G356" t="inlineStr">
        <is>
          <t>NYBRO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46293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46293</v>
      </c>
      <c r="F358" t="inlineStr">
        <is>
          <t>KALMAR LÄN</t>
        </is>
      </c>
      <c r="G358" t="inlineStr">
        <is>
          <t>NYBRO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46293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45057</v>
      </c>
      <c r="E360" s="1" t="n">
        <v>46293</v>
      </c>
      <c r="F360" t="inlineStr">
        <is>
          <t>KALMAR LÄN</t>
        </is>
      </c>
      <c r="G360" t="inlineStr">
        <is>
          <t>NYBRO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45057</v>
      </c>
      <c r="E361" s="1" t="n">
        <v>46293</v>
      </c>
      <c r="F361" t="inlineStr">
        <is>
          <t>KALMAR LÄN</t>
        </is>
      </c>
      <c r="G361" t="inlineStr">
        <is>
          <t>NYBRO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46293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46293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46293</v>
      </c>
      <c r="F364" t="inlineStr">
        <is>
          <t>KALMAR LÄN</t>
        </is>
      </c>
      <c r="G364" t="inlineStr">
        <is>
          <t>NYBRO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46293</v>
      </c>
      <c r="F365" t="inlineStr">
        <is>
          <t>KALMAR LÄN</t>
        </is>
      </c>
      <c r="G365" t="inlineStr">
        <is>
          <t>NYBRO</t>
        </is>
      </c>
      <c r="H365" t="inlineStr">
        <is>
          <t>Kyrkan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46293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46293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46293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46293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46293</v>
      </c>
      <c r="F370" t="inlineStr">
        <is>
          <t>KALMAR LÄN</t>
        </is>
      </c>
      <c r="G370" t="inlineStr">
        <is>
          <t>NYBRO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46293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46293</v>
      </c>
      <c r="F372" t="inlineStr">
        <is>
          <t>KALMAR LÄN</t>
        </is>
      </c>
      <c r="G372" t="inlineStr">
        <is>
          <t>NYBRO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46293</v>
      </c>
      <c r="F373" t="inlineStr">
        <is>
          <t>KALMAR LÄN</t>
        </is>
      </c>
      <c r="G373" t="inlineStr">
        <is>
          <t>NYBRO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46293</v>
      </c>
      <c r="F374" t="inlineStr">
        <is>
          <t>KALMAR LÄN</t>
        </is>
      </c>
      <c r="G374" t="inlineStr">
        <is>
          <t>NYBRO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46293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46293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46293</v>
      </c>
      <c r="F377" t="inlineStr">
        <is>
          <t>KALMAR LÄN</t>
        </is>
      </c>
      <c r="G377" t="inlineStr">
        <is>
          <t>NYBRO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44999</v>
      </c>
      <c r="E378" s="1" t="n">
        <v>46293</v>
      </c>
      <c r="F378" t="inlineStr">
        <is>
          <t>KALMAR LÄN</t>
        </is>
      </c>
      <c r="G378" t="inlineStr">
        <is>
          <t>NYBRO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46293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45478</v>
      </c>
      <c r="E380" s="1" t="n">
        <v>46293</v>
      </c>
      <c r="F380" t="inlineStr">
        <is>
          <t>KALMAR LÄN</t>
        </is>
      </c>
      <c r="G380" t="inlineStr">
        <is>
          <t>NYBRO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46293</v>
      </c>
      <c r="F381" t="inlineStr">
        <is>
          <t>KALMAR LÄN</t>
        </is>
      </c>
      <c r="G381" t="inlineStr">
        <is>
          <t>NYBRO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45363</v>
      </c>
      <c r="E382" s="1" t="n">
        <v>46293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45914</v>
      </c>
      <c r="E383" s="1" t="n">
        <v>46293</v>
      </c>
      <c r="F383" t="inlineStr">
        <is>
          <t>KALMAR LÄN</t>
        </is>
      </c>
      <c r="G383" t="inlineStr">
        <is>
          <t>NYBRO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46293</v>
      </c>
      <c r="F384" t="inlineStr">
        <is>
          <t>KALMAR LÄN</t>
        </is>
      </c>
      <c r="G384" t="inlineStr">
        <is>
          <t>NYBRO</t>
        </is>
      </c>
      <c r="H384" t="inlineStr">
        <is>
          <t>Kyrkan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46293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46293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46293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46293</v>
      </c>
      <c r="F388" t="inlineStr">
        <is>
          <t>KALMAR LÄN</t>
        </is>
      </c>
      <c r="G388" t="inlineStr">
        <is>
          <t>NYBRO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46293</v>
      </c>
      <c r="F389" t="inlineStr">
        <is>
          <t>KALMAR LÄN</t>
        </is>
      </c>
      <c r="G389" t="inlineStr">
        <is>
          <t>NYBRO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46293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28683-2024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45478</v>
      </c>
      <c r="E391" s="1" t="n">
        <v>46293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45577</v>
      </c>
      <c r="E392" s="1" t="n">
        <v>46293</v>
      </c>
      <c r="F392" t="inlineStr">
        <is>
          <t>KALMAR LÄN</t>
        </is>
      </c>
      <c r="G392" t="inlineStr">
        <is>
          <t>NYBRO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46293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46293</v>
      </c>
      <c r="F394" t="inlineStr">
        <is>
          <t>KALMAR LÄN</t>
        </is>
      </c>
      <c r="G394" t="inlineStr">
        <is>
          <t>NYBRO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46293</v>
      </c>
      <c r="F395" t="inlineStr">
        <is>
          <t>KALMAR LÄN</t>
        </is>
      </c>
      <c r="G395" t="inlineStr">
        <is>
          <t>NYBRO</t>
        </is>
      </c>
      <c r="H395" t="inlineStr">
        <is>
          <t>Kyrkan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46293</v>
      </c>
      <c r="F396" t="inlineStr">
        <is>
          <t>KALMAR LÄN</t>
        </is>
      </c>
      <c r="G396" t="inlineStr">
        <is>
          <t>NYBRO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45859</v>
      </c>
      <c r="E397" s="1" t="n">
        <v>46293</v>
      </c>
      <c r="F397" t="inlineStr">
        <is>
          <t>KALMAR LÄN</t>
        </is>
      </c>
      <c r="G397" t="inlineStr">
        <is>
          <t>NYBRO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46293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46293</v>
      </c>
      <c r="F399" t="inlineStr">
        <is>
          <t>KALMAR LÄN</t>
        </is>
      </c>
      <c r="G399" t="inlineStr">
        <is>
          <t>NYBRO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46293</v>
      </c>
      <c r="F400" t="inlineStr">
        <is>
          <t>KALMAR LÄN</t>
        </is>
      </c>
      <c r="G400" t="inlineStr">
        <is>
          <t>NYBRO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45551</v>
      </c>
      <c r="E401" s="1" t="n">
        <v>46293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46293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46293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45862</v>
      </c>
      <c r="E404" s="1" t="n">
        <v>46293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46293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45484</v>
      </c>
      <c r="E406" s="1" t="n">
        <v>46293</v>
      </c>
      <c r="F406" t="inlineStr">
        <is>
          <t>KALMAR LÄN</t>
        </is>
      </c>
      <c r="G406" t="inlineStr">
        <is>
          <t>NYBRO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45409</v>
      </c>
      <c r="E407" s="1" t="n">
        <v>46293</v>
      </c>
      <c r="F407" t="inlineStr">
        <is>
          <t>KALMAR LÄN</t>
        </is>
      </c>
      <c r="G407" t="inlineStr">
        <is>
          <t>NYBRO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46293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46293</v>
      </c>
      <c r="F409" t="inlineStr">
        <is>
          <t>KALMAR LÄN</t>
        </is>
      </c>
      <c r="G409" t="inlineStr">
        <is>
          <t>NYBRO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45327</v>
      </c>
      <c r="E410" s="1" t="n">
        <v>46293</v>
      </c>
      <c r="F410" t="inlineStr">
        <is>
          <t>KALMAR LÄN</t>
        </is>
      </c>
      <c r="G410" t="inlineStr">
        <is>
          <t>NYBRO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46293</v>
      </c>
      <c r="F411" t="inlineStr">
        <is>
          <t>KALMAR LÄN</t>
        </is>
      </c>
      <c r="G411" t="inlineStr">
        <is>
          <t>NYBRO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46293</v>
      </c>
      <c r="F412" t="inlineStr">
        <is>
          <t>KALMAR LÄN</t>
        </is>
      </c>
      <c r="G412" t="inlineStr">
        <is>
          <t>NYBRO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46293</v>
      </c>
      <c r="F413" t="inlineStr">
        <is>
          <t>KALMAR LÄN</t>
        </is>
      </c>
      <c r="G413" t="inlineStr">
        <is>
          <t>NYBRO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45022</v>
      </c>
      <c r="E414" s="1" t="n">
        <v>46293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45111</v>
      </c>
      <c r="E415" s="1" t="n">
        <v>46293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45077</v>
      </c>
      <c r="E416" s="1" t="n">
        <v>46293</v>
      </c>
      <c r="F416" t="inlineStr">
        <is>
          <t>KALMAR LÄN</t>
        </is>
      </c>
      <c r="G416" t="inlineStr">
        <is>
          <t>NYBRO</t>
        </is>
      </c>
      <c r="I416" t="n">
        <v>10.3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46293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46293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46293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46293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46293</v>
      </c>
      <c r="F421" t="inlineStr">
        <is>
          <t>KALMAR LÄN</t>
        </is>
      </c>
      <c r="G421" t="inlineStr">
        <is>
          <t>NYBRO</t>
        </is>
      </c>
      <c r="I421" t="n">
        <v>13.2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45572</v>
      </c>
      <c r="E422" s="1" t="n">
        <v>46293</v>
      </c>
      <c r="F422" t="inlineStr">
        <is>
          <t>KALMAR LÄN</t>
        </is>
      </c>
      <c r="G422" t="inlineStr">
        <is>
          <t>NYBRO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44818</v>
      </c>
      <c r="E423" s="1" t="n">
        <v>46293</v>
      </c>
      <c r="F423" t="inlineStr">
        <is>
          <t>KALMAR LÄN</t>
        </is>
      </c>
      <c r="G423" t="inlineStr">
        <is>
          <t>NYBRO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46293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46293</v>
      </c>
      <c r="F425" t="inlineStr">
        <is>
          <t>KALMAR LÄN</t>
        </is>
      </c>
      <c r="G425" t="inlineStr">
        <is>
          <t>NYBRO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46293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46293</v>
      </c>
      <c r="F427" t="inlineStr">
        <is>
          <t>KALMAR LÄN</t>
        </is>
      </c>
      <c r="G427" t="inlineStr">
        <is>
          <t>NYBRO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46293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46293</v>
      </c>
      <c r="F429" t="inlineStr">
        <is>
          <t>KALMAR LÄN</t>
        </is>
      </c>
      <c r="G429" t="inlineStr">
        <is>
          <t>NYBRO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46293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45832</v>
      </c>
      <c r="E431" s="1" t="n">
        <v>46293</v>
      </c>
      <c r="F431" t="inlineStr">
        <is>
          <t>KALMAR LÄN</t>
        </is>
      </c>
      <c r="G431" t="inlineStr">
        <is>
          <t>NYBRO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46293</v>
      </c>
      <c r="F432" t="inlineStr">
        <is>
          <t>KALMAR LÄN</t>
        </is>
      </c>
      <c r="G432" t="inlineStr">
        <is>
          <t>NYBRO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45824</v>
      </c>
      <c r="E433" s="1" t="n">
        <v>46293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46293</v>
      </c>
      <c r="F434" t="inlineStr">
        <is>
          <t>KALMAR LÄN</t>
        </is>
      </c>
      <c r="G434" t="inlineStr">
        <is>
          <t>NYBRO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46293</v>
      </c>
      <c r="F435" t="inlineStr">
        <is>
          <t>KALMAR LÄN</t>
        </is>
      </c>
      <c r="G435" t="inlineStr">
        <is>
          <t>NYBRO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45554</v>
      </c>
      <c r="E436" s="1" t="n">
        <v>46293</v>
      </c>
      <c r="F436" t="inlineStr">
        <is>
          <t>KALMAR LÄN</t>
        </is>
      </c>
      <c r="G436" t="inlineStr">
        <is>
          <t>NYBRO</t>
        </is>
      </c>
      <c r="H436" t="inlineStr">
        <is>
          <t>Kyrkan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46293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46293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44844</v>
      </c>
      <c r="E439" s="1" t="n">
        <v>46293</v>
      </c>
      <c r="F439" t="inlineStr">
        <is>
          <t>KALMAR LÄN</t>
        </is>
      </c>
      <c r="G439" t="inlineStr">
        <is>
          <t>NYBRO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46293</v>
      </c>
      <c r="F440" t="inlineStr">
        <is>
          <t>KALMAR LÄN</t>
        </is>
      </c>
      <c r="G440" t="inlineStr">
        <is>
          <t>NYBRO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46293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45509</v>
      </c>
      <c r="E442" s="1" t="n">
        <v>46293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46293</v>
      </c>
      <c r="F443" t="inlineStr">
        <is>
          <t>KALMAR LÄN</t>
        </is>
      </c>
      <c r="G443" t="inlineStr">
        <is>
          <t>NYBRO</t>
        </is>
      </c>
      <c r="H443" t="inlineStr">
        <is>
          <t>Kyrkan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11968-2025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45728</v>
      </c>
      <c r="E444" s="1" t="n">
        <v>46293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46293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44700</v>
      </c>
      <c r="E446" s="1" t="n">
        <v>46293</v>
      </c>
      <c r="F446" t="inlineStr">
        <is>
          <t>KALMAR LÄN</t>
        </is>
      </c>
      <c r="G446" t="inlineStr">
        <is>
          <t>NYBRO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46293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46293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44889</v>
      </c>
      <c r="E449" s="1" t="n">
        <v>46293</v>
      </c>
      <c r="F449" t="inlineStr">
        <is>
          <t>KALMAR LÄN</t>
        </is>
      </c>
      <c r="G449" t="inlineStr">
        <is>
          <t>NYBRO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46293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45135</v>
      </c>
      <c r="E451" s="1" t="n">
        <v>46293</v>
      </c>
      <c r="F451" t="inlineStr">
        <is>
          <t>KALMAR LÄN</t>
        </is>
      </c>
      <c r="G451" t="inlineStr">
        <is>
          <t>NYBRO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45055</v>
      </c>
      <c r="E452" s="1" t="n">
        <v>46293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46293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46293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46293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45426</v>
      </c>
      <c r="E456" s="1" t="n">
        <v>46293</v>
      </c>
      <c r="F456" t="inlineStr">
        <is>
          <t>KALMAR LÄN</t>
        </is>
      </c>
      <c r="G456" t="inlineStr">
        <is>
          <t>NYBRO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18586-2025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45763</v>
      </c>
      <c r="E457" s="1" t="n">
        <v>46293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46293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46293</v>
      </c>
      <c r="F459" t="inlineStr">
        <is>
          <t>KALMAR LÄN</t>
        </is>
      </c>
      <c r="G459" t="inlineStr">
        <is>
          <t>NYBRO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52382-2022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44874</v>
      </c>
      <c r="E460" s="1" t="n">
        <v>46293</v>
      </c>
      <c r="F460" t="inlineStr">
        <is>
          <t>KALMAR LÄN</t>
        </is>
      </c>
      <c r="G460" t="inlineStr">
        <is>
          <t>NYBRO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46293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45013</v>
      </c>
      <c r="E462" s="1" t="n">
        <v>46293</v>
      </c>
      <c r="F462" t="inlineStr">
        <is>
          <t>KALMAR LÄN</t>
        </is>
      </c>
      <c r="G462" t="inlineStr">
        <is>
          <t>NYBRO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46293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46293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46293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46293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46293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44882</v>
      </c>
      <c r="E468" s="1" t="n">
        <v>46293</v>
      </c>
      <c r="F468" t="inlineStr">
        <is>
          <t>KALMAR LÄN</t>
        </is>
      </c>
      <c r="G468" t="inlineStr">
        <is>
          <t>NYBRO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46293</v>
      </c>
      <c r="F469" t="inlineStr">
        <is>
          <t>KALMAR LÄN</t>
        </is>
      </c>
      <c r="G469" t="inlineStr">
        <is>
          <t>NYBRO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46293</v>
      </c>
      <c r="F470" t="inlineStr">
        <is>
          <t>KALMAR LÄN</t>
        </is>
      </c>
      <c r="G470" t="inlineStr">
        <is>
          <t>NYBRO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45296</v>
      </c>
      <c r="E471" s="1" t="n">
        <v>46293</v>
      </c>
      <c r="F471" t="inlineStr">
        <is>
          <t>KALMAR LÄN</t>
        </is>
      </c>
      <c r="G471" t="inlineStr">
        <is>
          <t>NYBRO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40193-2025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45894</v>
      </c>
      <c r="E472" s="1" t="n">
        <v>46293</v>
      </c>
      <c r="F472" t="inlineStr">
        <is>
          <t>KALMAR LÄN</t>
        </is>
      </c>
      <c r="G472" t="inlineStr">
        <is>
          <t>NYBRO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22872-2026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46160</v>
      </c>
      <c r="E473" s="1" t="n">
        <v>46293</v>
      </c>
      <c r="F473" t="inlineStr">
        <is>
          <t>KALMAR LÄN</t>
        </is>
      </c>
      <c r="G473" t="inlineStr">
        <is>
          <t>NYBRO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44825</v>
      </c>
      <c r="E474" s="1" t="n">
        <v>46293</v>
      </c>
      <c r="F474" t="inlineStr">
        <is>
          <t>KALMAR LÄN</t>
        </is>
      </c>
      <c r="G474" t="inlineStr">
        <is>
          <t>NYBRO</t>
        </is>
      </c>
      <c r="I474" t="n">
        <v>18.6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46293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46293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28636-2023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46293</v>
      </c>
      <c r="F477" t="inlineStr">
        <is>
          <t>KALMAR LÄN</t>
        </is>
      </c>
      <c r="G477" t="inlineStr">
        <is>
          <t>NYBRO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46293</v>
      </c>
      <c r="F478" t="inlineStr">
        <is>
          <t>KALMAR LÄN</t>
        </is>
      </c>
      <c r="G478" t="inlineStr">
        <is>
          <t>NYBRO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44920-2024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46293</v>
      </c>
      <c r="F479" t="inlineStr">
        <is>
          <t>KALMAR LÄN</t>
        </is>
      </c>
      <c r="G479" t="inlineStr">
        <is>
          <t>NYBRO</t>
        </is>
      </c>
      <c r="I479" t="n">
        <v>8.199999999999999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45837</v>
      </c>
      <c r="E480" s="1" t="n">
        <v>46293</v>
      </c>
      <c r="F480" t="inlineStr">
        <is>
          <t>KALMAR LÄN</t>
        </is>
      </c>
      <c r="G480" t="inlineStr">
        <is>
          <t>NYBRO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45837</v>
      </c>
      <c r="E481" s="1" t="n">
        <v>46293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46293</v>
      </c>
      <c r="F482" t="inlineStr">
        <is>
          <t>KALMAR LÄN</t>
        </is>
      </c>
      <c r="G482" t="inlineStr">
        <is>
          <t>NYBRO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45313</v>
      </c>
      <c r="E483" s="1" t="n">
        <v>46293</v>
      </c>
      <c r="F483" t="inlineStr">
        <is>
          <t>KALMAR LÄN</t>
        </is>
      </c>
      <c r="G483" t="inlineStr">
        <is>
          <t>NYBRO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46293</v>
      </c>
      <c r="F484" t="inlineStr">
        <is>
          <t>KALMAR LÄN</t>
        </is>
      </c>
      <c r="G484" t="inlineStr">
        <is>
          <t>NYBRO</t>
        </is>
      </c>
      <c r="H484" t="inlineStr">
        <is>
          <t>Kyrkan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45761</v>
      </c>
      <c r="E485" s="1" t="n">
        <v>46293</v>
      </c>
      <c r="F485" t="inlineStr">
        <is>
          <t>KALMAR LÄN</t>
        </is>
      </c>
      <c r="G485" t="inlineStr">
        <is>
          <t>NYBRO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46293</v>
      </c>
      <c r="F486" t="inlineStr">
        <is>
          <t>KALMAR LÄN</t>
        </is>
      </c>
      <c r="G486" t="inlineStr">
        <is>
          <t>NYBRO</t>
        </is>
      </c>
      <c r="H486" t="inlineStr">
        <is>
          <t>Kommuner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45368</v>
      </c>
      <c r="E487" s="1" t="n">
        <v>46293</v>
      </c>
      <c r="F487" t="inlineStr">
        <is>
          <t>KALMAR LÄN</t>
        </is>
      </c>
      <c r="G487" t="inlineStr">
        <is>
          <t>NYBRO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10737-2024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45369</v>
      </c>
      <c r="E488" s="1" t="n">
        <v>46293</v>
      </c>
      <c r="F488" t="inlineStr">
        <is>
          <t>KALMAR LÄN</t>
        </is>
      </c>
      <c r="G488" t="inlineStr">
        <is>
          <t>NYBRO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46293</v>
      </c>
      <c r="F489" t="inlineStr">
        <is>
          <t>KALMAR LÄN</t>
        </is>
      </c>
      <c r="G489" t="inlineStr">
        <is>
          <t>NYBRO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45846</v>
      </c>
      <c r="E490" s="1" t="n">
        <v>46293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46293</v>
      </c>
      <c r="F491" t="inlineStr">
        <is>
          <t>KALMAR LÄN</t>
        </is>
      </c>
      <c r="G491" t="inlineStr">
        <is>
          <t>NYBRO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45846</v>
      </c>
      <c r="E492" s="1" t="n">
        <v>46293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46293</v>
      </c>
      <c r="F493" t="inlineStr">
        <is>
          <t>KALMAR LÄN</t>
        </is>
      </c>
      <c r="G493" t="inlineStr">
        <is>
          <t>NYBRO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45121</v>
      </c>
      <c r="E494" s="1" t="n">
        <v>46293</v>
      </c>
      <c r="F494" t="inlineStr">
        <is>
          <t>KALMAR LÄN</t>
        </is>
      </c>
      <c r="G494" t="inlineStr">
        <is>
          <t>NYBRO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46293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46293</v>
      </c>
      <c r="F496" t="inlineStr">
        <is>
          <t>KALMAR LÄN</t>
        </is>
      </c>
      <c r="G496" t="inlineStr">
        <is>
          <t>NYBRO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45123</v>
      </c>
      <c r="E497" s="1" t="n">
        <v>46293</v>
      </c>
      <c r="F497" t="inlineStr">
        <is>
          <t>KALMAR LÄN</t>
        </is>
      </c>
      <c r="G497" t="inlineStr">
        <is>
          <t>NYBRO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46293</v>
      </c>
      <c r="F498" t="inlineStr">
        <is>
          <t>KALMAR LÄN</t>
        </is>
      </c>
      <c r="G498" t="inlineStr">
        <is>
          <t>NYBRO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46293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45852</v>
      </c>
      <c r="E500" s="1" t="n">
        <v>46293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46293</v>
      </c>
      <c r="F501" t="inlineStr">
        <is>
          <t>KALMAR LÄN</t>
        </is>
      </c>
      <c r="G501" t="inlineStr">
        <is>
          <t>NYBRO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46293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58761-2021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46293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46293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46293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46293</v>
      </c>
      <c r="F506" t="inlineStr">
        <is>
          <t>KALMAR LÄN</t>
        </is>
      </c>
      <c r="G506" t="inlineStr">
        <is>
          <t>NYBRO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46293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52367-2021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44465</v>
      </c>
      <c r="E508" s="1" t="n">
        <v>46293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46293</v>
      </c>
      <c r="F509" t="inlineStr">
        <is>
          <t>KALMAR LÄN</t>
        </is>
      </c>
      <c r="G509" t="inlineStr">
        <is>
          <t>NYBRO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1535-2025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45670</v>
      </c>
      <c r="E510" s="1" t="n">
        <v>46293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45156</v>
      </c>
      <c r="E511" s="1" t="n">
        <v>46293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46293</v>
      </c>
      <c r="F512" t="inlineStr">
        <is>
          <t>KALMAR LÄN</t>
        </is>
      </c>
      <c r="G512" t="inlineStr">
        <is>
          <t>NYBRO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46293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46293</v>
      </c>
      <c r="F514" t="inlineStr">
        <is>
          <t>KALMAR LÄN</t>
        </is>
      </c>
      <c r="G514" t="inlineStr">
        <is>
          <t>NYBRO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46293</v>
      </c>
      <c r="F515" t="inlineStr">
        <is>
          <t>KALMAR LÄN</t>
        </is>
      </c>
      <c r="G515" t="inlineStr">
        <is>
          <t>NYBRO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24614-2026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46169</v>
      </c>
      <c r="E516" s="1" t="n">
        <v>46293</v>
      </c>
      <c r="F516" t="inlineStr">
        <is>
          <t>KALMAR LÄN</t>
        </is>
      </c>
      <c r="G516" t="inlineStr">
        <is>
          <t>NYBRO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46293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46293</v>
      </c>
      <c r="F518" t="inlineStr">
        <is>
          <t>KALMAR LÄN</t>
        </is>
      </c>
      <c r="G518" t="inlineStr">
        <is>
          <t>NYBRO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46293</v>
      </c>
      <c r="F519" t="inlineStr">
        <is>
          <t>KALMAR LÄN</t>
        </is>
      </c>
      <c r="G519" t="inlineStr">
        <is>
          <t>NYBRO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15200-2025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45744</v>
      </c>
      <c r="E520" s="1" t="n">
        <v>46293</v>
      </c>
      <c r="F520" t="inlineStr">
        <is>
          <t>KALMAR LÄN</t>
        </is>
      </c>
      <c r="G520" t="inlineStr">
        <is>
          <t>NYBRO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46293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46293</v>
      </c>
      <c r="F522" t="inlineStr">
        <is>
          <t>KALMAR LÄN</t>
        </is>
      </c>
      <c r="G522" t="inlineStr">
        <is>
          <t>NYBRO</t>
        </is>
      </c>
      <c r="H522" t="inlineStr">
        <is>
          <t>Kyrkan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25717-2026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46178</v>
      </c>
      <c r="E523" s="1" t="n">
        <v>46293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25714-2026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46178</v>
      </c>
      <c r="E524" s="1" t="n">
        <v>46293</v>
      </c>
      <c r="F524" t="inlineStr">
        <is>
          <t>KALMAR LÄN</t>
        </is>
      </c>
      <c r="G524" t="inlineStr">
        <is>
          <t>NYBRO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46293</v>
      </c>
      <c r="F525" t="inlineStr">
        <is>
          <t>KALMAR LÄN</t>
        </is>
      </c>
      <c r="G525" t="inlineStr">
        <is>
          <t>NYBRO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46293</v>
      </c>
      <c r="F526" t="inlineStr">
        <is>
          <t>KALMAR LÄN</t>
        </is>
      </c>
      <c r="G526" t="inlineStr">
        <is>
          <t>NYBRO</t>
        </is>
      </c>
      <c r="I526" t="n">
        <v>15.9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46293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46293</v>
      </c>
      <c r="F528" t="inlineStr">
        <is>
          <t>KALMAR LÄN</t>
        </is>
      </c>
      <c r="G528" t="inlineStr">
        <is>
          <t>NYBRO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46293</v>
      </c>
      <c r="F529" t="inlineStr">
        <is>
          <t>KALMAR LÄN</t>
        </is>
      </c>
      <c r="G529" t="inlineStr">
        <is>
          <t>NYBRO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40335-2023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46293</v>
      </c>
      <c r="F530" t="inlineStr">
        <is>
          <t>KALMAR LÄN</t>
        </is>
      </c>
      <c r="G530" t="inlineStr">
        <is>
          <t>NYBRO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44580</v>
      </c>
      <c r="E531" s="1" t="n">
        <v>46293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46293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46293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45320</v>
      </c>
      <c r="E534" s="1" t="n">
        <v>46293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46293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46293</v>
      </c>
      <c r="F536" t="inlineStr">
        <is>
          <t>KALMAR LÄN</t>
        </is>
      </c>
      <c r="G536" t="inlineStr">
        <is>
          <t>NYBRO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45131</v>
      </c>
      <c r="E537" s="1" t="n">
        <v>46293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46293</v>
      </c>
      <c r="F538" t="inlineStr">
        <is>
          <t>KALMAR LÄN</t>
        </is>
      </c>
      <c r="G538" t="inlineStr">
        <is>
          <t>NYBRO</t>
        </is>
      </c>
      <c r="I538" t="n">
        <v>30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46293</v>
      </c>
      <c r="F539" t="inlineStr">
        <is>
          <t>KALMAR LÄN</t>
        </is>
      </c>
      <c r="G539" t="inlineStr">
        <is>
          <t>NYBRO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46293</v>
      </c>
      <c r="F540" t="inlineStr">
        <is>
          <t>KALMAR LÄN</t>
        </is>
      </c>
      <c r="G540" t="inlineStr">
        <is>
          <t>NYBRO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45016</v>
      </c>
      <c r="E541" s="1" t="n">
        <v>46293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46293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44566</v>
      </c>
      <c r="E543" s="1" t="n">
        <v>46293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46293</v>
      </c>
      <c r="F544" t="inlineStr">
        <is>
          <t>KALMAR LÄN</t>
        </is>
      </c>
      <c r="G544" t="inlineStr">
        <is>
          <t>NYBRO</t>
        </is>
      </c>
      <c r="H544" t="inlineStr">
        <is>
          <t>Kommuner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46282-2023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45197</v>
      </c>
      <c r="E545" s="1" t="n">
        <v>46293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46293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37559-2025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46293</v>
      </c>
      <c r="F547" t="inlineStr">
        <is>
          <t>KALMAR LÄN</t>
        </is>
      </c>
      <c r="G547" t="inlineStr">
        <is>
          <t>NYBRO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46293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46293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45035</v>
      </c>
      <c r="E550" s="1" t="n">
        <v>46293</v>
      </c>
      <c r="F550" t="inlineStr">
        <is>
          <t>KALMAR LÄN</t>
        </is>
      </c>
      <c r="G550" t="inlineStr">
        <is>
          <t>NYBRO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44832</v>
      </c>
      <c r="E551" s="1" t="n">
        <v>46293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46293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46293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45338</v>
      </c>
      <c r="E554" s="1" t="n">
        <v>46293</v>
      </c>
      <c r="F554" t="inlineStr">
        <is>
          <t>KALMAR LÄN</t>
        </is>
      </c>
      <c r="G554" t="inlineStr">
        <is>
          <t>NYBRO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41679-2024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45560</v>
      </c>
      <c r="E555" s="1" t="n">
        <v>46293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44645</v>
      </c>
      <c r="E556" s="1" t="n">
        <v>46293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46293</v>
      </c>
      <c r="F557" t="inlineStr">
        <is>
          <t>KALMAR LÄN</t>
        </is>
      </c>
      <c r="G557" t="inlineStr">
        <is>
          <t>NYBRO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46293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46293</v>
      </c>
      <c r="F559" t="inlineStr">
        <is>
          <t>KALMAR LÄN</t>
        </is>
      </c>
      <c r="G559" t="inlineStr">
        <is>
          <t>NYBRO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45882</v>
      </c>
      <c r="E560" s="1" t="n">
        <v>46293</v>
      </c>
      <c r="F560" t="inlineStr">
        <is>
          <t>KALMAR LÄN</t>
        </is>
      </c>
      <c r="G560" t="inlineStr">
        <is>
          <t>NYBRO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45664</v>
      </c>
      <c r="E561" s="1" t="n">
        <v>46293</v>
      </c>
      <c r="F561" t="inlineStr">
        <is>
          <t>KALMAR LÄN</t>
        </is>
      </c>
      <c r="G561" t="inlineStr">
        <is>
          <t>NYBRO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46293</v>
      </c>
      <c r="F562" t="inlineStr">
        <is>
          <t>KALMAR LÄN</t>
        </is>
      </c>
      <c r="G562" t="inlineStr">
        <is>
          <t>NYBRO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46293</v>
      </c>
      <c r="F563" t="inlineStr">
        <is>
          <t>KALMAR LÄN</t>
        </is>
      </c>
      <c r="G563" t="inlineStr">
        <is>
          <t>NYBRO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46293</v>
      </c>
      <c r="F564" t="inlineStr">
        <is>
          <t>KALMAR LÄN</t>
        </is>
      </c>
      <c r="G564" t="inlineStr">
        <is>
          <t>NYBRO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17157-2022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44677</v>
      </c>
      <c r="E565" s="1" t="n">
        <v>46293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46293</v>
      </c>
      <c r="F566" t="inlineStr">
        <is>
          <t>KALMAR LÄN</t>
        </is>
      </c>
      <c r="G566" t="inlineStr">
        <is>
          <t>NYBRO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46293</v>
      </c>
      <c r="F567" t="inlineStr">
        <is>
          <t>KALMAR LÄN</t>
        </is>
      </c>
      <c r="G567" t="inlineStr">
        <is>
          <t>NYBRO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45849</v>
      </c>
      <c r="E568" s="1" t="n">
        <v>46293</v>
      </c>
      <c r="F568" t="inlineStr">
        <is>
          <t>KALMAR LÄN</t>
        </is>
      </c>
      <c r="G568" t="inlineStr">
        <is>
          <t>NYBRO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45253</v>
      </c>
      <c r="E569" s="1" t="n">
        <v>46293</v>
      </c>
      <c r="F569" t="inlineStr">
        <is>
          <t>KALMAR LÄN</t>
        </is>
      </c>
      <c r="G569" t="inlineStr">
        <is>
          <t>NYBRO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45063</v>
      </c>
      <c r="E570" s="1" t="n">
        <v>46293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45082</v>
      </c>
      <c r="E571" s="1" t="n">
        <v>46293</v>
      </c>
      <c r="F571" t="inlineStr">
        <is>
          <t>KALMAR LÄN</t>
        </is>
      </c>
      <c r="G571" t="inlineStr">
        <is>
          <t>NYBRO</t>
        </is>
      </c>
      <c r="H571" t="inlineStr">
        <is>
          <t>Kommuner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45074-2023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46293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44657</v>
      </c>
      <c r="E573" s="1" t="n">
        <v>46293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5355-2022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44594</v>
      </c>
      <c r="E574" s="1" t="n">
        <v>46293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46250</v>
      </c>
      <c r="E575" s="1" t="n">
        <v>46293</v>
      </c>
      <c r="F575" t="inlineStr">
        <is>
          <t>KALMAR LÄN</t>
        </is>
      </c>
      <c r="G575" t="inlineStr">
        <is>
          <t>NYBRO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46293</v>
      </c>
      <c r="F576" t="inlineStr">
        <is>
          <t>KALMAR LÄN</t>
        </is>
      </c>
      <c r="G576" t="inlineStr">
        <is>
          <t>NYBRO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10289-2022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44622</v>
      </c>
      <c r="E577" s="1" t="n">
        <v>46293</v>
      </c>
      <c r="F577" t="inlineStr">
        <is>
          <t>KALMAR LÄN</t>
        </is>
      </c>
      <c r="G577" t="inlineStr">
        <is>
          <t>NYBRO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33924-2026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46293</v>
      </c>
      <c r="F578" t="inlineStr">
        <is>
          <t>KALMAR LÄN</t>
        </is>
      </c>
      <c r="G578" t="inlineStr">
        <is>
          <t>NYBRO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45637</v>
      </c>
      <c r="E579" s="1" t="n">
        <v>46293</v>
      </c>
      <c r="F579" t="inlineStr">
        <is>
          <t>KALMAR LÄN</t>
        </is>
      </c>
      <c r="G579" t="inlineStr">
        <is>
          <t>NYBRO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46254</v>
      </c>
      <c r="E580" s="1" t="n">
        <v>46293</v>
      </c>
      <c r="F580" t="inlineStr">
        <is>
          <t>KALMAR LÄN</t>
        </is>
      </c>
      <c r="G580" t="inlineStr">
        <is>
          <t>NYBRO</t>
        </is>
      </c>
      <c r="H580" t="inlineStr">
        <is>
          <t>Sveaskog</t>
        </is>
      </c>
      <c r="I580" t="n">
        <v>12.3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45072</v>
      </c>
      <c r="E581" s="1" t="n">
        <v>46293</v>
      </c>
      <c r="F581" t="inlineStr">
        <is>
          <t>KALMAR LÄN</t>
        </is>
      </c>
      <c r="G581" t="inlineStr">
        <is>
          <t>NYBRO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45762</v>
      </c>
      <c r="E582" s="1" t="n">
        <v>46293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46293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10.8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34261-2026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46293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45118</v>
      </c>
      <c r="E585" s="1" t="n">
        <v>46293</v>
      </c>
      <c r="F585" t="inlineStr">
        <is>
          <t>KALMAR LÄN</t>
        </is>
      </c>
      <c r="G585" t="inlineStr">
        <is>
          <t>NYBRO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46293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46024-2023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45196</v>
      </c>
      <c r="E587" s="1" t="n">
        <v>46293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43118-2022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44833</v>
      </c>
      <c r="E588" s="1" t="n">
        <v>46293</v>
      </c>
      <c r="F588" t="inlineStr">
        <is>
          <t>KALMAR LÄN</t>
        </is>
      </c>
      <c r="G588" t="inlineStr">
        <is>
          <t>NYBRO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18884-2022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44690</v>
      </c>
      <c r="E589" s="1" t="n">
        <v>46293</v>
      </c>
      <c r="F589" t="inlineStr">
        <is>
          <t>KALMAR LÄN</t>
        </is>
      </c>
      <c r="G589" t="inlineStr">
        <is>
          <t>NYBRO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44684</v>
      </c>
      <c r="E590" s="1" t="n">
        <v>46293</v>
      </c>
      <c r="F590" t="inlineStr">
        <is>
          <t>KALMAR LÄN</t>
        </is>
      </c>
      <c r="G590" t="inlineStr">
        <is>
          <t>NYBRO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46293</v>
      </c>
      <c r="F591" t="inlineStr">
        <is>
          <t>KALMAR LÄN</t>
        </is>
      </c>
      <c r="G591" t="inlineStr">
        <is>
          <t>NYBRO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45182</v>
      </c>
      <c r="E592" s="1" t="n">
        <v>46293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45175</v>
      </c>
      <c r="E593" s="1" t="n">
        <v>46293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45093</v>
      </c>
      <c r="E594" s="1" t="n">
        <v>46293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46293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45244</v>
      </c>
      <c r="E596" s="1" t="n">
        <v>46293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46293</v>
      </c>
      <c r="F597" t="inlineStr">
        <is>
          <t>KALMAR LÄN</t>
        </is>
      </c>
      <c r="G597" t="inlineStr">
        <is>
          <t>NYBRO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17226-2025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45756</v>
      </c>
      <c r="E598" s="1" t="n">
        <v>46293</v>
      </c>
      <c r="F598" t="inlineStr">
        <is>
          <t>KALMAR LÄN</t>
        </is>
      </c>
      <c r="G598" t="inlineStr">
        <is>
          <t>NYBRO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46293</v>
      </c>
      <c r="F599" t="inlineStr">
        <is>
          <t>KALMAR LÄN</t>
        </is>
      </c>
      <c r="G599" t="inlineStr">
        <is>
          <t>NYBRO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46293</v>
      </c>
      <c r="F600" t="inlineStr">
        <is>
          <t>KALMAR LÄN</t>
        </is>
      </c>
      <c r="G600" t="inlineStr">
        <is>
          <t>NYBRO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46293</v>
      </c>
      <c r="F601" t="inlineStr">
        <is>
          <t>KALMAR LÄN</t>
        </is>
      </c>
      <c r="G601" t="inlineStr">
        <is>
          <t>NYBRO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46293</v>
      </c>
      <c r="F602" t="inlineStr">
        <is>
          <t>KALMAR LÄN</t>
        </is>
      </c>
      <c r="G602" t="inlineStr">
        <is>
          <t>NYBRO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55723-2023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45239</v>
      </c>
      <c r="E603" s="1" t="n">
        <v>46293</v>
      </c>
      <c r="F603" t="inlineStr">
        <is>
          <t>KALMAR LÄN</t>
        </is>
      </c>
      <c r="G603" t="inlineStr">
        <is>
          <t>NYBRO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44742</v>
      </c>
      <c r="E604" s="1" t="n">
        <v>46293</v>
      </c>
      <c r="F604" t="inlineStr">
        <is>
          <t>KALMAR LÄN</t>
        </is>
      </c>
      <c r="G604" t="inlineStr">
        <is>
          <t>NYBRO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59940-2022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46293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41531-2023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46293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46293</v>
      </c>
      <c r="F607" t="inlineStr">
        <is>
          <t>KALMAR LÄN</t>
        </is>
      </c>
      <c r="G607" t="inlineStr">
        <is>
          <t>NYBRO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46293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46293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23607-2022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44721</v>
      </c>
      <c r="E610" s="1" t="n">
        <v>46293</v>
      </c>
      <c r="F610" t="inlineStr">
        <is>
          <t>KALMAR LÄN</t>
        </is>
      </c>
      <c r="G610" t="inlineStr">
        <is>
          <t>NYBRO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44743</v>
      </c>
      <c r="E611" s="1" t="n">
        <v>46293</v>
      </c>
      <c r="F611" t="inlineStr">
        <is>
          <t>KALMAR LÄN</t>
        </is>
      </c>
      <c r="G611" t="inlineStr">
        <is>
          <t>NYBRO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46293</v>
      </c>
      <c r="F612" t="inlineStr">
        <is>
          <t>KALMAR LÄN</t>
        </is>
      </c>
      <c r="G612" t="inlineStr">
        <is>
          <t>NYBRO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46293</v>
      </c>
      <c r="F613" t="inlineStr">
        <is>
          <t>KALMAR LÄN</t>
        </is>
      </c>
      <c r="G613" t="inlineStr">
        <is>
          <t>NYBRO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45756</v>
      </c>
      <c r="E614" s="1" t="n">
        <v>46293</v>
      </c>
      <c r="F614" t="inlineStr">
        <is>
          <t>KALMAR LÄN</t>
        </is>
      </c>
      <c r="G614" t="inlineStr">
        <is>
          <t>NYBRO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60039-2022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46293</v>
      </c>
      <c r="F615" t="inlineStr">
        <is>
          <t>KALMAR LÄN</t>
        </is>
      </c>
      <c r="G615" t="inlineStr">
        <is>
          <t>NYBRO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46293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44801-2022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44841</v>
      </c>
      <c r="E617" s="1" t="n">
        <v>46293</v>
      </c>
      <c r="F617" t="inlineStr">
        <is>
          <t>KALMAR LÄN</t>
        </is>
      </c>
      <c r="G617" t="inlineStr">
        <is>
          <t>NYBRO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46293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44803</v>
      </c>
      <c r="E619" s="1" t="n">
        <v>46293</v>
      </c>
      <c r="F619" t="inlineStr">
        <is>
          <t>KALMAR LÄN</t>
        </is>
      </c>
      <c r="G619" t="inlineStr">
        <is>
          <t>NYBRO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44693</v>
      </c>
      <c r="E620" s="1" t="n">
        <v>46293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46293</v>
      </c>
      <c r="F621" t="inlineStr">
        <is>
          <t>KALMAR LÄN</t>
        </is>
      </c>
      <c r="G621" t="inlineStr">
        <is>
          <t>NYBRO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26715-2022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46293</v>
      </c>
      <c r="F622" t="inlineStr">
        <is>
          <t>KALMAR LÄN</t>
        </is>
      </c>
      <c r="G622" t="inlineStr">
        <is>
          <t>NYBRO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28145-2022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44746</v>
      </c>
      <c r="E623" s="1" t="n">
        <v>46293</v>
      </c>
      <c r="F623" t="inlineStr">
        <is>
          <t>KALMAR LÄN</t>
        </is>
      </c>
      <c r="G623" t="inlineStr">
        <is>
          <t>NYBRO</t>
        </is>
      </c>
      <c r="I623" t="n">
        <v>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59545-2023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46293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46293</v>
      </c>
      <c r="F625" t="inlineStr">
        <is>
          <t>KALMAR LÄN</t>
        </is>
      </c>
      <c r="G625" t="inlineStr">
        <is>
          <t>NYBRO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61060-2021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44497</v>
      </c>
      <c r="E626" s="1" t="n">
        <v>46293</v>
      </c>
      <c r="F626" t="inlineStr">
        <is>
          <t>KALMAR LÄN</t>
        </is>
      </c>
      <c r="G626" t="inlineStr">
        <is>
          <t>NYBRO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8100-2023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44974</v>
      </c>
      <c r="E627" s="1" t="n">
        <v>46293</v>
      </c>
      <c r="F627" t="inlineStr">
        <is>
          <t>KALMAR LÄN</t>
        </is>
      </c>
      <c r="G627" t="inlineStr">
        <is>
          <t>NYBRO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46293</v>
      </c>
      <c r="F628" t="inlineStr">
        <is>
          <t>KALMAR LÄN</t>
        </is>
      </c>
      <c r="G628" t="inlineStr">
        <is>
          <t>NYBRO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46293</v>
      </c>
      <c r="F629" t="inlineStr">
        <is>
          <t>KALMAR LÄN</t>
        </is>
      </c>
      <c r="G629" t="inlineStr">
        <is>
          <t>NYBRO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46293</v>
      </c>
      <c r="F630" t="inlineStr">
        <is>
          <t>KALMAR LÄN</t>
        </is>
      </c>
      <c r="G630" t="inlineStr">
        <is>
          <t>NYBRO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10457-2024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45366</v>
      </c>
      <c r="E631" s="1" t="n">
        <v>46293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46293</v>
      </c>
      <c r="F632" t="inlineStr">
        <is>
          <t>KALMAR LÄN</t>
        </is>
      </c>
      <c r="G632" t="inlineStr">
        <is>
          <t>NYBRO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44917</v>
      </c>
      <c r="E633" s="1" t="n">
        <v>46293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46273</v>
      </c>
      <c r="E634" s="1" t="n">
        <v>46293</v>
      </c>
      <c r="F634" t="inlineStr">
        <is>
          <t>KALMAR LÄN</t>
        </is>
      </c>
      <c r="G634" t="inlineStr">
        <is>
          <t>NYBRO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44959</v>
      </c>
      <c r="E635" s="1" t="n">
        <v>46293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46293</v>
      </c>
      <c r="F636" t="inlineStr">
        <is>
          <t>KALMAR LÄN</t>
        </is>
      </c>
      <c r="G636" t="inlineStr">
        <is>
          <t>NYBRO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46293</v>
      </c>
      <c r="F637" t="inlineStr">
        <is>
          <t>KALMAR LÄN</t>
        </is>
      </c>
      <c r="G637" t="inlineStr">
        <is>
          <t>NYBRO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39771-2022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44819</v>
      </c>
      <c r="E638" s="1" t="n">
        <v>46293</v>
      </c>
      <c r="F638" t="inlineStr">
        <is>
          <t>KALMAR LÄN</t>
        </is>
      </c>
      <c r="G638" t="inlineStr">
        <is>
          <t>NYBRO</t>
        </is>
      </c>
      <c r="H638" t="inlineStr">
        <is>
          <t>Kommuner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46293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46293</v>
      </c>
      <c r="F640" t="inlineStr">
        <is>
          <t>KALMAR LÄN</t>
        </is>
      </c>
      <c r="G640" t="inlineStr">
        <is>
          <t>NYBRO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46293</v>
      </c>
      <c r="F641" t="inlineStr">
        <is>
          <t>KALMAR LÄN</t>
        </is>
      </c>
      <c r="G641" t="inlineStr">
        <is>
          <t>NYBRO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45327</v>
      </c>
      <c r="E642" s="1" t="n">
        <v>46293</v>
      </c>
      <c r="F642" t="inlineStr">
        <is>
          <t>KALMAR LÄN</t>
        </is>
      </c>
      <c r="G642" t="inlineStr">
        <is>
          <t>NYBRO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46293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7481-2024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45346</v>
      </c>
      <c r="E644" s="1" t="n">
        <v>46293</v>
      </c>
      <c r="F644" t="inlineStr">
        <is>
          <t>KALMAR LÄN</t>
        </is>
      </c>
      <c r="G644" t="inlineStr">
        <is>
          <t>NYBRO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45728</v>
      </c>
      <c r="E645" s="1" t="n">
        <v>46293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46275</v>
      </c>
      <c r="E646" s="1" t="n">
        <v>46293</v>
      </c>
      <c r="F646" t="inlineStr">
        <is>
          <t>KALMAR LÄN</t>
        </is>
      </c>
      <c r="G646" t="inlineStr">
        <is>
          <t>NYBRO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46293</v>
      </c>
      <c r="F647" t="inlineStr">
        <is>
          <t>KALMAR LÄN</t>
        </is>
      </c>
      <c r="G647" t="inlineStr">
        <is>
          <t>NYBRO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63945-2023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45278</v>
      </c>
      <c r="E648" s="1" t="n">
        <v>46293</v>
      </c>
      <c r="F648" t="inlineStr">
        <is>
          <t>KALMAR LÄN</t>
        </is>
      </c>
      <c r="G648" t="inlineStr">
        <is>
          <t>NYBRO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46293</v>
      </c>
      <c r="F649" t="inlineStr">
        <is>
          <t>KALMAR LÄN</t>
        </is>
      </c>
      <c r="G649" t="inlineStr">
        <is>
          <t>NYBRO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45610</v>
      </c>
      <c r="E650" s="1" t="n">
        <v>46293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46293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45091</v>
      </c>
      <c r="E652" s="1" t="n">
        <v>46293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44868</v>
      </c>
      <c r="E653" s="1" t="n">
        <v>46293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10114-2022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44621</v>
      </c>
      <c r="E654" s="1" t="n">
        <v>46293</v>
      </c>
      <c r="F654" t="inlineStr">
        <is>
          <t>KALMAR LÄN</t>
        </is>
      </c>
      <c r="G654" t="inlineStr">
        <is>
          <t>NYBRO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46293</v>
      </c>
      <c r="F655" t="inlineStr">
        <is>
          <t>KALMAR LÄN</t>
        </is>
      </c>
      <c r="G655" t="inlineStr">
        <is>
          <t>NYBRO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38288-2026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46282</v>
      </c>
      <c r="E656" s="1" t="n">
        <v>46293</v>
      </c>
      <c r="F656" t="inlineStr">
        <is>
          <t>KALMAR LÄN</t>
        </is>
      </c>
      <c r="G656" t="inlineStr">
        <is>
          <t>NYBRO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46293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32397-2026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46238</v>
      </c>
      <c r="E658" s="1" t="n">
        <v>46293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49929-2022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44865</v>
      </c>
      <c r="E659" s="1" t="n">
        <v>46293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44985</v>
      </c>
      <c r="E660" s="1" t="n">
        <v>46293</v>
      </c>
      <c r="F660" t="inlineStr">
        <is>
          <t>KALMAR LÄN</t>
        </is>
      </c>
      <c r="G660" t="inlineStr">
        <is>
          <t>NYBRO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46238</v>
      </c>
      <c r="E661" s="1" t="n">
        <v>46293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45463</v>
      </c>
      <c r="E662" s="1" t="n">
        <v>46293</v>
      </c>
      <c r="F662" t="inlineStr">
        <is>
          <t>KALMAR LÄN</t>
        </is>
      </c>
      <c r="G662" t="inlineStr">
        <is>
          <t>NYBRO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45534</v>
      </c>
      <c r="E663" s="1" t="n">
        <v>46293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46283</v>
      </c>
      <c r="E664" s="1" t="n">
        <v>46293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46293</v>
      </c>
      <c r="F665" t="inlineStr">
        <is>
          <t>KALMAR LÄN</t>
        </is>
      </c>
      <c r="G665" t="inlineStr">
        <is>
          <t>NYBRO</t>
        </is>
      </c>
      <c r="H665" t="inlineStr">
        <is>
          <t>Kommuner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46293</v>
      </c>
      <c r="F666" t="inlineStr">
        <is>
          <t>KALMAR LÄN</t>
        </is>
      </c>
      <c r="G666" t="inlineStr">
        <is>
          <t>NYBRO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45342</v>
      </c>
      <c r="E667" s="1" t="n">
        <v>46293</v>
      </c>
      <c r="F667" t="inlineStr">
        <is>
          <t>KALMAR LÄN</t>
        </is>
      </c>
      <c r="G667" t="inlineStr">
        <is>
          <t>NYBRO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46175</v>
      </c>
      <c r="E668" s="1" t="n">
        <v>46293</v>
      </c>
      <c r="F668" t="inlineStr">
        <is>
          <t>KALMAR LÄN</t>
        </is>
      </c>
      <c r="G668" t="inlineStr">
        <is>
          <t>NYBRO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15332-2024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46293</v>
      </c>
      <c r="F669" t="inlineStr">
        <is>
          <t>KALMAR LÄN</t>
        </is>
      </c>
      <c r="G669" t="inlineStr">
        <is>
          <t>NYBRO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32788-2026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46241</v>
      </c>
      <c r="E670" s="1" t="n">
        <v>46293</v>
      </c>
      <c r="F670" t="inlineStr">
        <is>
          <t>KALMAR LÄN</t>
        </is>
      </c>
      <c r="G670" t="inlineStr">
        <is>
          <t>NYBRO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39624-2024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45552</v>
      </c>
      <c r="E671" s="1" t="n">
        <v>46293</v>
      </c>
      <c r="F671" t="inlineStr">
        <is>
          <t>KALMAR LÄN</t>
        </is>
      </c>
      <c r="G671" t="inlineStr">
        <is>
          <t>NYBRO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46293</v>
      </c>
      <c r="F672" t="inlineStr">
        <is>
          <t>KALMAR LÄN</t>
        </is>
      </c>
      <c r="G672" t="inlineStr">
        <is>
          <t>NYBRO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44973</v>
      </c>
      <c r="E673" s="1" t="n">
        <v>46293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45744</v>
      </c>
      <c r="E674" s="1" t="n">
        <v>46293</v>
      </c>
      <c r="F674" t="inlineStr">
        <is>
          <t>KALMAR LÄN</t>
        </is>
      </c>
      <c r="G674" t="inlineStr">
        <is>
          <t>NYBRO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46286</v>
      </c>
      <c r="E675" s="1" t="n">
        <v>46293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46293</v>
      </c>
      <c r="F676" t="inlineStr">
        <is>
          <t>KALMAR LÄN</t>
        </is>
      </c>
      <c r="G676" t="inlineStr">
        <is>
          <t>NYBRO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46293</v>
      </c>
      <c r="F677" t="inlineStr">
        <is>
          <t>KALMAR LÄN</t>
        </is>
      </c>
      <c r="G677" t="inlineStr">
        <is>
          <t>NYBRO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45335</v>
      </c>
      <c r="E678" s="1" t="n">
        <v>46293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46293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2380-2022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46293</v>
      </c>
      <c r="F680" t="inlineStr">
        <is>
          <t>KALMAR LÄN</t>
        </is>
      </c>
      <c r="G680" t="inlineStr">
        <is>
          <t>NYBRO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44928</v>
      </c>
      <c r="E681" s="1" t="n">
        <v>46293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5150-2022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44594</v>
      </c>
      <c r="E682" s="1" t="n">
        <v>46293</v>
      </c>
      <c r="F682" t="inlineStr">
        <is>
          <t>KALMAR LÄN</t>
        </is>
      </c>
      <c r="G682" t="inlineStr">
        <is>
          <t>NYBRO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44933</v>
      </c>
      <c r="E683" s="1" t="n">
        <v>46293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8489-2023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44977</v>
      </c>
      <c r="E684" s="1" t="n">
        <v>46293</v>
      </c>
      <c r="F684" t="inlineStr">
        <is>
          <t>KALMAR LÄN</t>
        </is>
      </c>
      <c r="G684" t="inlineStr">
        <is>
          <t>NYBRO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54051-2022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44881</v>
      </c>
      <c r="E685" s="1" t="n">
        <v>46293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46293</v>
      </c>
      <c r="F686" t="inlineStr">
        <is>
          <t>KALMAR LÄN</t>
        </is>
      </c>
      <c r="G686" t="inlineStr">
        <is>
          <t>NYBRO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46293</v>
      </c>
      <c r="F687" t="inlineStr">
        <is>
          <t>KALMAR LÄN</t>
        </is>
      </c>
      <c r="G687" t="inlineStr">
        <is>
          <t>NYBRO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46248</v>
      </c>
      <c r="E688" s="1" t="n">
        <v>46293</v>
      </c>
      <c r="F688" t="inlineStr">
        <is>
          <t>KALMAR LÄN</t>
        </is>
      </c>
      <c r="G688" t="inlineStr">
        <is>
          <t>NYBRO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22812-2023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45072</v>
      </c>
      <c r="E689" s="1" t="n">
        <v>46293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46293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60819-2022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46293</v>
      </c>
      <c r="F691" t="inlineStr">
        <is>
          <t>KALMAR LÄN</t>
        </is>
      </c>
      <c r="G691" t="inlineStr">
        <is>
          <t>NYBRO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46134</v>
      </c>
      <c r="E692" s="1" t="n">
        <v>46293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60794-2021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44497</v>
      </c>
      <c r="E693" s="1" t="n">
        <v>46293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46293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45512</v>
      </c>
      <c r="E695" s="1" t="n">
        <v>46293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46293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46293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33257-2026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46246</v>
      </c>
      <c r="E698" s="1" t="n">
        <v>46293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44030-2023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45188</v>
      </c>
      <c r="E699" s="1" t="n">
        <v>46293</v>
      </c>
      <c r="F699" t="inlineStr">
        <is>
          <t>KALMAR LÄN</t>
        </is>
      </c>
      <c r="G699" t="inlineStr">
        <is>
          <t>NYBRO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46293</v>
      </c>
      <c r="F700" t="inlineStr">
        <is>
          <t>KALMAR LÄN</t>
        </is>
      </c>
      <c r="G700" t="inlineStr">
        <is>
          <t>NYBRO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60026-2022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46293</v>
      </c>
      <c r="F701" t="inlineStr">
        <is>
          <t>KALMAR LÄN</t>
        </is>
      </c>
      <c r="G701" t="inlineStr">
        <is>
          <t>NYBRO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46293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46293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46293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46293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49390-2025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45938</v>
      </c>
      <c r="E706" s="1" t="n">
        <v>46293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46293</v>
      </c>
      <c r="F707" t="inlineStr">
        <is>
          <t>KALMAR LÄN</t>
        </is>
      </c>
      <c r="G707" t="inlineStr">
        <is>
          <t>NYBRO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46289</v>
      </c>
      <c r="E708" s="1" t="n">
        <v>46293</v>
      </c>
      <c r="F708" t="inlineStr">
        <is>
          <t>KALMAR LÄN</t>
        </is>
      </c>
      <c r="G708" t="inlineStr">
        <is>
          <t>NYBRO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44594</v>
      </c>
      <c r="E709" s="1" t="n">
        <v>46293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57980-2022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44900</v>
      </c>
      <c r="E710" s="1" t="n">
        <v>46293</v>
      </c>
      <c r="F710" t="inlineStr">
        <is>
          <t>KALMAR LÄN</t>
        </is>
      </c>
      <c r="G710" t="inlineStr">
        <is>
          <t>NYBRO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49895-2023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45213</v>
      </c>
      <c r="E711" s="1" t="n">
        <v>46293</v>
      </c>
      <c r="F711" t="inlineStr">
        <is>
          <t>KALMAR LÄN</t>
        </is>
      </c>
      <c r="G711" t="inlineStr">
        <is>
          <t>NYBRO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46293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60041-2022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44909</v>
      </c>
      <c r="E713" s="1" t="n">
        <v>46293</v>
      </c>
      <c r="F713" t="inlineStr">
        <is>
          <t>KALMAR LÄN</t>
        </is>
      </c>
      <c r="G713" t="inlineStr">
        <is>
          <t>NYBRO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45091</v>
      </c>
      <c r="E714" s="1" t="n">
        <v>46293</v>
      </c>
      <c r="F714" t="inlineStr">
        <is>
          <t>KALMAR LÄN</t>
        </is>
      </c>
      <c r="G714" t="inlineStr">
        <is>
          <t>NYBRO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59687-2021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44494</v>
      </c>
      <c r="E715" s="1" t="n">
        <v>46293</v>
      </c>
      <c r="F715" t="inlineStr">
        <is>
          <t>KALMAR LÄN</t>
        </is>
      </c>
      <c r="G715" t="inlineStr">
        <is>
          <t>NYBRO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21433-2023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45063</v>
      </c>
      <c r="E716" s="1" t="n">
        <v>46293</v>
      </c>
      <c r="F716" t="inlineStr">
        <is>
          <t>KALMAR LÄN</t>
        </is>
      </c>
      <c r="G716" t="inlineStr">
        <is>
          <t>NYBRO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44798</v>
      </c>
      <c r="E717" s="1" t="n">
        <v>46293</v>
      </c>
      <c r="F717" t="inlineStr">
        <is>
          <t>KALMAR LÄN</t>
        </is>
      </c>
      <c r="G717" t="inlineStr">
        <is>
          <t>NYBRO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47435-2022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46293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45470</v>
      </c>
      <c r="E719" s="1" t="n">
        <v>46293</v>
      </c>
      <c r="F719" t="inlineStr">
        <is>
          <t>KALMAR LÄN</t>
        </is>
      </c>
      <c r="G719" t="inlineStr">
        <is>
          <t>NYBRO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46293</v>
      </c>
      <c r="F720" t="inlineStr">
        <is>
          <t>KALMAR LÄN</t>
        </is>
      </c>
      <c r="G720" t="inlineStr">
        <is>
          <t>NYBRO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46293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46293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46293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46293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46293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46293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46293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46293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45590</v>
      </c>
      <c r="E729" s="1" t="n">
        <v>46293</v>
      </c>
      <c r="F729" t="inlineStr">
        <is>
          <t>KALMAR LÄN</t>
        </is>
      </c>
      <c r="G729" t="inlineStr">
        <is>
          <t>NYBRO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46293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46293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45078</v>
      </c>
      <c r="E732" s="1" t="n">
        <v>46293</v>
      </c>
      <c r="F732" t="inlineStr">
        <is>
          <t>KALMAR LÄN</t>
        </is>
      </c>
      <c r="G732" t="inlineStr">
        <is>
          <t>NYBRO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45488</v>
      </c>
      <c r="E733" s="1" t="n">
        <v>46293</v>
      </c>
      <c r="F733" t="inlineStr">
        <is>
          <t>KALMAR LÄN</t>
        </is>
      </c>
      <c r="G733" t="inlineStr">
        <is>
          <t>NYBRO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45050</v>
      </c>
      <c r="E734" s="1" t="n">
        <v>46293</v>
      </c>
      <c r="F734" t="inlineStr">
        <is>
          <t>KALMAR LÄN</t>
        </is>
      </c>
      <c r="G734" t="inlineStr">
        <is>
          <t>NYBRO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46293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46293</v>
      </c>
      <c r="F736" t="inlineStr">
        <is>
          <t>KALMAR LÄN</t>
        </is>
      </c>
      <c r="G736" t="inlineStr">
        <is>
          <t>NYBRO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45075</v>
      </c>
      <c r="E737" s="1" t="n">
        <v>46293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45679</v>
      </c>
      <c r="E738" s="1" t="n">
        <v>46293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53681-2022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46293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45606</v>
      </c>
      <c r="E740" s="1" t="n">
        <v>46293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44586</v>
      </c>
      <c r="E741" s="1" t="n">
        <v>46293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46293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46293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46293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46293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46293</v>
      </c>
      <c r="F746" t="inlineStr">
        <is>
          <t>KALMAR LÄN</t>
        </is>
      </c>
      <c r="G746" t="inlineStr">
        <is>
          <t>NYBRO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46293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46293</v>
      </c>
      <c r="F748" t="inlineStr">
        <is>
          <t>KALMAR LÄN</t>
        </is>
      </c>
      <c r="G748" t="inlineStr">
        <is>
          <t>NYBRO</t>
        </is>
      </c>
      <c r="I748" t="n">
        <v>14.2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46293</v>
      </c>
      <c r="F749" t="inlineStr">
        <is>
          <t>KALMAR LÄN</t>
        </is>
      </c>
      <c r="G749" t="inlineStr">
        <is>
          <t>NYBRO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46293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33035-2022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44785</v>
      </c>
      <c r="E751" s="1" t="n">
        <v>46293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45011</v>
      </c>
      <c r="E752" s="1" t="n">
        <v>46293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46293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46293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45591</v>
      </c>
      <c r="E755" s="1" t="n">
        <v>46293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58551-2024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45635</v>
      </c>
      <c r="E756" s="1" t="n">
        <v>46293</v>
      </c>
      <c r="F756" t="inlineStr">
        <is>
          <t>KALMAR LÄN</t>
        </is>
      </c>
      <c r="G756" t="inlineStr">
        <is>
          <t>NYBRO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45028</v>
      </c>
      <c r="E757" s="1" t="n">
        <v>46293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44811</v>
      </c>
      <c r="E758" s="1" t="n">
        <v>46293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50978-2022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44867</v>
      </c>
      <c r="E759" s="1" t="n">
        <v>46293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46293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5354-2022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44594</v>
      </c>
      <c r="E761" s="1" t="n">
        <v>46293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5405-2024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45331</v>
      </c>
      <c r="E762" s="1" t="n">
        <v>46293</v>
      </c>
      <c r="F762" t="inlineStr">
        <is>
          <t>KALMAR LÄN</t>
        </is>
      </c>
      <c r="G762" t="inlineStr">
        <is>
          <t>NYBRO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15828-2023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46293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32048-2022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44778</v>
      </c>
      <c r="E764" s="1" t="n">
        <v>46293</v>
      </c>
      <c r="F764" t="inlineStr">
        <is>
          <t>KALMAR LÄN</t>
        </is>
      </c>
      <c r="G764" t="inlineStr">
        <is>
          <t>NYBRO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46293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46293</v>
      </c>
      <c r="F766" t="inlineStr">
        <is>
          <t>KALMAR LÄN</t>
        </is>
      </c>
      <c r="G766" t="inlineStr">
        <is>
          <t>NYBRO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46293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48102-2023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46293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46293</v>
      </c>
      <c r="F769" t="inlineStr">
        <is>
          <t>KALMAR LÄN</t>
        </is>
      </c>
      <c r="G769" t="inlineStr">
        <is>
          <t>NYBRO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45240</v>
      </c>
      <c r="E770" s="1" t="n">
        <v>46293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44903</v>
      </c>
      <c r="E771" s="1" t="n">
        <v>46293</v>
      </c>
      <c r="F771" t="inlineStr">
        <is>
          <t>KALMAR LÄN</t>
        </is>
      </c>
      <c r="G771" t="inlineStr">
        <is>
          <t>NYBRO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28272-2024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46293</v>
      </c>
      <c r="F772" t="inlineStr">
        <is>
          <t>KALMAR LÄN</t>
        </is>
      </c>
      <c r="G772" t="inlineStr">
        <is>
          <t>NYBRO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45407</v>
      </c>
      <c r="E773" s="1" t="n">
        <v>46293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54341-2022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44882</v>
      </c>
      <c r="E774" s="1" t="n">
        <v>46293</v>
      </c>
      <c r="F774" t="inlineStr">
        <is>
          <t>KALMAR LÄN</t>
        </is>
      </c>
      <c r="G774" t="inlineStr">
        <is>
          <t>NYBRO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45069</v>
      </c>
      <c r="E775" s="1" t="n">
        <v>46293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46293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46293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46293</v>
      </c>
      <c r="F778" t="inlineStr">
        <is>
          <t>KALMAR LÄN</t>
        </is>
      </c>
      <c r="G778" t="inlineStr">
        <is>
          <t>NYBRO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46293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45321</v>
      </c>
      <c r="E780" s="1" t="n">
        <v>46293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45013</v>
      </c>
      <c r="E781" s="1" t="n">
        <v>46293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41674-2024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45560</v>
      </c>
      <c r="E782" s="1" t="n">
        <v>46293</v>
      </c>
      <c r="F782" t="inlineStr">
        <is>
          <t>KALMAR LÄN</t>
        </is>
      </c>
      <c r="G782" t="inlineStr">
        <is>
          <t>NYBRO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46293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46293</v>
      </c>
      <c r="F784" t="inlineStr">
        <is>
          <t>KALMAR LÄN</t>
        </is>
      </c>
      <c r="G784" t="inlineStr">
        <is>
          <t>NYBRO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46293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46293</v>
      </c>
      <c r="F786" t="inlineStr">
        <is>
          <t>KALMAR LÄN</t>
        </is>
      </c>
      <c r="G786" t="inlineStr">
        <is>
          <t>NYBRO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46293</v>
      </c>
      <c r="F787" t="inlineStr">
        <is>
          <t>KALMAR LÄN</t>
        </is>
      </c>
      <c r="G787" t="inlineStr">
        <is>
          <t>NYBRO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61839-2024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45649</v>
      </c>
      <c r="E788" s="1" t="n">
        <v>46293</v>
      </c>
      <c r="F788" t="inlineStr">
        <is>
          <t>KALMAR LÄN</t>
        </is>
      </c>
      <c r="G788" t="inlineStr">
        <is>
          <t>NYBRO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50783-2023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46293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46293</v>
      </c>
      <c r="F790" t="inlineStr">
        <is>
          <t>KALMAR LÄN</t>
        </is>
      </c>
      <c r="G790" t="inlineStr">
        <is>
          <t>NYBRO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44999</v>
      </c>
      <c r="E791" s="1" t="n">
        <v>46293</v>
      </c>
      <c r="F791" t="inlineStr">
        <is>
          <t>KALMAR LÄN</t>
        </is>
      </c>
      <c r="G791" t="inlineStr">
        <is>
          <t>NYBRO</t>
        </is>
      </c>
      <c r="I791" t="n">
        <v>16.5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46293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46293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22435-2023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45070</v>
      </c>
      <c r="E794" s="1" t="n">
        <v>46293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46293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46293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46293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46293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46293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46293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46293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46293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46293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45572</v>
      </c>
      <c r="E804" s="1" t="n">
        <v>46293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46293</v>
      </c>
      <c r="F805" t="inlineStr">
        <is>
          <t>KALMAR LÄN</t>
        </is>
      </c>
      <c r="G805" t="inlineStr">
        <is>
          <t>NYBRO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45370</v>
      </c>
      <c r="E806" s="1" t="n">
        <v>46293</v>
      </c>
      <c r="F806" t="inlineStr">
        <is>
          <t>KALMAR LÄN</t>
        </is>
      </c>
      <c r="G806" t="inlineStr">
        <is>
          <t>NYBRO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46293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45357</v>
      </c>
      <c r="E808" s="1" t="n">
        <v>46293</v>
      </c>
      <c r="F808" t="inlineStr">
        <is>
          <t>KALMAR LÄN</t>
        </is>
      </c>
      <c r="G808" t="inlineStr">
        <is>
          <t>NYBRO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45367</v>
      </c>
      <c r="E809" s="1" t="n">
        <v>46293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45673</v>
      </c>
      <c r="E810" s="1" t="n">
        <v>46293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46293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56972-2024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46293</v>
      </c>
      <c r="F812" t="inlineStr">
        <is>
          <t>KALMAR LÄN</t>
        </is>
      </c>
      <c r="G812" t="inlineStr">
        <is>
          <t>NYBRO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46293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46293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46293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15510-2024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45401</v>
      </c>
      <c r="E816" s="1" t="n">
        <v>46293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36374-2024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45534</v>
      </c>
      <c r="E817" s="1" t="n">
        <v>46293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46293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570-2022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44592</v>
      </c>
      <c r="E819" s="1" t="n">
        <v>46293</v>
      </c>
      <c r="F819" t="inlineStr">
        <is>
          <t>KALMAR LÄN</t>
        </is>
      </c>
      <c r="G819" t="inlineStr">
        <is>
          <t>NYBRO</t>
        </is>
      </c>
      <c r="I819" t="n">
        <v>23.4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477-2022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44587</v>
      </c>
      <c r="E820" s="1" t="n">
        <v>46293</v>
      </c>
      <c r="F820" t="inlineStr">
        <is>
          <t>KALMAR LÄN</t>
        </is>
      </c>
      <c r="G820" t="inlineStr">
        <is>
          <t>NYBRO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44594</v>
      </c>
      <c r="E821" s="1" t="n">
        <v>46293</v>
      </c>
      <c r="F821" t="inlineStr">
        <is>
          <t>KALMAR LÄN</t>
        </is>
      </c>
      <c r="G821" t="inlineStr">
        <is>
          <t>NYBRO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2489-2022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44693</v>
      </c>
      <c r="E822" s="1" t="n">
        <v>46293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453-2022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46293</v>
      </c>
      <c r="F823" t="inlineStr">
        <is>
          <t>KALMAR LÄN</t>
        </is>
      </c>
      <c r="G823" t="inlineStr">
        <is>
          <t>NYBRO</t>
        </is>
      </c>
      <c r="I823" t="n">
        <v>20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46293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46293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46293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46293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46293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46293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46293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46293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46293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46293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46293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4877-2022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44806</v>
      </c>
      <c r="E835" s="1" t="n">
        <v>46293</v>
      </c>
      <c r="F835" t="inlineStr">
        <is>
          <t>KALMAR LÄN</t>
        </is>
      </c>
      <c r="G835" t="inlineStr">
        <is>
          <t>NYBRO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5164-2024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46293</v>
      </c>
      <c r="F836" t="inlineStr">
        <is>
          <t>KALMAR LÄN</t>
        </is>
      </c>
      <c r="G836" t="inlineStr">
        <is>
          <t>NYBRO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1608-2023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46293</v>
      </c>
      <c r="F837" t="inlineStr">
        <is>
          <t>KALMAR LÄN</t>
        </is>
      </c>
      <c r="G837" t="inlineStr">
        <is>
          <t>NYBRO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46293</v>
      </c>
      <c r="F838" t="inlineStr">
        <is>
          <t>KALMAR LÄN</t>
        </is>
      </c>
      <c r="G838" t="inlineStr">
        <is>
          <t>NYBRO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46293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46293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46293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46293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46293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46293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46293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46293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46293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46293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46293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46293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46293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46293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46293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2026-09-28T02:01:42Z</dcterms:created>
  <dcterms:modified xmlns:dcterms="http://purl.org/dc/terms/" xmlns:xsi="http://www.w3.org/2001/XMLSchema-instance" xsi:type="dcterms:W3CDTF">2026-09-28T02:01:43Z</dcterms:modified>
</cp:coreProperties>
</file>