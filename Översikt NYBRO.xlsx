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45643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45643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45643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45643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45643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45643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45643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45643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45643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45643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45643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45643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45643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45643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45643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45643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45643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45643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45643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45643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45643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45643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45643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45643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45643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45643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45643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45643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45643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45643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45643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</v>
      </c>
      <c r="C33" s="1" t="n">
        <v>45643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</v>
      </c>
      <c r="C34" s="1" t="n">
        <v>45643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27719-2023</t>
        </is>
      </c>
      <c r="B35" s="1" t="n">
        <v>45093</v>
      </c>
      <c r="C35" s="1" t="n">
        <v>45643</v>
      </c>
      <c r="D35" t="inlineStr">
        <is>
          <t>KALMAR LÄN</t>
        </is>
      </c>
      <c r="E35" t="inlineStr">
        <is>
          <t>NYBRO</t>
        </is>
      </c>
      <c r="G35" t="n">
        <v>20.4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Raggbock
Mindre träfjäril</t>
        </is>
      </c>
      <c r="S35">
        <f>HYPERLINK("https://klasma.github.io/Logging_0881/artfynd/A 27719-2023 artfynd.xlsx", "A 27719-2023")</f>
        <v/>
      </c>
      <c r="T35">
        <f>HYPERLINK("https://klasma.github.io/Logging_0881/kartor/A 27719-2023 karta.png", "A 27719-2023")</f>
        <v/>
      </c>
      <c r="V35">
        <f>HYPERLINK("https://klasma.github.io/Logging_0881/klagomål/A 27719-2023 FSC-klagomål.docx", "A 27719-2023")</f>
        <v/>
      </c>
      <c r="W35">
        <f>HYPERLINK("https://klasma.github.io/Logging_0881/klagomålsmail/A 27719-2023 FSC-klagomål mail.docx", "A 27719-2023")</f>
        <v/>
      </c>
      <c r="X35">
        <f>HYPERLINK("https://klasma.github.io/Logging_0881/tillsyn/A 27719-2023 tillsynsbegäran.docx", "A 27719-2023")</f>
        <v/>
      </c>
      <c r="Y35">
        <f>HYPERLINK("https://klasma.github.io/Logging_0881/tillsynsmail/A 27719-2023 tillsynsbegäran mail.docx", "A 27719-2023")</f>
        <v/>
      </c>
    </row>
    <row r="36" ht="15" customHeight="1">
      <c r="A36" t="inlineStr">
        <is>
          <t>A 43194-2023</t>
        </is>
      </c>
      <c r="B36" s="1" t="n">
        <v>45183</v>
      </c>
      <c r="C36" s="1" t="n">
        <v>45643</v>
      </c>
      <c r="D36" t="inlineStr">
        <is>
          <t>KALMAR LÄN</t>
        </is>
      </c>
      <c r="E36" t="inlineStr">
        <is>
          <t>NYBRO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Nattviol</t>
        </is>
      </c>
      <c r="S36">
        <f>HYPERLINK("https://klasma.github.io/Logging_0881/artfynd/A 43194-2023 artfynd.xlsx", "A 43194-2023")</f>
        <v/>
      </c>
      <c r="T36">
        <f>HYPERLINK("https://klasma.github.io/Logging_0881/kartor/A 43194-2023 karta.png", "A 43194-2023")</f>
        <v/>
      </c>
      <c r="V36">
        <f>HYPERLINK("https://klasma.github.io/Logging_0881/klagomål/A 43194-2023 FSC-klagomål.docx", "A 43194-2023")</f>
        <v/>
      </c>
      <c r="W36">
        <f>HYPERLINK("https://klasma.github.io/Logging_0881/klagomålsmail/A 43194-2023 FSC-klagomål mail.docx", "A 43194-2023")</f>
        <v/>
      </c>
      <c r="X36">
        <f>HYPERLINK("https://klasma.github.io/Logging_0881/tillsyn/A 43194-2023 tillsynsbegäran.docx", "A 43194-2023")</f>
        <v/>
      </c>
      <c r="Y36">
        <f>HYPERLINK("https://klasma.github.io/Logging_0881/tillsynsmail/A 43194-2023 tillsynsbegäran mail.docx", "A 43194-2023")</f>
        <v/>
      </c>
    </row>
    <row r="37" ht="15" customHeight="1">
      <c r="A37" t="inlineStr">
        <is>
          <t>A 43712-2023</t>
        </is>
      </c>
      <c r="B37" s="1" t="n">
        <v>45187</v>
      </c>
      <c r="C37" s="1" t="n">
        <v>45643</v>
      </c>
      <c r="D37" t="inlineStr">
        <is>
          <t>KALMAR LÄN</t>
        </is>
      </c>
      <c r="E37" t="inlineStr">
        <is>
          <t>NYBRO</t>
        </is>
      </c>
      <c r="G37" t="n">
        <v>4.5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Skogsknipprot</t>
        </is>
      </c>
      <c r="S37">
        <f>HYPERLINK("https://klasma.github.io/Logging_0881/artfynd/A 43712-2023 artfynd.xlsx", "A 43712-2023")</f>
        <v/>
      </c>
      <c r="T37">
        <f>HYPERLINK("https://klasma.github.io/Logging_0881/kartor/A 43712-2023 karta.png", "A 43712-2023")</f>
        <v/>
      </c>
      <c r="V37">
        <f>HYPERLINK("https://klasma.github.io/Logging_0881/klagomål/A 43712-2023 FSC-klagomål.docx", "A 43712-2023")</f>
        <v/>
      </c>
      <c r="W37">
        <f>HYPERLINK("https://klasma.github.io/Logging_0881/klagomålsmail/A 43712-2023 FSC-klagomål mail.docx", "A 43712-2023")</f>
        <v/>
      </c>
      <c r="X37">
        <f>HYPERLINK("https://klasma.github.io/Logging_0881/tillsyn/A 43712-2023 tillsynsbegäran.docx", "A 43712-2023")</f>
        <v/>
      </c>
      <c r="Y37">
        <f>HYPERLINK("https://klasma.github.io/Logging_0881/tillsynsmail/A 43712-2023 tillsynsbegäran mail.docx", "A 43712-2023")</f>
        <v/>
      </c>
    </row>
    <row r="38" ht="15" customHeight="1">
      <c r="A38" t="inlineStr">
        <is>
          <t>A 47904-2023</t>
        </is>
      </c>
      <c r="B38" s="1" t="n">
        <v>45204</v>
      </c>
      <c r="C38" s="1" t="n">
        <v>45643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Gullviva</t>
        </is>
      </c>
      <c r="S38">
        <f>HYPERLINK("https://klasma.github.io/Logging_0881/artfynd/A 47904-2023 artfynd.xlsx", "A 47904-2023")</f>
        <v/>
      </c>
      <c r="T38">
        <f>HYPERLINK("https://klasma.github.io/Logging_0881/kartor/A 47904-2023 karta.png", "A 47904-2023")</f>
        <v/>
      </c>
      <c r="V38">
        <f>HYPERLINK("https://klasma.github.io/Logging_0881/klagomål/A 47904-2023 FSC-klagomål.docx", "A 47904-2023")</f>
        <v/>
      </c>
      <c r="W38">
        <f>HYPERLINK("https://klasma.github.io/Logging_0881/klagomålsmail/A 47904-2023 FSC-klagomål mail.docx", "A 47904-2023")</f>
        <v/>
      </c>
      <c r="X38">
        <f>HYPERLINK("https://klasma.github.io/Logging_0881/tillsyn/A 47904-2023 tillsynsbegäran.docx", "A 47904-2023")</f>
        <v/>
      </c>
      <c r="Y38">
        <f>HYPERLINK("https://klasma.github.io/Logging_0881/tillsynsmail/A 47904-2023 tillsynsbegäran mail.docx", "A 47904-2023")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45643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57509-2023</t>
        </is>
      </c>
      <c r="B40" s="1" t="n">
        <v>45246</v>
      </c>
      <c r="C40" s="1" t="n">
        <v>45643</v>
      </c>
      <c r="D40" t="inlineStr">
        <is>
          <t>KALMAR LÄN</t>
        </is>
      </c>
      <c r="E40" t="inlineStr">
        <is>
          <t>NYBRO</t>
        </is>
      </c>
      <c r="G40" t="n">
        <v>7.2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Vårstarr</t>
        </is>
      </c>
      <c r="S40">
        <f>HYPERLINK("https://klasma.github.io/Logging_0881/artfynd/A 57509-2023 artfynd.xlsx", "A 57509-2023")</f>
        <v/>
      </c>
      <c r="T40">
        <f>HYPERLINK("https://klasma.github.io/Logging_0881/kartor/A 57509-2023 karta.png", "A 57509-2023")</f>
        <v/>
      </c>
      <c r="V40">
        <f>HYPERLINK("https://klasma.github.io/Logging_0881/klagomål/A 57509-2023 FSC-klagomål.docx", "A 57509-2023")</f>
        <v/>
      </c>
      <c r="W40">
        <f>HYPERLINK("https://klasma.github.io/Logging_0881/klagomålsmail/A 57509-2023 FSC-klagomål mail.docx", "A 57509-2023")</f>
        <v/>
      </c>
      <c r="X40">
        <f>HYPERLINK("https://klasma.github.io/Logging_0881/tillsyn/A 57509-2023 tillsynsbegäran.docx", "A 57509-2023")</f>
        <v/>
      </c>
      <c r="Y40">
        <f>HYPERLINK("https://klasma.github.io/Logging_0881/tillsynsmail/A 57509-2023 tillsynsbegäran mail.docx", "A 57509-2023")</f>
        <v/>
      </c>
    </row>
    <row r="41" ht="15" customHeight="1">
      <c r="A41" t="inlineStr">
        <is>
          <t>A 9186-2024</t>
        </is>
      </c>
      <c r="B41" s="1" t="n">
        <v>45358</v>
      </c>
      <c r="C41" s="1" t="n">
        <v>45643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11026-2024</t>
        </is>
      </c>
      <c r="B42" s="1" t="n">
        <v>45370</v>
      </c>
      <c r="C42" s="1" t="n">
        <v>45643</v>
      </c>
      <c r="D42" t="inlineStr">
        <is>
          <t>KALMAR LÄN</t>
        </is>
      </c>
      <c r="E42" t="inlineStr">
        <is>
          <t>NYBRO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HYPERLINK("https://klasma.github.io/Logging_0881/artfynd/A 11026-2024 artfynd.xlsx", "A 11026-2024")</f>
        <v/>
      </c>
      <c r="T42">
        <f>HYPERLINK("https://klasma.github.io/Logging_0881/kartor/A 11026-2024 karta.png", "A 11026-2024")</f>
        <v/>
      </c>
      <c r="V42">
        <f>HYPERLINK("https://klasma.github.io/Logging_0881/klagomål/A 11026-2024 FSC-klagomål.docx", "A 11026-2024")</f>
        <v/>
      </c>
      <c r="W42">
        <f>HYPERLINK("https://klasma.github.io/Logging_0881/klagomålsmail/A 11026-2024 FSC-klagomål mail.docx", "A 11026-2024")</f>
        <v/>
      </c>
      <c r="X42">
        <f>HYPERLINK("https://klasma.github.io/Logging_0881/tillsyn/A 11026-2024 tillsynsbegäran.docx", "A 11026-2024")</f>
        <v/>
      </c>
      <c r="Y42">
        <f>HYPERLINK("https://klasma.github.io/Logging_0881/tillsynsmail/A 11026-2024 tillsynsbegäran mail.docx", "A 11026-2024")</f>
        <v/>
      </c>
      <c r="Z42">
        <f>HYPERLINK("https://klasma.github.io/Logging_0881/fåglar/A 11026-2024 prioriterade fågelarter.docx", "A 11026-2024")</f>
        <v/>
      </c>
    </row>
    <row r="43" ht="15" customHeight="1">
      <c r="A43" t="inlineStr">
        <is>
          <t>A 19145-2024</t>
        </is>
      </c>
      <c r="B43" s="1" t="n">
        <v>45428</v>
      </c>
      <c r="C43" s="1" t="n">
        <v>45643</v>
      </c>
      <c r="D43" t="inlineStr">
        <is>
          <t>KALMAR LÄN</t>
        </is>
      </c>
      <c r="E43" t="inlineStr">
        <is>
          <t>NYBRO</t>
        </is>
      </c>
      <c r="G43" t="n">
        <v>3.5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HYPERLINK("https://klasma.github.io/Logging_0881/artfynd/A 19145-2024 artfynd.xlsx", "A 19145-2024")</f>
        <v/>
      </c>
      <c r="T43">
        <f>HYPERLINK("https://klasma.github.io/Logging_0881/kartor/A 19145-2024 karta.png", "A 19145-2024")</f>
        <v/>
      </c>
      <c r="V43">
        <f>HYPERLINK("https://klasma.github.io/Logging_0881/klagomål/A 19145-2024 FSC-klagomål.docx", "A 19145-2024")</f>
        <v/>
      </c>
      <c r="W43">
        <f>HYPERLINK("https://klasma.github.io/Logging_0881/klagomålsmail/A 19145-2024 FSC-klagomål mail.docx", "A 19145-2024")</f>
        <v/>
      </c>
      <c r="X43">
        <f>HYPERLINK("https://klasma.github.io/Logging_0881/tillsyn/A 19145-2024 tillsynsbegäran.docx", "A 19145-2024")</f>
        <v/>
      </c>
      <c r="Y43">
        <f>HYPERLINK("https://klasma.github.io/Logging_0881/tillsynsmail/A 19145-2024 tillsynsbegäran mail.docx", "A 19145-2024")</f>
        <v/>
      </c>
      <c r="Z43">
        <f>HYPERLINK("https://klasma.github.io/Logging_0881/fåglar/A 19145-2024 prioriterade fågelarter.docx", "A 19145-2024")</f>
        <v/>
      </c>
    </row>
    <row r="44" ht="15" customHeight="1">
      <c r="A44" t="inlineStr">
        <is>
          <t>A 21748-2024</t>
        </is>
      </c>
      <c r="B44" s="1" t="n">
        <v>45442</v>
      </c>
      <c r="C44" s="1" t="n">
        <v>45643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1.4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Blomskägglav
Guldlockmossa</t>
        </is>
      </c>
      <c r="S44">
        <f>HYPERLINK("https://klasma.github.io/Logging_0881/artfynd/A 21748-2024 artfynd.xlsx", "A 21748-2024")</f>
        <v/>
      </c>
      <c r="T44">
        <f>HYPERLINK("https://klasma.github.io/Logging_0881/kartor/A 21748-2024 karta.png", "A 21748-2024")</f>
        <v/>
      </c>
      <c r="V44">
        <f>HYPERLINK("https://klasma.github.io/Logging_0881/klagomål/A 21748-2024 FSC-klagomål.docx", "A 21748-2024")</f>
        <v/>
      </c>
      <c r="W44">
        <f>HYPERLINK("https://klasma.github.io/Logging_0881/klagomålsmail/A 21748-2024 FSC-klagomål mail.docx", "A 21748-2024")</f>
        <v/>
      </c>
      <c r="X44">
        <f>HYPERLINK("https://klasma.github.io/Logging_0881/tillsyn/A 21748-2024 tillsynsbegäran.docx", "A 21748-2024")</f>
        <v/>
      </c>
      <c r="Y44">
        <f>HYPERLINK("https://klasma.github.io/Logging_0881/tillsynsmail/A 21748-2024 tillsynsbegäran mail.docx", "A 21748-2024")</f>
        <v/>
      </c>
    </row>
    <row r="45" ht="15" customHeight="1">
      <c r="A45" t="inlineStr">
        <is>
          <t>A 22683-2024</t>
        </is>
      </c>
      <c r="B45" s="1" t="n">
        <v>45447</v>
      </c>
      <c r="C45" s="1" t="n">
        <v>45643</v>
      </c>
      <c r="D45" t="inlineStr">
        <is>
          <t>KALMAR LÄN</t>
        </is>
      </c>
      <c r="E45" t="inlineStr">
        <is>
          <t>NYBRO</t>
        </is>
      </c>
      <c r="G45" t="n">
        <v>6.7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Purpurknipprot
Skogsknipprot</t>
        </is>
      </c>
      <c r="S45">
        <f>HYPERLINK("https://klasma.github.io/Logging_0881/artfynd/A 22683-2024 artfynd.xlsx", "A 22683-2024")</f>
        <v/>
      </c>
      <c r="T45">
        <f>HYPERLINK("https://klasma.github.io/Logging_0881/kartor/A 22683-2024 karta.png", "A 22683-2024")</f>
        <v/>
      </c>
      <c r="V45">
        <f>HYPERLINK("https://klasma.github.io/Logging_0881/klagomål/A 22683-2024 FSC-klagomål.docx", "A 22683-2024")</f>
        <v/>
      </c>
      <c r="W45">
        <f>HYPERLINK("https://klasma.github.io/Logging_0881/klagomålsmail/A 22683-2024 FSC-klagomål mail.docx", "A 22683-2024")</f>
        <v/>
      </c>
      <c r="X45">
        <f>HYPERLINK("https://klasma.github.io/Logging_0881/tillsyn/A 22683-2024 tillsynsbegäran.docx", "A 22683-2024")</f>
        <v/>
      </c>
      <c r="Y45">
        <f>HYPERLINK("https://klasma.github.io/Logging_0881/tillsynsmail/A 22683-2024 tillsynsbegäran mail.docx", "A 22683-2024")</f>
        <v/>
      </c>
    </row>
    <row r="46" ht="15" customHeight="1">
      <c r="A46" t="inlineStr">
        <is>
          <t>A 58350-2024</t>
        </is>
      </c>
      <c r="B46" s="1" t="n">
        <v>45631</v>
      </c>
      <c r="C46" s="1" t="n">
        <v>45643</v>
      </c>
      <c r="D46" t="inlineStr">
        <is>
          <t>KALMAR LÄN</t>
        </is>
      </c>
      <c r="E46" t="inlineStr">
        <is>
          <t>NYBRO</t>
        </is>
      </c>
      <c r="F46" t="inlineStr">
        <is>
          <t>Kyrkan</t>
        </is>
      </c>
      <c r="G46" t="n">
        <v>2.7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Revig blodrot
Blåmossa</t>
        </is>
      </c>
      <c r="S46">
        <f>HYPERLINK("https://klasma.github.io/Logging_0881/artfynd/A 58350-2024 artfynd.xlsx", "A 58350-2024")</f>
        <v/>
      </c>
      <c r="T46">
        <f>HYPERLINK("https://klasma.github.io/Logging_0881/kartor/A 58350-2024 karta.png", "A 58350-2024")</f>
        <v/>
      </c>
      <c r="V46">
        <f>HYPERLINK("https://klasma.github.io/Logging_0881/klagomål/A 58350-2024 FSC-klagomål.docx", "A 58350-2024")</f>
        <v/>
      </c>
      <c r="W46">
        <f>HYPERLINK("https://klasma.github.io/Logging_0881/klagomålsmail/A 58350-2024 FSC-klagomål mail.docx", "A 58350-2024")</f>
        <v/>
      </c>
      <c r="X46">
        <f>HYPERLINK("https://klasma.github.io/Logging_0881/tillsyn/A 58350-2024 tillsynsbegäran.docx", "A 58350-2024")</f>
        <v/>
      </c>
      <c r="Y46">
        <f>HYPERLINK("https://klasma.github.io/Logging_0881/tillsynsmail/A 58350-2024 tillsynsbegäran mail.docx", "A 58350-2024")</f>
        <v/>
      </c>
    </row>
    <row r="47" ht="15" customHeight="1">
      <c r="A47" t="inlineStr">
        <is>
          <t>A 17819-2019</t>
        </is>
      </c>
      <c r="B47" s="1" t="n">
        <v>43556</v>
      </c>
      <c r="C47" s="1" t="n">
        <v>45643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HYPERLINK("https://klasma.github.io/Logging_0881/artfynd/A 17819-2019 artfynd.xlsx", "A 17819-2019")</f>
        <v/>
      </c>
      <c r="T47">
        <f>HYPERLINK("https://klasma.github.io/Logging_0881/kartor/A 17819-2019 karta.png", "A 17819-2019")</f>
        <v/>
      </c>
      <c r="V47">
        <f>HYPERLINK("https://klasma.github.io/Logging_0881/klagomål/A 17819-2019 FSC-klagomål.docx", "A 17819-2019")</f>
        <v/>
      </c>
      <c r="W47">
        <f>HYPERLINK("https://klasma.github.io/Logging_0881/klagomålsmail/A 17819-2019 FSC-klagomål mail.docx", "A 17819-2019")</f>
        <v/>
      </c>
      <c r="X47">
        <f>HYPERLINK("https://klasma.github.io/Logging_0881/tillsyn/A 17819-2019 tillsynsbegäran.docx", "A 17819-2019")</f>
        <v/>
      </c>
      <c r="Y47">
        <f>HYPERLINK("https://klasma.github.io/Logging_0881/tillsynsmail/A 17819-2019 tillsynsbegäran mail.docx", "A 17819-2019")</f>
        <v/>
      </c>
    </row>
    <row r="48" ht="15" customHeight="1">
      <c r="A48" t="inlineStr">
        <is>
          <t>A 20046-2019</t>
        </is>
      </c>
      <c r="B48" s="1" t="n">
        <v>43570</v>
      </c>
      <c r="C48" s="1" t="n">
        <v>45643</v>
      </c>
      <c r="D48" t="inlineStr">
        <is>
          <t>KALMAR LÄN</t>
        </is>
      </c>
      <c r="E48" t="inlineStr">
        <is>
          <t>NYBRO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HYPERLINK("https://klasma.github.io/Logging_0881/artfynd/A 20046-2019 artfynd.xlsx", "A 20046-2019")</f>
        <v/>
      </c>
      <c r="T48">
        <f>HYPERLINK("https://klasma.github.io/Logging_0881/kartor/A 20046-2019 karta.png", "A 20046-2019")</f>
        <v/>
      </c>
      <c r="V48">
        <f>HYPERLINK("https://klasma.github.io/Logging_0881/klagomål/A 20046-2019 FSC-klagomål.docx", "A 20046-2019")</f>
        <v/>
      </c>
      <c r="W48">
        <f>HYPERLINK("https://klasma.github.io/Logging_0881/klagomålsmail/A 20046-2019 FSC-klagomål mail.docx", "A 20046-2019")</f>
        <v/>
      </c>
      <c r="X48">
        <f>HYPERLINK("https://klasma.github.io/Logging_0881/tillsyn/A 20046-2019 tillsynsbegäran.docx", "A 20046-2019")</f>
        <v/>
      </c>
      <c r="Y48">
        <f>HYPERLINK("https://klasma.github.io/Logging_0881/tillsynsmail/A 20046-2019 tillsynsbegäran mail.docx", "A 20046-2019")</f>
        <v/>
      </c>
    </row>
    <row r="49" ht="15" customHeight="1">
      <c r="A49" t="inlineStr">
        <is>
          <t>A 21406-2019</t>
        </is>
      </c>
      <c r="B49" s="1" t="n">
        <v>43580</v>
      </c>
      <c r="C49" s="1" t="n">
        <v>45643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21406-2019 artfynd.xlsx", "A 21406-2019")</f>
        <v/>
      </c>
      <c r="T49">
        <f>HYPERLINK("https://klasma.github.io/Logging_0881/kartor/A 21406-2019 karta.png", "A 21406-2019")</f>
        <v/>
      </c>
      <c r="V49">
        <f>HYPERLINK("https://klasma.github.io/Logging_0881/klagomål/A 21406-2019 FSC-klagomål.docx", "A 21406-2019")</f>
        <v/>
      </c>
      <c r="W49">
        <f>HYPERLINK("https://klasma.github.io/Logging_0881/klagomålsmail/A 21406-2019 FSC-klagomål mail.docx", "A 21406-2019")</f>
        <v/>
      </c>
      <c r="X49">
        <f>HYPERLINK("https://klasma.github.io/Logging_0881/tillsyn/A 21406-2019 tillsynsbegäran.docx", "A 21406-2019")</f>
        <v/>
      </c>
      <c r="Y49">
        <f>HYPERLINK("https://klasma.github.io/Logging_0881/tillsynsmail/A 21406-2019 tillsynsbegäran mail.docx", "A 21406-2019")</f>
        <v/>
      </c>
    </row>
    <row r="50" ht="15" customHeight="1">
      <c r="A50" t="inlineStr">
        <is>
          <t>A 25676-2019</t>
        </is>
      </c>
      <c r="B50" s="1" t="n">
        <v>43607</v>
      </c>
      <c r="C50" s="1" t="n">
        <v>45643</v>
      </c>
      <c r="D50" t="inlineStr">
        <is>
          <t>KALMAR LÄN</t>
        </is>
      </c>
      <c r="E50" t="inlineStr">
        <is>
          <t>NYBRO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25676-2019 artfynd.xlsx", "A 25676-2019")</f>
        <v/>
      </c>
      <c r="T50">
        <f>HYPERLINK("https://klasma.github.io/Logging_0881/kartor/A 25676-2019 karta.png", "A 25676-2019")</f>
        <v/>
      </c>
      <c r="V50">
        <f>HYPERLINK("https://klasma.github.io/Logging_0881/klagomål/A 25676-2019 FSC-klagomål.docx", "A 25676-2019")</f>
        <v/>
      </c>
      <c r="W50">
        <f>HYPERLINK("https://klasma.github.io/Logging_0881/klagomålsmail/A 25676-2019 FSC-klagomål mail.docx", "A 25676-2019")</f>
        <v/>
      </c>
      <c r="X50">
        <f>HYPERLINK("https://klasma.github.io/Logging_0881/tillsyn/A 25676-2019 tillsynsbegäran.docx", "A 25676-2019")</f>
        <v/>
      </c>
      <c r="Y50">
        <f>HYPERLINK("https://klasma.github.io/Logging_0881/tillsynsmail/A 25676-2019 tillsynsbegäran mail.docx", "A 25676-2019")</f>
        <v/>
      </c>
      <c r="Z50">
        <f>HYPERLINK("https://klasma.github.io/Logging_0881/fåglar/A 25676-2019 prioriterade fågelarter.docx", "A 25676-2019")</f>
        <v/>
      </c>
    </row>
    <row r="51" ht="15" customHeight="1">
      <c r="A51" t="inlineStr">
        <is>
          <t>A 39360-2019</t>
        </is>
      </c>
      <c r="B51" s="1" t="n">
        <v>43690</v>
      </c>
      <c r="C51" s="1" t="n">
        <v>45643</v>
      </c>
      <c r="D51" t="inlineStr">
        <is>
          <t>KALMAR LÄN</t>
        </is>
      </c>
      <c r="E51" t="inlineStr">
        <is>
          <t>NYBRO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39360-2019 artfynd.xlsx", "A 39360-2019")</f>
        <v/>
      </c>
      <c r="T51">
        <f>HYPERLINK("https://klasma.github.io/Logging_0881/kartor/A 39360-2019 karta.png", "A 39360-2019")</f>
        <v/>
      </c>
      <c r="U51">
        <f>HYPERLINK("https://klasma.github.io/Logging_0881/knärot/A 39360-2019 karta knärot.png", "A 39360-2019")</f>
        <v/>
      </c>
      <c r="V51">
        <f>HYPERLINK("https://klasma.github.io/Logging_0881/klagomål/A 39360-2019 FSC-klagomål.docx", "A 39360-2019")</f>
        <v/>
      </c>
      <c r="W51">
        <f>HYPERLINK("https://klasma.github.io/Logging_0881/klagomålsmail/A 39360-2019 FSC-klagomål mail.docx", "A 39360-2019")</f>
        <v/>
      </c>
      <c r="X51">
        <f>HYPERLINK("https://klasma.github.io/Logging_0881/tillsyn/A 39360-2019 tillsynsbegäran.docx", "A 39360-2019")</f>
        <v/>
      </c>
      <c r="Y51">
        <f>HYPERLINK("https://klasma.github.io/Logging_0881/tillsynsmail/A 39360-2019 tillsynsbegäran mail.docx", "A 39360-2019")</f>
        <v/>
      </c>
    </row>
    <row r="52" ht="15" customHeight="1">
      <c r="A52" t="inlineStr">
        <is>
          <t>A 50161-2019</t>
        </is>
      </c>
      <c r="B52" s="1" t="n">
        <v>43734</v>
      </c>
      <c r="C52" s="1" t="n">
        <v>45643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HYPERLINK("https://klasma.github.io/Logging_0881/artfynd/A 50161-2019 artfynd.xlsx", "A 50161-2019")</f>
        <v/>
      </c>
      <c r="T52">
        <f>HYPERLINK("https://klasma.github.io/Logging_0881/kartor/A 50161-2019 karta.png", "A 50161-2019")</f>
        <v/>
      </c>
      <c r="V52">
        <f>HYPERLINK("https://klasma.github.io/Logging_0881/klagomål/A 50161-2019 FSC-klagomål.docx", "A 50161-2019")</f>
        <v/>
      </c>
      <c r="W52">
        <f>HYPERLINK("https://klasma.github.io/Logging_0881/klagomålsmail/A 50161-2019 FSC-klagomål mail.docx", "A 50161-2019")</f>
        <v/>
      </c>
      <c r="X52">
        <f>HYPERLINK("https://klasma.github.io/Logging_0881/tillsyn/A 50161-2019 tillsynsbegäran.docx", "A 50161-2019")</f>
        <v/>
      </c>
      <c r="Y52">
        <f>HYPERLINK("https://klasma.github.io/Logging_0881/tillsynsmail/A 50161-2019 tillsynsbegäran mail.docx", "A 50161-2019")</f>
        <v/>
      </c>
    </row>
    <row r="53" ht="15" customHeight="1">
      <c r="A53" t="inlineStr">
        <is>
          <t>A 51735-2019</t>
        </is>
      </c>
      <c r="B53" s="1" t="n">
        <v>43740</v>
      </c>
      <c r="C53" s="1" t="n">
        <v>45643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51735-2019 artfynd.xlsx", "A 51735-2019")</f>
        <v/>
      </c>
      <c r="T53">
        <f>HYPERLINK("https://klasma.github.io/Logging_0881/kartor/A 51735-2019 karta.png", "A 51735-2019")</f>
        <v/>
      </c>
      <c r="V53">
        <f>HYPERLINK("https://klasma.github.io/Logging_0881/klagomål/A 51735-2019 FSC-klagomål.docx", "A 51735-2019")</f>
        <v/>
      </c>
      <c r="W53">
        <f>HYPERLINK("https://klasma.github.io/Logging_0881/klagomålsmail/A 51735-2019 FSC-klagomål mail.docx", "A 51735-2019")</f>
        <v/>
      </c>
      <c r="X53">
        <f>HYPERLINK("https://klasma.github.io/Logging_0881/tillsyn/A 51735-2019 tillsynsbegäran.docx", "A 51735-2019")</f>
        <v/>
      </c>
      <c r="Y53">
        <f>HYPERLINK("https://klasma.github.io/Logging_0881/tillsynsmail/A 51735-2019 tillsynsbegäran mail.docx", "A 51735-2019")</f>
        <v/>
      </c>
      <c r="Z53">
        <f>HYPERLINK("https://klasma.github.io/Logging_0881/fåglar/A 51735-2019 prioriterade fågelarter.docx", "A 51735-2019")</f>
        <v/>
      </c>
    </row>
    <row r="54" ht="15" customHeight="1">
      <c r="A54" t="inlineStr">
        <is>
          <t>A 57165-2019</t>
        </is>
      </c>
      <c r="B54" s="1" t="n">
        <v>43766</v>
      </c>
      <c r="C54" s="1" t="n">
        <v>45643</v>
      </c>
      <c r="D54" t="inlineStr">
        <is>
          <t>KALMAR LÄN</t>
        </is>
      </c>
      <c r="E54" t="inlineStr">
        <is>
          <t>NYBRO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HYPERLINK("https://klasma.github.io/Logging_0881/artfynd/A 57165-2019 artfynd.xlsx", "A 57165-2019")</f>
        <v/>
      </c>
      <c r="T54">
        <f>HYPERLINK("https://klasma.github.io/Logging_0881/kartor/A 57165-2019 karta.png", "A 57165-2019")</f>
        <v/>
      </c>
      <c r="V54">
        <f>HYPERLINK("https://klasma.github.io/Logging_0881/klagomål/A 57165-2019 FSC-klagomål.docx", "A 57165-2019")</f>
        <v/>
      </c>
      <c r="W54">
        <f>HYPERLINK("https://klasma.github.io/Logging_0881/klagomålsmail/A 57165-2019 FSC-klagomål mail.docx", "A 57165-2019")</f>
        <v/>
      </c>
      <c r="X54">
        <f>HYPERLINK("https://klasma.github.io/Logging_0881/tillsyn/A 57165-2019 tillsynsbegäran.docx", "A 57165-2019")</f>
        <v/>
      </c>
      <c r="Y54">
        <f>HYPERLINK("https://klasma.github.io/Logging_0881/tillsynsmail/A 57165-2019 tillsynsbegäran mail.docx", "A 57165-2019")</f>
        <v/>
      </c>
      <c r="Z54">
        <f>HYPERLINK("https://klasma.github.io/Logging_0881/fåglar/A 57165-2019 prioriterade fågelarter.docx", "A 57165-2019")</f>
        <v/>
      </c>
    </row>
    <row r="55" ht="15" customHeight="1">
      <c r="A55" t="inlineStr">
        <is>
          <t>A 64844-2019</t>
        </is>
      </c>
      <c r="B55" s="1" t="n">
        <v>43801</v>
      </c>
      <c r="C55" s="1" t="n">
        <v>45643</v>
      </c>
      <c r="D55" t="inlineStr">
        <is>
          <t>KALMAR LÄN</t>
        </is>
      </c>
      <c r="E55" t="inlineStr">
        <is>
          <t>NYBRO</t>
        </is>
      </c>
      <c r="G55" t="n">
        <v>11.9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HYPERLINK("https://klasma.github.io/Logging_0881/artfynd/A 64844-2019 artfynd.xlsx", "A 64844-2019")</f>
        <v/>
      </c>
      <c r="T55">
        <f>HYPERLINK("https://klasma.github.io/Logging_0881/kartor/A 64844-2019 karta.png", "A 64844-2019")</f>
        <v/>
      </c>
      <c r="V55">
        <f>HYPERLINK("https://klasma.github.io/Logging_0881/klagomål/A 64844-2019 FSC-klagomål.docx", "A 64844-2019")</f>
        <v/>
      </c>
      <c r="W55">
        <f>HYPERLINK("https://klasma.github.io/Logging_0881/klagomålsmail/A 64844-2019 FSC-klagomål mail.docx", "A 64844-2019")</f>
        <v/>
      </c>
      <c r="X55">
        <f>HYPERLINK("https://klasma.github.io/Logging_0881/tillsyn/A 64844-2019 tillsynsbegäran.docx", "A 64844-2019")</f>
        <v/>
      </c>
      <c r="Y55">
        <f>HYPERLINK("https://klasma.github.io/Logging_0881/tillsynsmail/A 64844-2019 tillsynsbegäran mail.docx", "A 64844-2019")</f>
        <v/>
      </c>
      <c r="Z55">
        <f>HYPERLINK("https://klasma.github.io/Logging_0881/fåglar/A 64844-2019 prioriterade fågelarter.docx", "A 64844-2019")</f>
        <v/>
      </c>
    </row>
    <row r="56" ht="15" customHeight="1">
      <c r="A56" t="inlineStr">
        <is>
          <t>A 67520-2019</t>
        </is>
      </c>
      <c r="B56" s="1" t="n">
        <v>43815</v>
      </c>
      <c r="C56" s="1" t="n">
        <v>45643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Mjukdån</t>
        </is>
      </c>
      <c r="S56">
        <f>HYPERLINK("https://klasma.github.io/Logging_0881/artfynd/A 67520-2019 artfynd.xlsx", "A 67520-2019")</f>
        <v/>
      </c>
      <c r="T56">
        <f>HYPERLINK("https://klasma.github.io/Logging_0881/kartor/A 67520-2019 karta.png", "A 67520-2019")</f>
        <v/>
      </c>
      <c r="V56">
        <f>HYPERLINK("https://klasma.github.io/Logging_0881/klagomål/A 67520-2019 FSC-klagomål.docx", "A 67520-2019")</f>
        <v/>
      </c>
      <c r="W56">
        <f>HYPERLINK("https://klasma.github.io/Logging_0881/klagomålsmail/A 67520-2019 FSC-klagomål mail.docx", "A 67520-2019")</f>
        <v/>
      </c>
      <c r="X56">
        <f>HYPERLINK("https://klasma.github.io/Logging_0881/tillsyn/A 67520-2019 tillsynsbegäran.docx", "A 67520-2019")</f>
        <v/>
      </c>
      <c r="Y56">
        <f>HYPERLINK("https://klasma.github.io/Logging_0881/tillsynsmail/A 67520-2019 tillsynsbegäran mail.docx", "A 67520-2019")</f>
        <v/>
      </c>
    </row>
    <row r="57" ht="15" customHeight="1">
      <c r="A57" t="inlineStr">
        <is>
          <t>A 764-2020</t>
        </is>
      </c>
      <c r="B57" s="1" t="n">
        <v>43817</v>
      </c>
      <c r="C57" s="1" t="n">
        <v>45643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HYPERLINK("https://klasma.github.io/Logging_0881/artfynd/A 764-2020 artfynd.xlsx", "A 764-2020")</f>
        <v/>
      </c>
      <c r="T57">
        <f>HYPERLINK("https://klasma.github.io/Logging_0881/kartor/A 764-2020 karta.png", "A 764-2020")</f>
        <v/>
      </c>
      <c r="V57">
        <f>HYPERLINK("https://klasma.github.io/Logging_0881/klagomål/A 764-2020 FSC-klagomål.docx", "A 764-2020")</f>
        <v/>
      </c>
      <c r="W57">
        <f>HYPERLINK("https://klasma.github.io/Logging_0881/klagomålsmail/A 764-2020 FSC-klagomål mail.docx", "A 764-2020")</f>
        <v/>
      </c>
      <c r="X57">
        <f>HYPERLINK("https://klasma.github.io/Logging_0881/tillsyn/A 764-2020 tillsynsbegäran.docx", "A 764-2020")</f>
        <v/>
      </c>
      <c r="Y57">
        <f>HYPERLINK("https://klasma.github.io/Logging_0881/tillsynsmail/A 764-2020 tillsynsbegäran mail.docx", "A 764-2020")</f>
        <v/>
      </c>
    </row>
    <row r="58" ht="15" customHeight="1">
      <c r="A58" t="inlineStr">
        <is>
          <t>A 10900-2020</t>
        </is>
      </c>
      <c r="B58" s="1" t="n">
        <v>43885</v>
      </c>
      <c r="C58" s="1" t="n">
        <v>45643</v>
      </c>
      <c r="D58" t="inlineStr">
        <is>
          <t>KALMAR LÄN</t>
        </is>
      </c>
      <c r="E58" t="inlineStr">
        <is>
          <t>NYBRO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10900-2020 artfynd.xlsx", "A 10900-2020")</f>
        <v/>
      </c>
      <c r="T58">
        <f>HYPERLINK("https://klasma.github.io/Logging_0881/kartor/A 10900-2020 karta.png", "A 10900-2020")</f>
        <v/>
      </c>
      <c r="U58">
        <f>HYPERLINK("https://klasma.github.io/Logging_0881/knärot/A 10900-2020 karta knärot.png", "A 10900-2020")</f>
        <v/>
      </c>
      <c r="V58">
        <f>HYPERLINK("https://klasma.github.io/Logging_0881/klagomål/A 10900-2020 FSC-klagomål.docx", "A 10900-2020")</f>
        <v/>
      </c>
      <c r="W58">
        <f>HYPERLINK("https://klasma.github.io/Logging_0881/klagomålsmail/A 10900-2020 FSC-klagomål mail.docx", "A 10900-2020")</f>
        <v/>
      </c>
      <c r="X58">
        <f>HYPERLINK("https://klasma.github.io/Logging_0881/tillsyn/A 10900-2020 tillsynsbegäran.docx", "A 10900-2020")</f>
        <v/>
      </c>
      <c r="Y58">
        <f>HYPERLINK("https://klasma.github.io/Logging_0881/tillsynsmail/A 10900-2020 tillsynsbegäran mail.docx", "A 10900-2020")</f>
        <v/>
      </c>
    </row>
    <row r="59" ht="15" customHeight="1">
      <c r="A59" t="inlineStr">
        <is>
          <t>A 22149-2020</t>
        </is>
      </c>
      <c r="B59" s="1" t="n">
        <v>43961</v>
      </c>
      <c r="C59" s="1" t="n">
        <v>45643</v>
      </c>
      <c r="D59" t="inlineStr">
        <is>
          <t>KALMAR LÄN</t>
        </is>
      </c>
      <c r="E59" t="inlineStr">
        <is>
          <t>NYBRO</t>
        </is>
      </c>
      <c r="G59" t="n">
        <v>11.4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Småjungfrukam</t>
        </is>
      </c>
      <c r="S59">
        <f>HYPERLINK("https://klasma.github.io/Logging_0881/artfynd/A 22149-2020 artfynd.xlsx", "A 22149-2020")</f>
        <v/>
      </c>
      <c r="T59">
        <f>HYPERLINK("https://klasma.github.io/Logging_0881/kartor/A 22149-2020 karta.png", "A 22149-2020")</f>
        <v/>
      </c>
      <c r="V59">
        <f>HYPERLINK("https://klasma.github.io/Logging_0881/klagomål/A 22149-2020 FSC-klagomål.docx", "A 22149-2020")</f>
        <v/>
      </c>
      <c r="W59">
        <f>HYPERLINK("https://klasma.github.io/Logging_0881/klagomålsmail/A 22149-2020 FSC-klagomål mail.docx", "A 22149-2020")</f>
        <v/>
      </c>
      <c r="X59">
        <f>HYPERLINK("https://klasma.github.io/Logging_0881/tillsyn/A 22149-2020 tillsynsbegäran.docx", "A 22149-2020")</f>
        <v/>
      </c>
      <c r="Y59">
        <f>HYPERLINK("https://klasma.github.io/Logging_0881/tillsynsmail/A 22149-2020 tillsynsbegäran mail.docx", "A 22149-2020")</f>
        <v/>
      </c>
    </row>
    <row r="60" ht="15" customHeight="1">
      <c r="A60" t="inlineStr">
        <is>
          <t>A 22629-2020</t>
        </is>
      </c>
      <c r="B60" s="1" t="n">
        <v>43963</v>
      </c>
      <c r="C60" s="1" t="n">
        <v>45643</v>
      </c>
      <c r="D60" t="inlineStr">
        <is>
          <t>KALMAR LÄN</t>
        </is>
      </c>
      <c r="E60" t="inlineStr">
        <is>
          <t>NYBRO</t>
        </is>
      </c>
      <c r="G60" t="n">
        <v>9.4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HYPERLINK("https://klasma.github.io/Logging_0881/artfynd/A 22629-2020 artfynd.xlsx", "A 22629-2020")</f>
        <v/>
      </c>
      <c r="T60">
        <f>HYPERLINK("https://klasma.github.io/Logging_0881/kartor/A 22629-2020 karta.png", "A 22629-2020")</f>
        <v/>
      </c>
      <c r="V60">
        <f>HYPERLINK("https://klasma.github.io/Logging_0881/klagomål/A 22629-2020 FSC-klagomål.docx", "A 22629-2020")</f>
        <v/>
      </c>
      <c r="W60">
        <f>HYPERLINK("https://klasma.github.io/Logging_0881/klagomålsmail/A 22629-2020 FSC-klagomål mail.docx", "A 22629-2020")</f>
        <v/>
      </c>
      <c r="X60">
        <f>HYPERLINK("https://klasma.github.io/Logging_0881/tillsyn/A 22629-2020 tillsynsbegäran.docx", "A 22629-2020")</f>
        <v/>
      </c>
      <c r="Y60">
        <f>HYPERLINK("https://klasma.github.io/Logging_0881/tillsynsmail/A 22629-2020 tillsynsbegäran mail.docx", "A 22629-2020")</f>
        <v/>
      </c>
    </row>
    <row r="61" ht="15" customHeight="1">
      <c r="A61" t="inlineStr">
        <is>
          <t>A 25736-2020</t>
        </is>
      </c>
      <c r="B61" s="1" t="n">
        <v>43984</v>
      </c>
      <c r="C61" s="1" t="n">
        <v>45643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25736-2020 artfynd.xlsx", "A 25736-2020")</f>
        <v/>
      </c>
      <c r="T61">
        <f>HYPERLINK("https://klasma.github.io/Logging_0881/kartor/A 25736-2020 karta.png", "A 25736-2020")</f>
        <v/>
      </c>
      <c r="V61">
        <f>HYPERLINK("https://klasma.github.io/Logging_0881/klagomål/A 25736-2020 FSC-klagomål.docx", "A 25736-2020")</f>
        <v/>
      </c>
      <c r="W61">
        <f>HYPERLINK("https://klasma.github.io/Logging_0881/klagomålsmail/A 25736-2020 FSC-klagomål mail.docx", "A 25736-2020")</f>
        <v/>
      </c>
      <c r="X61">
        <f>HYPERLINK("https://klasma.github.io/Logging_0881/tillsyn/A 25736-2020 tillsynsbegäran.docx", "A 25736-2020")</f>
        <v/>
      </c>
      <c r="Y61">
        <f>HYPERLINK("https://klasma.github.io/Logging_0881/tillsynsmail/A 25736-2020 tillsynsbegäran mail.docx", "A 25736-2020")</f>
        <v/>
      </c>
    </row>
    <row r="62" ht="15" customHeight="1">
      <c r="A62" t="inlineStr">
        <is>
          <t>A 30772-2020</t>
        </is>
      </c>
      <c r="B62" s="1" t="n">
        <v>44009</v>
      </c>
      <c r="C62" s="1" t="n">
        <v>45643</v>
      </c>
      <c r="D62" t="inlineStr">
        <is>
          <t>KALMAR LÄN</t>
        </is>
      </c>
      <c r="E62" t="inlineStr">
        <is>
          <t>NYBRO</t>
        </is>
      </c>
      <c r="G62" t="n">
        <v>21.1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HYPERLINK("https://klasma.github.io/Logging_0881/artfynd/A 30772-2020 artfynd.xlsx", "A 30772-2020")</f>
        <v/>
      </c>
      <c r="T62">
        <f>HYPERLINK("https://klasma.github.io/Logging_0881/kartor/A 30772-2020 karta.png", "A 30772-2020")</f>
        <v/>
      </c>
      <c r="V62">
        <f>HYPERLINK("https://klasma.github.io/Logging_0881/klagomål/A 30772-2020 FSC-klagomål.docx", "A 30772-2020")</f>
        <v/>
      </c>
      <c r="W62">
        <f>HYPERLINK("https://klasma.github.io/Logging_0881/klagomålsmail/A 30772-2020 FSC-klagomål mail.docx", "A 30772-2020")</f>
        <v/>
      </c>
      <c r="X62">
        <f>HYPERLINK("https://klasma.github.io/Logging_0881/tillsyn/A 30772-2020 tillsynsbegäran.docx", "A 30772-2020")</f>
        <v/>
      </c>
      <c r="Y62">
        <f>HYPERLINK("https://klasma.github.io/Logging_0881/tillsynsmail/A 30772-2020 tillsynsbegäran mail.docx", "A 30772-2020")</f>
        <v/>
      </c>
    </row>
    <row r="63" ht="15" customHeight="1">
      <c r="A63" t="inlineStr">
        <is>
          <t>A 37939-2020</t>
        </is>
      </c>
      <c r="B63" s="1" t="n">
        <v>44057</v>
      </c>
      <c r="C63" s="1" t="n">
        <v>45643</v>
      </c>
      <c r="D63" t="inlineStr">
        <is>
          <t>KALMAR LÄN</t>
        </is>
      </c>
      <c r="E63" t="inlineStr">
        <is>
          <t>NYBRO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HYPERLINK("https://klasma.github.io/Logging_0881/artfynd/A 37939-2020 artfynd.xlsx", "A 37939-2020")</f>
        <v/>
      </c>
      <c r="T63">
        <f>HYPERLINK("https://klasma.github.io/Logging_0881/kartor/A 37939-2020 karta.png", "A 37939-2020")</f>
        <v/>
      </c>
      <c r="V63">
        <f>HYPERLINK("https://klasma.github.io/Logging_0881/klagomål/A 37939-2020 FSC-klagomål.docx", "A 37939-2020")</f>
        <v/>
      </c>
      <c r="W63">
        <f>HYPERLINK("https://klasma.github.io/Logging_0881/klagomålsmail/A 37939-2020 FSC-klagomål mail.docx", "A 37939-2020")</f>
        <v/>
      </c>
      <c r="X63">
        <f>HYPERLINK("https://klasma.github.io/Logging_0881/tillsyn/A 37939-2020 tillsynsbegäran.docx", "A 37939-2020")</f>
        <v/>
      </c>
      <c r="Y63">
        <f>HYPERLINK("https://klasma.github.io/Logging_0881/tillsynsmail/A 37939-2020 tillsynsbegäran mail.docx", "A 37939-2020")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45643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65962-2020</t>
        </is>
      </c>
      <c r="B65" s="1" t="n">
        <v>44175</v>
      </c>
      <c r="C65" s="1" t="n">
        <v>45643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65962-2020 artfynd.xlsx", "A 65962-2020")</f>
        <v/>
      </c>
      <c r="T65">
        <f>HYPERLINK("https://klasma.github.io/Logging_0881/kartor/A 65962-2020 karta.png", "A 65962-2020")</f>
        <v/>
      </c>
      <c r="V65">
        <f>HYPERLINK("https://klasma.github.io/Logging_0881/klagomål/A 65962-2020 FSC-klagomål.docx", "A 65962-2020")</f>
        <v/>
      </c>
      <c r="W65">
        <f>HYPERLINK("https://klasma.github.io/Logging_0881/klagomålsmail/A 65962-2020 FSC-klagomål mail.docx", "A 65962-2020")</f>
        <v/>
      </c>
      <c r="X65">
        <f>HYPERLINK("https://klasma.github.io/Logging_0881/tillsyn/A 65962-2020 tillsynsbegäran.docx", "A 65962-2020")</f>
        <v/>
      </c>
      <c r="Y65">
        <f>HYPERLINK("https://klasma.github.io/Logging_0881/tillsynsmail/A 65962-2020 tillsynsbegäran mail.docx", "A 65962-2020")</f>
        <v/>
      </c>
      <c r="Z65">
        <f>HYPERLINK("https://klasma.github.io/Logging_0881/fåglar/A 65962-2020 prioriterade fågelarter.docx", "A 65962-2020")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45643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45643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  <c r="Z67">
        <f>HYPERLINK("https://klasma.github.io/Logging_0881/fåglar/A 47582-2021 prioriterade fågelarter.docx", "A 47582-2021")</f>
        <v/>
      </c>
    </row>
    <row r="68" ht="15" customHeight="1">
      <c r="A68" t="inlineStr">
        <is>
          <t>A 48006-2021</t>
        </is>
      </c>
      <c r="B68" s="1" t="n">
        <v>44449</v>
      </c>
      <c r="C68" s="1" t="n">
        <v>45643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HYPERLINK("https://klasma.github.io/Logging_0881/artfynd/A 48006-2021 artfynd.xlsx", "A 48006-2021")</f>
        <v/>
      </c>
      <c r="T68">
        <f>HYPERLINK("https://klasma.github.io/Logging_0881/kartor/A 48006-2021 karta.png", "A 48006-2021")</f>
        <v/>
      </c>
      <c r="V68">
        <f>HYPERLINK("https://klasma.github.io/Logging_0881/klagomål/A 48006-2021 FSC-klagomål.docx", "A 48006-2021")</f>
        <v/>
      </c>
      <c r="W68">
        <f>HYPERLINK("https://klasma.github.io/Logging_0881/klagomålsmail/A 48006-2021 FSC-klagomål mail.docx", "A 48006-2021")</f>
        <v/>
      </c>
      <c r="X68">
        <f>HYPERLINK("https://klasma.github.io/Logging_0881/tillsyn/A 48006-2021 tillsynsbegäran.docx", "A 48006-2021")</f>
        <v/>
      </c>
      <c r="Y68">
        <f>HYPERLINK("https://klasma.github.io/Logging_0881/tillsynsmail/A 48006-2021 tillsynsbegäran mail.docx", "A 48006-2021")</f>
        <v/>
      </c>
    </row>
    <row r="69" ht="15" customHeight="1">
      <c r="A69" t="inlineStr">
        <is>
          <t>A 58765-2021</t>
        </is>
      </c>
      <c r="B69" s="1" t="n">
        <v>44489</v>
      </c>
      <c r="C69" s="1" t="n">
        <v>45643</v>
      </c>
      <c r="D69" t="inlineStr">
        <is>
          <t>KALMAR LÄN</t>
        </is>
      </c>
      <c r="E69" t="inlineStr">
        <is>
          <t>NYBRO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58765-2021 artfynd.xlsx", "A 58765-2021")</f>
        <v/>
      </c>
      <c r="T69">
        <f>HYPERLINK("https://klasma.github.io/Logging_0881/kartor/A 58765-2021 karta.png", "A 58765-2021")</f>
        <v/>
      </c>
      <c r="V69">
        <f>HYPERLINK("https://klasma.github.io/Logging_0881/klagomål/A 58765-2021 FSC-klagomål.docx", "A 58765-2021")</f>
        <v/>
      </c>
      <c r="W69">
        <f>HYPERLINK("https://klasma.github.io/Logging_0881/klagomålsmail/A 58765-2021 FSC-klagomål mail.docx", "A 58765-2021")</f>
        <v/>
      </c>
      <c r="X69">
        <f>HYPERLINK("https://klasma.github.io/Logging_0881/tillsyn/A 58765-2021 tillsynsbegäran.docx", "A 58765-2021")</f>
        <v/>
      </c>
      <c r="Y69">
        <f>HYPERLINK("https://klasma.github.io/Logging_0881/tillsynsmail/A 58765-2021 tillsynsbegäran mail.docx", "A 58765-2021")</f>
        <v/>
      </c>
    </row>
    <row r="70" ht="15" customHeight="1">
      <c r="A70" t="inlineStr">
        <is>
          <t>A 84-2022</t>
        </is>
      </c>
      <c r="B70" s="1" t="n">
        <v>44564</v>
      </c>
      <c r="C70" s="1" t="n">
        <v>45643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84-2022 artfynd.xlsx", "A 84-2022")</f>
        <v/>
      </c>
      <c r="T70">
        <f>HYPERLINK("https://klasma.github.io/Logging_0881/kartor/A 84-2022 karta.png", "A 84-2022")</f>
        <v/>
      </c>
      <c r="V70">
        <f>HYPERLINK("https://klasma.github.io/Logging_0881/klagomål/A 84-2022 FSC-klagomål.docx", "A 84-2022")</f>
        <v/>
      </c>
      <c r="W70">
        <f>HYPERLINK("https://klasma.github.io/Logging_0881/klagomålsmail/A 84-2022 FSC-klagomål mail.docx", "A 84-2022")</f>
        <v/>
      </c>
      <c r="X70">
        <f>HYPERLINK("https://klasma.github.io/Logging_0881/tillsyn/A 84-2022 tillsynsbegäran.docx", "A 84-2022")</f>
        <v/>
      </c>
      <c r="Y70">
        <f>HYPERLINK("https://klasma.github.io/Logging_0881/tillsynsmail/A 84-2022 tillsynsbegäran mail.docx", "A 84-2022")</f>
        <v/>
      </c>
    </row>
    <row r="71" ht="15" customHeight="1">
      <c r="A71" t="inlineStr">
        <is>
          <t>A 6849-2022</t>
        </is>
      </c>
      <c r="B71" s="1" t="n">
        <v>44602</v>
      </c>
      <c r="C71" s="1" t="n">
        <v>45643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HYPERLINK("https://klasma.github.io/Logging_0881/artfynd/A 6849-2022 artfynd.xlsx", "A 6849-2022")</f>
        <v/>
      </c>
      <c r="T71">
        <f>HYPERLINK("https://klasma.github.io/Logging_0881/kartor/A 6849-2022 karta.png", "A 6849-2022")</f>
        <v/>
      </c>
      <c r="V71">
        <f>HYPERLINK("https://klasma.github.io/Logging_0881/klagomål/A 6849-2022 FSC-klagomål.docx", "A 6849-2022")</f>
        <v/>
      </c>
      <c r="W71">
        <f>HYPERLINK("https://klasma.github.io/Logging_0881/klagomålsmail/A 6849-2022 FSC-klagomål mail.docx", "A 6849-2022")</f>
        <v/>
      </c>
      <c r="X71">
        <f>HYPERLINK("https://klasma.github.io/Logging_0881/tillsyn/A 6849-2022 tillsynsbegäran.docx", "A 6849-2022")</f>
        <v/>
      </c>
      <c r="Y71">
        <f>HYPERLINK("https://klasma.github.io/Logging_0881/tillsynsmail/A 6849-2022 tillsynsbegäran mail.docx", "A 6849-2022")</f>
        <v/>
      </c>
    </row>
    <row r="72" ht="15" customHeight="1">
      <c r="A72" t="inlineStr">
        <is>
          <t>A 11823-2022</t>
        </is>
      </c>
      <c r="B72" s="1" t="n">
        <v>44634</v>
      </c>
      <c r="C72" s="1" t="n">
        <v>45643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HYPERLINK("https://klasma.github.io/Logging_0881/artfynd/A 11823-2022 artfynd.xlsx", "A 11823-2022")</f>
        <v/>
      </c>
      <c r="T72">
        <f>HYPERLINK("https://klasma.github.io/Logging_0881/kartor/A 11823-2022 karta.png", "A 11823-2022")</f>
        <v/>
      </c>
      <c r="V72">
        <f>HYPERLINK("https://klasma.github.io/Logging_0881/klagomål/A 11823-2022 FSC-klagomål.docx", "A 11823-2022")</f>
        <v/>
      </c>
      <c r="W72">
        <f>HYPERLINK("https://klasma.github.io/Logging_0881/klagomålsmail/A 11823-2022 FSC-klagomål mail.docx", "A 11823-2022")</f>
        <v/>
      </c>
      <c r="X72">
        <f>HYPERLINK("https://klasma.github.io/Logging_0881/tillsyn/A 11823-2022 tillsynsbegäran.docx", "A 11823-2022")</f>
        <v/>
      </c>
      <c r="Y72">
        <f>HYPERLINK("https://klasma.github.io/Logging_0881/tillsynsmail/A 11823-2022 tillsynsbegäran mail.docx", "A 11823-2022")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45643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45643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19384-2022</t>
        </is>
      </c>
      <c r="B75" s="1" t="n">
        <v>44692</v>
      </c>
      <c r="C75" s="1" t="n">
        <v>45643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Sotlav</t>
        </is>
      </c>
      <c r="S75">
        <f>HYPERLINK("https://klasma.github.io/Logging_0881/artfynd/A 19384-2022 artfynd.xlsx", "A 19384-2022")</f>
        <v/>
      </c>
      <c r="T75">
        <f>HYPERLINK("https://klasma.github.io/Logging_0881/kartor/A 19384-2022 karta.png", "A 19384-2022")</f>
        <v/>
      </c>
      <c r="V75">
        <f>HYPERLINK("https://klasma.github.io/Logging_0881/klagomål/A 19384-2022 FSC-klagomål.docx", "A 19384-2022")</f>
        <v/>
      </c>
      <c r="W75">
        <f>HYPERLINK("https://klasma.github.io/Logging_0881/klagomålsmail/A 19384-2022 FSC-klagomål mail.docx", "A 19384-2022")</f>
        <v/>
      </c>
      <c r="X75">
        <f>HYPERLINK("https://klasma.github.io/Logging_0881/tillsyn/A 19384-2022 tillsynsbegäran.docx", "A 19384-2022")</f>
        <v/>
      </c>
      <c r="Y75">
        <f>HYPERLINK("https://klasma.github.io/Logging_0881/tillsynsmail/A 19384-2022 tillsynsbegäran mail.docx", "A 19384-2022")</f>
        <v/>
      </c>
    </row>
    <row r="76" ht="15" customHeight="1">
      <c r="A76" t="inlineStr">
        <is>
          <t>A 33067-2022</t>
        </is>
      </c>
      <c r="B76" s="1" t="n">
        <v>44785</v>
      </c>
      <c r="C76" s="1" t="n">
        <v>45643</v>
      </c>
      <c r="D76" t="inlineStr">
        <is>
          <t>KALMAR LÄN</t>
        </is>
      </c>
      <c r="E76" t="inlineStr">
        <is>
          <t>NYBRO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33067-2022 artfynd.xlsx", "A 33067-2022")</f>
        <v/>
      </c>
      <c r="T76">
        <f>HYPERLINK("https://klasma.github.io/Logging_0881/kartor/A 33067-2022 karta.png", "A 33067-2022")</f>
        <v/>
      </c>
      <c r="V76">
        <f>HYPERLINK("https://klasma.github.io/Logging_0881/klagomål/A 33067-2022 FSC-klagomål.docx", "A 33067-2022")</f>
        <v/>
      </c>
      <c r="W76">
        <f>HYPERLINK("https://klasma.github.io/Logging_0881/klagomålsmail/A 33067-2022 FSC-klagomål mail.docx", "A 33067-2022")</f>
        <v/>
      </c>
      <c r="X76">
        <f>HYPERLINK("https://klasma.github.io/Logging_0881/tillsyn/A 33067-2022 tillsynsbegäran.docx", "A 33067-2022")</f>
        <v/>
      </c>
      <c r="Y76">
        <f>HYPERLINK("https://klasma.github.io/Logging_0881/tillsynsmail/A 33067-2022 tillsynsbegäran mail.docx", "A 33067-2022")</f>
        <v/>
      </c>
    </row>
    <row r="77" ht="15" customHeight="1">
      <c r="A77" t="inlineStr">
        <is>
          <t>A 52750-2022</t>
        </is>
      </c>
      <c r="B77" s="1" t="n">
        <v>44874</v>
      </c>
      <c r="C77" s="1" t="n">
        <v>45643</v>
      </c>
      <c r="D77" t="inlineStr">
        <is>
          <t>KALMAR LÄN</t>
        </is>
      </c>
      <c r="E77" t="inlineStr">
        <is>
          <t>NYBRO</t>
        </is>
      </c>
      <c r="G77" t="n">
        <v>15.6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Ljungögontröst</t>
        </is>
      </c>
      <c r="S77">
        <f>HYPERLINK("https://klasma.github.io/Logging_0881/artfynd/A 52750-2022 artfynd.xlsx", "A 52750-2022")</f>
        <v/>
      </c>
      <c r="T77">
        <f>HYPERLINK("https://klasma.github.io/Logging_0881/kartor/A 52750-2022 karta.png", "A 52750-2022")</f>
        <v/>
      </c>
      <c r="V77">
        <f>HYPERLINK("https://klasma.github.io/Logging_0881/klagomål/A 52750-2022 FSC-klagomål.docx", "A 52750-2022")</f>
        <v/>
      </c>
      <c r="W77">
        <f>HYPERLINK("https://klasma.github.io/Logging_0881/klagomålsmail/A 52750-2022 FSC-klagomål mail.docx", "A 52750-2022")</f>
        <v/>
      </c>
      <c r="X77">
        <f>HYPERLINK("https://klasma.github.io/Logging_0881/tillsyn/A 52750-2022 tillsynsbegäran.docx", "A 52750-2022")</f>
        <v/>
      </c>
      <c r="Y77">
        <f>HYPERLINK("https://klasma.github.io/Logging_0881/tillsynsmail/A 52750-2022 tillsynsbegäran mail.docx", "A 52750-2022")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45643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45643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61771-2022</t>
        </is>
      </c>
      <c r="B80" s="1" t="n">
        <v>44917</v>
      </c>
      <c r="C80" s="1" t="n">
        <v>45643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10.4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61771-2022 artfynd.xlsx", "A 61771-2022")</f>
        <v/>
      </c>
      <c r="T80">
        <f>HYPERLINK("https://klasma.github.io/Logging_0881/kartor/A 61771-2022 karta.png", "A 61771-2022")</f>
        <v/>
      </c>
      <c r="V80">
        <f>HYPERLINK("https://klasma.github.io/Logging_0881/klagomål/A 61771-2022 FSC-klagomål.docx", "A 61771-2022")</f>
        <v/>
      </c>
      <c r="W80">
        <f>HYPERLINK("https://klasma.github.io/Logging_0881/klagomålsmail/A 61771-2022 FSC-klagomål mail.docx", "A 61771-2022")</f>
        <v/>
      </c>
      <c r="X80">
        <f>HYPERLINK("https://klasma.github.io/Logging_0881/tillsyn/A 61771-2022 tillsynsbegäran.docx", "A 61771-2022")</f>
        <v/>
      </c>
      <c r="Y80">
        <f>HYPERLINK("https://klasma.github.io/Logging_0881/tillsynsmail/A 61771-2022 tillsynsbegäran mail.docx", "A 61771-2022")</f>
        <v/>
      </c>
      <c r="Z80">
        <f>HYPERLINK("https://klasma.github.io/Logging_0881/fåglar/A 61771-2022 prioriterade fågelarter.docx", "A 61771-2022")</f>
        <v/>
      </c>
    </row>
    <row r="81" ht="15" customHeight="1">
      <c r="A81" t="inlineStr">
        <is>
          <t>A 6676-2023</t>
        </is>
      </c>
      <c r="B81" s="1" t="n">
        <v>44966</v>
      </c>
      <c r="C81" s="1" t="n">
        <v>45643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15279-2023</t>
        </is>
      </c>
      <c r="B82" s="1" t="n">
        <v>45019</v>
      </c>
      <c r="C82" s="1" t="n">
        <v>45643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HYPERLINK("https://klasma.github.io/Logging_0881/artfynd/A 15279-2023 artfynd.xlsx", "A 15279-2023")</f>
        <v/>
      </c>
      <c r="T82">
        <f>HYPERLINK("https://klasma.github.io/Logging_0881/kartor/A 15279-2023 karta.png", "A 15279-2023")</f>
        <v/>
      </c>
      <c r="V82">
        <f>HYPERLINK("https://klasma.github.io/Logging_0881/klagomål/A 15279-2023 FSC-klagomål.docx", "A 15279-2023")</f>
        <v/>
      </c>
      <c r="W82">
        <f>HYPERLINK("https://klasma.github.io/Logging_0881/klagomålsmail/A 15279-2023 FSC-klagomål mail.docx", "A 15279-2023")</f>
        <v/>
      </c>
      <c r="X82">
        <f>HYPERLINK("https://klasma.github.io/Logging_0881/tillsyn/A 15279-2023 tillsynsbegäran.docx", "A 15279-2023")</f>
        <v/>
      </c>
      <c r="Y82">
        <f>HYPERLINK("https://klasma.github.io/Logging_0881/tillsynsmail/A 15279-2023 tillsynsbegäran mail.docx", "A 15279-2023")</f>
        <v/>
      </c>
      <c r="Z82">
        <f>HYPERLINK("https://klasma.github.io/Logging_0881/fåglar/A 15279-2023 prioriterade fågelarter.docx", "A 15279-2023")</f>
        <v/>
      </c>
    </row>
    <row r="83" ht="15" customHeight="1">
      <c r="A83" t="inlineStr">
        <is>
          <t>A 15277-2023</t>
        </is>
      </c>
      <c r="B83" s="1" t="n">
        <v>45019</v>
      </c>
      <c r="C83" s="1" t="n">
        <v>45643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15277-2023 artfynd.xlsx", "A 15277-2023")</f>
        <v/>
      </c>
      <c r="T83">
        <f>HYPERLINK("https://klasma.github.io/Logging_0881/kartor/A 15277-2023 karta.png", "A 15277-2023")</f>
        <v/>
      </c>
      <c r="V83">
        <f>HYPERLINK("https://klasma.github.io/Logging_0881/klagomål/A 15277-2023 FSC-klagomål.docx", "A 15277-2023")</f>
        <v/>
      </c>
      <c r="W83">
        <f>HYPERLINK("https://klasma.github.io/Logging_0881/klagomålsmail/A 15277-2023 FSC-klagomål mail.docx", "A 15277-2023")</f>
        <v/>
      </c>
      <c r="X83">
        <f>HYPERLINK("https://klasma.github.io/Logging_0881/tillsyn/A 15277-2023 tillsynsbegäran.docx", "A 15277-2023")</f>
        <v/>
      </c>
      <c r="Y83">
        <f>HYPERLINK("https://klasma.github.io/Logging_0881/tillsynsmail/A 15277-2023 tillsynsbegäran mail.docx", "A 15277-2023")</f>
        <v/>
      </c>
      <c r="Z83">
        <f>HYPERLINK("https://klasma.github.io/Logging_0881/fåglar/A 15277-2023 prioriterade fågelarter.docx", "A 15277-2023")</f>
        <v/>
      </c>
    </row>
    <row r="84" ht="15" customHeight="1">
      <c r="A84" t="inlineStr">
        <is>
          <t>A 15353-2023</t>
        </is>
      </c>
      <c r="B84" s="1" t="n">
        <v>45019</v>
      </c>
      <c r="C84" s="1" t="n">
        <v>45643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15353-2023 artfynd.xlsx", "A 15353-2023")</f>
        <v/>
      </c>
      <c r="T84">
        <f>HYPERLINK("https://klasma.github.io/Logging_0881/kartor/A 15353-2023 karta.png", "A 15353-2023")</f>
        <v/>
      </c>
      <c r="V84">
        <f>HYPERLINK("https://klasma.github.io/Logging_0881/klagomål/A 15353-2023 FSC-klagomål.docx", "A 15353-2023")</f>
        <v/>
      </c>
      <c r="W84">
        <f>HYPERLINK("https://klasma.github.io/Logging_0881/klagomålsmail/A 15353-2023 FSC-klagomål mail.docx", "A 15353-2023")</f>
        <v/>
      </c>
      <c r="X84">
        <f>HYPERLINK("https://klasma.github.io/Logging_0881/tillsyn/A 15353-2023 tillsynsbegäran.docx", "A 15353-2023")</f>
        <v/>
      </c>
      <c r="Y84">
        <f>HYPERLINK("https://klasma.github.io/Logging_0881/tillsynsmail/A 15353-2023 tillsynsbegäran mail.docx", "A 15353-2023")</f>
        <v/>
      </c>
      <c r="Z84">
        <f>HYPERLINK("https://klasma.github.io/Logging_0881/fåglar/A 15353-2023 prioriterade fågelarter.docx", "A 15353-2023")</f>
        <v/>
      </c>
    </row>
    <row r="85" ht="15" customHeight="1">
      <c r="A85" t="inlineStr">
        <is>
          <t>A 18404-2023</t>
        </is>
      </c>
      <c r="B85" s="1" t="n">
        <v>45042</v>
      </c>
      <c r="C85" s="1" t="n">
        <v>45643</v>
      </c>
      <c r="D85" t="inlineStr">
        <is>
          <t>KALMAR LÄN</t>
        </is>
      </c>
      <c r="E85" t="inlineStr">
        <is>
          <t>NYBRO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HYPERLINK("https://klasma.github.io/Logging_0881/artfynd/A 18404-2023 artfynd.xlsx", "A 18404-2023")</f>
        <v/>
      </c>
      <c r="T85">
        <f>HYPERLINK("https://klasma.github.io/Logging_0881/kartor/A 18404-2023 karta.png", "A 18404-2023")</f>
        <v/>
      </c>
      <c r="V85">
        <f>HYPERLINK("https://klasma.github.io/Logging_0881/klagomål/A 18404-2023 FSC-klagomål.docx", "A 18404-2023")</f>
        <v/>
      </c>
      <c r="W85">
        <f>HYPERLINK("https://klasma.github.io/Logging_0881/klagomålsmail/A 18404-2023 FSC-klagomål mail.docx", "A 18404-2023")</f>
        <v/>
      </c>
      <c r="X85">
        <f>HYPERLINK("https://klasma.github.io/Logging_0881/tillsyn/A 18404-2023 tillsynsbegäran.docx", "A 18404-2023")</f>
        <v/>
      </c>
      <c r="Y85">
        <f>HYPERLINK("https://klasma.github.io/Logging_0881/tillsynsmail/A 18404-2023 tillsynsbegäran mail.docx", "A 18404-2023")</f>
        <v/>
      </c>
      <c r="Z85">
        <f>HYPERLINK("https://klasma.github.io/Logging_0881/fåglar/A 18404-2023 prioriterade fågelarter.docx", "A 18404-2023")</f>
        <v/>
      </c>
    </row>
    <row r="86" ht="15" customHeight="1">
      <c r="A86" t="inlineStr">
        <is>
          <t>A 27346-2023</t>
        </is>
      </c>
      <c r="B86" s="1" t="n">
        <v>45096</v>
      </c>
      <c r="C86" s="1" t="n">
        <v>45643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HYPERLINK("https://klasma.github.io/Logging_0881/artfynd/A 27346-2023 artfynd.xlsx", "A 27346-2023")</f>
        <v/>
      </c>
      <c r="T86">
        <f>HYPERLINK("https://klasma.github.io/Logging_0881/kartor/A 27346-2023 karta.png", "A 27346-2023")</f>
        <v/>
      </c>
      <c r="V86">
        <f>HYPERLINK("https://klasma.github.io/Logging_0881/klagomål/A 27346-2023 FSC-klagomål.docx", "A 27346-2023")</f>
        <v/>
      </c>
      <c r="W86">
        <f>HYPERLINK("https://klasma.github.io/Logging_0881/klagomålsmail/A 27346-2023 FSC-klagomål mail.docx", "A 27346-2023")</f>
        <v/>
      </c>
      <c r="X86">
        <f>HYPERLINK("https://klasma.github.io/Logging_0881/tillsyn/A 27346-2023 tillsynsbegäran.docx", "A 27346-2023")</f>
        <v/>
      </c>
      <c r="Y86">
        <f>HYPERLINK("https://klasma.github.io/Logging_0881/tillsynsmail/A 27346-2023 tillsynsbegäran mail.docx", "A 27346-2023")</f>
        <v/>
      </c>
    </row>
    <row r="87" ht="15" customHeight="1">
      <c r="A87" t="inlineStr">
        <is>
          <t>A 28678-2023</t>
        </is>
      </c>
      <c r="B87" s="1" t="n">
        <v>45103</v>
      </c>
      <c r="C87" s="1" t="n">
        <v>45643</v>
      </c>
      <c r="D87" t="inlineStr">
        <is>
          <t>KALMAR LÄN</t>
        </is>
      </c>
      <c r="E87" t="inlineStr">
        <is>
          <t>NYBRO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Åttafläckig praktbagge</t>
        </is>
      </c>
      <c r="S87">
        <f>HYPERLINK("https://klasma.github.io/Logging_0881/artfynd/A 28678-2023 artfynd.xlsx", "A 28678-2023")</f>
        <v/>
      </c>
      <c r="T87">
        <f>HYPERLINK("https://klasma.github.io/Logging_0881/kartor/A 28678-2023 karta.png", "A 28678-2023")</f>
        <v/>
      </c>
      <c r="V87">
        <f>HYPERLINK("https://klasma.github.io/Logging_0881/klagomål/A 28678-2023 FSC-klagomål.docx", "A 28678-2023")</f>
        <v/>
      </c>
      <c r="W87">
        <f>HYPERLINK("https://klasma.github.io/Logging_0881/klagomålsmail/A 28678-2023 FSC-klagomål mail.docx", "A 28678-2023")</f>
        <v/>
      </c>
      <c r="X87">
        <f>HYPERLINK("https://klasma.github.io/Logging_0881/tillsyn/A 28678-2023 tillsynsbegäran.docx", "A 28678-2023")</f>
        <v/>
      </c>
      <c r="Y87">
        <f>HYPERLINK("https://klasma.github.io/Logging_0881/tillsynsmail/A 28678-2023 tillsynsbegäran mail.docx", "A 28678-2023")</f>
        <v/>
      </c>
    </row>
    <row r="88" ht="15" customHeight="1">
      <c r="A88" t="inlineStr">
        <is>
          <t>A 28647-2023</t>
        </is>
      </c>
      <c r="B88" s="1" t="n">
        <v>45103</v>
      </c>
      <c r="C88" s="1" t="n">
        <v>45643</v>
      </c>
      <c r="D88" t="inlineStr">
        <is>
          <t>KALMAR LÄN</t>
        </is>
      </c>
      <c r="E88" t="inlineStr">
        <is>
          <t>NYBRO</t>
        </is>
      </c>
      <c r="G88" t="n">
        <v>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Gulfläckig praktbagge</t>
        </is>
      </c>
      <c r="S88">
        <f>HYPERLINK("https://klasma.github.io/Logging_0881/artfynd/A 28647-2023 artfynd.xlsx", "A 28647-2023")</f>
        <v/>
      </c>
      <c r="T88">
        <f>HYPERLINK("https://klasma.github.io/Logging_0881/kartor/A 28647-2023 karta.png", "A 28647-2023")</f>
        <v/>
      </c>
      <c r="V88">
        <f>HYPERLINK("https://klasma.github.io/Logging_0881/klagomål/A 28647-2023 FSC-klagomål.docx", "A 28647-2023")</f>
        <v/>
      </c>
      <c r="W88">
        <f>HYPERLINK("https://klasma.github.io/Logging_0881/klagomålsmail/A 28647-2023 FSC-klagomål mail.docx", "A 28647-2023")</f>
        <v/>
      </c>
      <c r="X88">
        <f>HYPERLINK("https://klasma.github.io/Logging_0881/tillsyn/A 28647-2023 tillsynsbegäran.docx", "A 28647-2023")</f>
        <v/>
      </c>
      <c r="Y88">
        <f>HYPERLINK("https://klasma.github.io/Logging_0881/tillsynsmail/A 28647-2023 tillsynsbegäran mail.docx", "A 28647-2023")</f>
        <v/>
      </c>
    </row>
    <row r="89" ht="15" customHeight="1">
      <c r="A89" t="inlineStr">
        <is>
          <t>A 30121-2023</t>
        </is>
      </c>
      <c r="B89" s="1" t="n">
        <v>45110</v>
      </c>
      <c r="C89" s="1" t="n">
        <v>45643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30121-2023 artfynd.xlsx", "A 30121-2023")</f>
        <v/>
      </c>
      <c r="T89">
        <f>HYPERLINK("https://klasma.github.io/Logging_0881/kartor/A 30121-2023 karta.png", "A 30121-2023")</f>
        <v/>
      </c>
      <c r="V89">
        <f>HYPERLINK("https://klasma.github.io/Logging_0881/klagomål/A 30121-2023 FSC-klagomål.docx", "A 30121-2023")</f>
        <v/>
      </c>
      <c r="W89">
        <f>HYPERLINK("https://klasma.github.io/Logging_0881/klagomålsmail/A 30121-2023 FSC-klagomål mail.docx", "A 30121-2023")</f>
        <v/>
      </c>
      <c r="X89">
        <f>HYPERLINK("https://klasma.github.io/Logging_0881/tillsyn/A 30121-2023 tillsynsbegäran.docx", "A 30121-2023")</f>
        <v/>
      </c>
      <c r="Y89">
        <f>HYPERLINK("https://klasma.github.io/Logging_0881/tillsynsmail/A 30121-2023 tillsynsbegäran mail.docx", "A 30121-2023")</f>
        <v/>
      </c>
    </row>
    <row r="90" ht="15" customHeight="1">
      <c r="A90" t="inlineStr">
        <is>
          <t>A 30532-2023</t>
        </is>
      </c>
      <c r="B90" s="1" t="n">
        <v>45111</v>
      </c>
      <c r="C90" s="1" t="n">
        <v>45643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Raggbock</t>
        </is>
      </c>
      <c r="S90">
        <f>HYPERLINK("https://klasma.github.io/Logging_0881/artfynd/A 30532-2023 artfynd.xlsx", "A 30532-2023")</f>
        <v/>
      </c>
      <c r="T90">
        <f>HYPERLINK("https://klasma.github.io/Logging_0881/kartor/A 30532-2023 karta.png", "A 30532-2023")</f>
        <v/>
      </c>
      <c r="V90">
        <f>HYPERLINK("https://klasma.github.io/Logging_0881/klagomål/A 30532-2023 FSC-klagomål.docx", "A 30532-2023")</f>
        <v/>
      </c>
      <c r="W90">
        <f>HYPERLINK("https://klasma.github.io/Logging_0881/klagomålsmail/A 30532-2023 FSC-klagomål mail.docx", "A 30532-2023")</f>
        <v/>
      </c>
      <c r="X90">
        <f>HYPERLINK("https://klasma.github.io/Logging_0881/tillsyn/A 30532-2023 tillsynsbegäran.docx", "A 30532-2023")</f>
        <v/>
      </c>
      <c r="Y90">
        <f>HYPERLINK("https://klasma.github.io/Logging_0881/tillsynsmail/A 30532-2023 tillsynsbegäran mail.docx", "A 30532-2023")</f>
        <v/>
      </c>
    </row>
    <row r="91" ht="15" customHeight="1">
      <c r="A91" t="inlineStr">
        <is>
          <t>A 33422-2023</t>
        </is>
      </c>
      <c r="B91" s="1" t="n">
        <v>45128</v>
      </c>
      <c r="C91" s="1" t="n">
        <v>45643</v>
      </c>
      <c r="D91" t="inlineStr">
        <is>
          <t>KALMAR LÄN</t>
        </is>
      </c>
      <c r="E91" t="inlineStr">
        <is>
          <t>NYBRO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HYPERLINK("https://klasma.github.io/Logging_0881/artfynd/A 33422-2023 artfynd.xlsx", "A 33422-2023")</f>
        <v/>
      </c>
      <c r="T91">
        <f>HYPERLINK("https://klasma.github.io/Logging_0881/kartor/A 33422-2023 karta.png", "A 33422-2023")</f>
        <v/>
      </c>
      <c r="V91">
        <f>HYPERLINK("https://klasma.github.io/Logging_0881/klagomål/A 33422-2023 FSC-klagomål.docx", "A 33422-2023")</f>
        <v/>
      </c>
      <c r="W91">
        <f>HYPERLINK("https://klasma.github.io/Logging_0881/klagomålsmail/A 33422-2023 FSC-klagomål mail.docx", "A 33422-2023")</f>
        <v/>
      </c>
      <c r="X91">
        <f>HYPERLINK("https://klasma.github.io/Logging_0881/tillsyn/A 33422-2023 tillsynsbegäran.docx", "A 33422-2023")</f>
        <v/>
      </c>
      <c r="Y91">
        <f>HYPERLINK("https://klasma.github.io/Logging_0881/tillsynsmail/A 33422-2023 tillsynsbegäran mail.docx", "A 33422-2023")</f>
        <v/>
      </c>
    </row>
    <row r="92" ht="15" customHeight="1">
      <c r="A92" t="inlineStr">
        <is>
          <t>A 50008-2023</t>
        </is>
      </c>
      <c r="B92" s="1" t="n">
        <v>45215</v>
      </c>
      <c r="C92" s="1" t="n">
        <v>45643</v>
      </c>
      <c r="D92" t="inlineStr">
        <is>
          <t>KALMAR LÄN</t>
        </is>
      </c>
      <c r="E92" t="inlineStr">
        <is>
          <t>NYBRO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bastardsvärmare</t>
        </is>
      </c>
      <c r="S92">
        <f>HYPERLINK("https://klasma.github.io/Logging_0881/artfynd/A 50008-2023 artfynd.xlsx", "A 50008-2023")</f>
        <v/>
      </c>
      <c r="T92">
        <f>HYPERLINK("https://klasma.github.io/Logging_0881/kartor/A 50008-2023 karta.png", "A 50008-2023")</f>
        <v/>
      </c>
      <c r="V92">
        <f>HYPERLINK("https://klasma.github.io/Logging_0881/klagomål/A 50008-2023 FSC-klagomål.docx", "A 50008-2023")</f>
        <v/>
      </c>
      <c r="W92">
        <f>HYPERLINK("https://klasma.github.io/Logging_0881/klagomålsmail/A 50008-2023 FSC-klagomål mail.docx", "A 50008-2023")</f>
        <v/>
      </c>
      <c r="X92">
        <f>HYPERLINK("https://klasma.github.io/Logging_0881/tillsyn/A 50008-2023 tillsynsbegäran.docx", "A 50008-2023")</f>
        <v/>
      </c>
      <c r="Y92">
        <f>HYPERLINK("https://klasma.github.io/Logging_0881/tillsynsmail/A 50008-2023 tillsynsbegäran mail.docx", "A 50008-2023")</f>
        <v/>
      </c>
    </row>
    <row r="93" ht="15" customHeight="1">
      <c r="A93" t="inlineStr">
        <is>
          <t>A 51761-2023</t>
        </is>
      </c>
      <c r="B93" s="1" t="n">
        <v>45222</v>
      </c>
      <c r="C93" s="1" t="n">
        <v>45643</v>
      </c>
      <c r="D93" t="inlineStr">
        <is>
          <t>KALMAR LÄN</t>
        </is>
      </c>
      <c r="E93" t="inlineStr">
        <is>
          <t>NYBRO</t>
        </is>
      </c>
      <c r="G93" t="n">
        <v>9.300000000000001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HYPERLINK("https://klasma.github.io/Logging_0881/artfynd/A 51761-2023 artfynd.xlsx", "A 51761-2023")</f>
        <v/>
      </c>
      <c r="T93">
        <f>HYPERLINK("https://klasma.github.io/Logging_0881/kartor/A 51761-2023 karta.png", "A 51761-2023")</f>
        <v/>
      </c>
      <c r="V93">
        <f>HYPERLINK("https://klasma.github.io/Logging_0881/klagomål/A 51761-2023 FSC-klagomål.docx", "A 51761-2023")</f>
        <v/>
      </c>
      <c r="W93">
        <f>HYPERLINK("https://klasma.github.io/Logging_0881/klagomålsmail/A 51761-2023 FSC-klagomål mail.docx", "A 51761-2023")</f>
        <v/>
      </c>
      <c r="X93">
        <f>HYPERLINK("https://klasma.github.io/Logging_0881/tillsyn/A 51761-2023 tillsynsbegäran.docx", "A 51761-2023")</f>
        <v/>
      </c>
      <c r="Y93">
        <f>HYPERLINK("https://klasma.github.io/Logging_0881/tillsynsmail/A 51761-2023 tillsynsbegäran mail.docx", "A 51761-2023")</f>
        <v/>
      </c>
      <c r="Z93">
        <f>HYPERLINK("https://klasma.github.io/Logging_0881/fåglar/A 51761-2023 prioriterade fågelarter.docx", "A 51761-2023")</f>
        <v/>
      </c>
    </row>
    <row r="94" ht="15" customHeight="1">
      <c r="A94" t="inlineStr">
        <is>
          <t>A 64542-2023</t>
        </is>
      </c>
      <c r="B94" s="1" t="n">
        <v>45281</v>
      </c>
      <c r="C94" s="1" t="n">
        <v>45643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Sumpviol</t>
        </is>
      </c>
      <c r="S94">
        <f>HYPERLINK("https://klasma.github.io/Logging_0881/artfynd/A 64542-2023 artfynd.xlsx", "A 64542-2023")</f>
        <v/>
      </c>
      <c r="T94">
        <f>HYPERLINK("https://klasma.github.io/Logging_0881/kartor/A 64542-2023 karta.png", "A 64542-2023")</f>
        <v/>
      </c>
      <c r="V94">
        <f>HYPERLINK("https://klasma.github.io/Logging_0881/klagomål/A 64542-2023 FSC-klagomål.docx", "A 64542-2023")</f>
        <v/>
      </c>
      <c r="W94">
        <f>HYPERLINK("https://klasma.github.io/Logging_0881/klagomålsmail/A 64542-2023 FSC-klagomål mail.docx", "A 64542-2023")</f>
        <v/>
      </c>
      <c r="X94">
        <f>HYPERLINK("https://klasma.github.io/Logging_0881/tillsyn/A 64542-2023 tillsynsbegäran.docx", "A 64542-2023")</f>
        <v/>
      </c>
      <c r="Y94">
        <f>HYPERLINK("https://klasma.github.io/Logging_0881/tillsynsmail/A 64542-2023 tillsynsbegäran mail.docx", "A 64542-2023")</f>
        <v/>
      </c>
    </row>
    <row r="95" ht="15" customHeight="1">
      <c r="A95" t="inlineStr">
        <is>
          <t>A 262-2024</t>
        </is>
      </c>
      <c r="B95" s="1" t="n">
        <v>45295</v>
      </c>
      <c r="C95" s="1" t="n">
        <v>45643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HYPERLINK("https://klasma.github.io/Logging_0881/artfynd/A 262-2024 artfynd.xlsx", "A 262-2024")</f>
        <v/>
      </c>
      <c r="T95">
        <f>HYPERLINK("https://klasma.github.io/Logging_0881/kartor/A 262-2024 karta.png", "A 262-2024")</f>
        <v/>
      </c>
      <c r="V95">
        <f>HYPERLINK("https://klasma.github.io/Logging_0881/klagomål/A 262-2024 FSC-klagomål.docx", "A 262-2024")</f>
        <v/>
      </c>
      <c r="W95">
        <f>HYPERLINK("https://klasma.github.io/Logging_0881/klagomålsmail/A 262-2024 FSC-klagomål mail.docx", "A 262-2024")</f>
        <v/>
      </c>
      <c r="X95">
        <f>HYPERLINK("https://klasma.github.io/Logging_0881/tillsyn/A 262-2024 tillsynsbegäran.docx", "A 262-2024")</f>
        <v/>
      </c>
      <c r="Y95">
        <f>HYPERLINK("https://klasma.github.io/Logging_0881/tillsynsmail/A 262-2024 tillsynsbegäran mail.docx", "A 262-2024")</f>
        <v/>
      </c>
    </row>
    <row r="96" ht="15" customHeight="1">
      <c r="A96" t="inlineStr">
        <is>
          <t>A 1717-2024</t>
        </is>
      </c>
      <c r="B96" s="1" t="n">
        <v>45307</v>
      </c>
      <c r="C96" s="1" t="n">
        <v>45643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HYPERLINK("https://klasma.github.io/Logging_0881/artfynd/A 1717-2024 artfynd.xlsx", "A 1717-2024")</f>
        <v/>
      </c>
      <c r="T96">
        <f>HYPERLINK("https://klasma.github.io/Logging_0881/kartor/A 1717-2024 karta.png", "A 1717-2024")</f>
        <v/>
      </c>
      <c r="V96">
        <f>HYPERLINK("https://klasma.github.io/Logging_0881/klagomål/A 1717-2024 FSC-klagomål.docx", "A 1717-2024")</f>
        <v/>
      </c>
      <c r="W96">
        <f>HYPERLINK("https://klasma.github.io/Logging_0881/klagomålsmail/A 1717-2024 FSC-klagomål mail.docx", "A 1717-2024")</f>
        <v/>
      </c>
      <c r="X96">
        <f>HYPERLINK("https://klasma.github.io/Logging_0881/tillsyn/A 1717-2024 tillsynsbegäran.docx", "A 1717-2024")</f>
        <v/>
      </c>
      <c r="Y96">
        <f>HYPERLINK("https://klasma.github.io/Logging_0881/tillsynsmail/A 1717-2024 tillsynsbegäran mail.docx", "A 1717-2024")</f>
        <v/>
      </c>
    </row>
    <row r="97" ht="15" customHeight="1">
      <c r="A97" t="inlineStr">
        <is>
          <t>A 3053-2024</t>
        </is>
      </c>
      <c r="B97" s="1" t="n">
        <v>45316</v>
      </c>
      <c r="C97" s="1" t="n">
        <v>45643</v>
      </c>
      <c r="D97" t="inlineStr">
        <is>
          <t>KALMAR LÄN</t>
        </is>
      </c>
      <c r="E97" t="inlineStr">
        <is>
          <t>NYBRO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HYPERLINK("https://klasma.github.io/Logging_0881/artfynd/A 3053-2024 artfynd.xlsx", "A 3053-2024")</f>
        <v/>
      </c>
      <c r="T97">
        <f>HYPERLINK("https://klasma.github.io/Logging_0881/kartor/A 3053-2024 karta.png", "A 3053-2024")</f>
        <v/>
      </c>
      <c r="V97">
        <f>HYPERLINK("https://klasma.github.io/Logging_0881/klagomål/A 3053-2024 FSC-klagomål.docx", "A 3053-2024")</f>
        <v/>
      </c>
      <c r="W97">
        <f>HYPERLINK("https://klasma.github.io/Logging_0881/klagomålsmail/A 3053-2024 FSC-klagomål mail.docx", "A 3053-2024")</f>
        <v/>
      </c>
      <c r="X97">
        <f>HYPERLINK("https://klasma.github.io/Logging_0881/tillsyn/A 3053-2024 tillsynsbegäran.docx", "A 3053-2024")</f>
        <v/>
      </c>
      <c r="Y97">
        <f>HYPERLINK("https://klasma.github.io/Logging_0881/tillsynsmail/A 3053-2024 tillsynsbegäran mail.docx", "A 3053-2024")</f>
        <v/>
      </c>
    </row>
    <row r="98" ht="15" customHeight="1">
      <c r="A98" t="inlineStr">
        <is>
          <t>A 10174-2024</t>
        </is>
      </c>
      <c r="B98" s="1" t="n">
        <v>45364</v>
      </c>
      <c r="C98" s="1" t="n">
        <v>45643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HYPERLINK("https://klasma.github.io/Logging_0881/artfynd/A 10174-2024 artfynd.xlsx", "A 10174-2024")</f>
        <v/>
      </c>
      <c r="T98">
        <f>HYPERLINK("https://klasma.github.io/Logging_0881/kartor/A 10174-2024 karta.png", "A 10174-2024")</f>
        <v/>
      </c>
      <c r="V98">
        <f>HYPERLINK("https://klasma.github.io/Logging_0881/klagomål/A 10174-2024 FSC-klagomål.docx", "A 10174-2024")</f>
        <v/>
      </c>
      <c r="W98">
        <f>HYPERLINK("https://klasma.github.io/Logging_0881/klagomålsmail/A 10174-2024 FSC-klagomål mail.docx", "A 10174-2024")</f>
        <v/>
      </c>
      <c r="X98">
        <f>HYPERLINK("https://klasma.github.io/Logging_0881/tillsyn/A 10174-2024 tillsynsbegäran.docx", "A 10174-2024")</f>
        <v/>
      </c>
      <c r="Y98">
        <f>HYPERLINK("https://klasma.github.io/Logging_0881/tillsynsmail/A 10174-2024 tillsynsbegäran mail.docx", "A 10174-2024")</f>
        <v/>
      </c>
    </row>
    <row r="99" ht="15" customHeight="1">
      <c r="A99" t="inlineStr">
        <is>
          <t>A 10459-2024</t>
        </is>
      </c>
      <c r="B99" s="1" t="n">
        <v>45366</v>
      </c>
      <c r="C99" s="1" t="n">
        <v>45643</v>
      </c>
      <c r="D99" t="inlineStr">
        <is>
          <t>KALMAR LÄN</t>
        </is>
      </c>
      <c r="E99" t="inlineStr">
        <is>
          <t>NYBRO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10459-2024 artfynd.xlsx", "A 10459-2024")</f>
        <v/>
      </c>
      <c r="T99">
        <f>HYPERLINK("https://klasma.github.io/Logging_0881/kartor/A 10459-2024 karta.png", "A 10459-2024")</f>
        <v/>
      </c>
      <c r="V99">
        <f>HYPERLINK("https://klasma.github.io/Logging_0881/klagomål/A 10459-2024 FSC-klagomål.docx", "A 10459-2024")</f>
        <v/>
      </c>
      <c r="W99">
        <f>HYPERLINK("https://klasma.github.io/Logging_0881/klagomålsmail/A 10459-2024 FSC-klagomål mail.docx", "A 10459-2024")</f>
        <v/>
      </c>
      <c r="X99">
        <f>HYPERLINK("https://klasma.github.io/Logging_0881/tillsyn/A 10459-2024 tillsynsbegäran.docx", "A 10459-2024")</f>
        <v/>
      </c>
      <c r="Y99">
        <f>HYPERLINK("https://klasma.github.io/Logging_0881/tillsynsmail/A 10459-2024 tillsynsbegäran mail.docx", "A 10459-2024")</f>
        <v/>
      </c>
    </row>
    <row r="100" ht="15" customHeight="1">
      <c r="A100" t="inlineStr">
        <is>
          <t>A 19460-2024</t>
        </is>
      </c>
      <c r="B100" s="1" t="n">
        <v>45429</v>
      </c>
      <c r="C100" s="1" t="n">
        <v>45643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5.4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19460-2024 artfynd.xlsx", "A 19460-2024")</f>
        <v/>
      </c>
      <c r="T100">
        <f>HYPERLINK("https://klasma.github.io/Logging_0881/kartor/A 19460-2024 karta.png", "A 19460-2024")</f>
        <v/>
      </c>
      <c r="V100">
        <f>HYPERLINK("https://klasma.github.io/Logging_0881/klagomål/A 19460-2024 FSC-klagomål.docx", "A 19460-2024")</f>
        <v/>
      </c>
      <c r="W100">
        <f>HYPERLINK("https://klasma.github.io/Logging_0881/klagomålsmail/A 19460-2024 FSC-klagomål mail.docx", "A 19460-2024")</f>
        <v/>
      </c>
      <c r="X100">
        <f>HYPERLINK("https://klasma.github.io/Logging_0881/tillsyn/A 19460-2024 tillsynsbegäran.docx", "A 19460-2024")</f>
        <v/>
      </c>
      <c r="Y100">
        <f>HYPERLINK("https://klasma.github.io/Logging_0881/tillsynsmail/A 19460-2024 tillsynsbegäran mail.docx", "A 19460-2024")</f>
        <v/>
      </c>
    </row>
    <row r="101" ht="15" customHeight="1">
      <c r="A101" t="inlineStr">
        <is>
          <t>A 21749-2024</t>
        </is>
      </c>
      <c r="B101" s="1" t="n">
        <v>45442</v>
      </c>
      <c r="C101" s="1" t="n">
        <v>45643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HYPERLINK("https://klasma.github.io/Logging_0881/artfynd/A 21749-2024 artfynd.xlsx", "A 21749-2024")</f>
        <v/>
      </c>
      <c r="T101">
        <f>HYPERLINK("https://klasma.github.io/Logging_0881/kartor/A 21749-2024 karta.png", "A 21749-2024")</f>
        <v/>
      </c>
      <c r="V101">
        <f>HYPERLINK("https://klasma.github.io/Logging_0881/klagomål/A 21749-2024 FSC-klagomål.docx", "A 21749-2024")</f>
        <v/>
      </c>
      <c r="W101">
        <f>HYPERLINK("https://klasma.github.io/Logging_0881/klagomålsmail/A 21749-2024 FSC-klagomål mail.docx", "A 21749-2024")</f>
        <v/>
      </c>
      <c r="X101">
        <f>HYPERLINK("https://klasma.github.io/Logging_0881/tillsyn/A 21749-2024 tillsynsbegäran.docx", "A 21749-2024")</f>
        <v/>
      </c>
      <c r="Y101">
        <f>HYPERLINK("https://klasma.github.io/Logging_0881/tillsynsmail/A 21749-2024 tillsynsbegäran mail.docx", "A 21749-2024")</f>
        <v/>
      </c>
      <c r="Z101">
        <f>HYPERLINK("https://klasma.github.io/Logging_0881/fåglar/A 21749-2024 prioriterade fågelarter.docx", "A 21749-2024")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45643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25849-2024</t>
        </is>
      </c>
      <c r="B103" s="1" t="n">
        <v>45467</v>
      </c>
      <c r="C103" s="1" t="n">
        <v>45643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25849-2024 artfynd.xlsx", "A 25849-2024")</f>
        <v/>
      </c>
      <c r="T103">
        <f>HYPERLINK("https://klasma.github.io/Logging_0881/kartor/A 25849-2024 karta.png", "A 25849-2024")</f>
        <v/>
      </c>
      <c r="U103">
        <f>HYPERLINK("https://klasma.github.io/Logging_0881/knärot/A 25849-2024 karta knärot.png", "A 25849-2024")</f>
        <v/>
      </c>
      <c r="V103">
        <f>HYPERLINK("https://klasma.github.io/Logging_0881/klagomål/A 25849-2024 FSC-klagomål.docx", "A 25849-2024")</f>
        <v/>
      </c>
      <c r="W103">
        <f>HYPERLINK("https://klasma.github.io/Logging_0881/klagomålsmail/A 25849-2024 FSC-klagomål mail.docx", "A 25849-2024")</f>
        <v/>
      </c>
      <c r="X103">
        <f>HYPERLINK("https://klasma.github.io/Logging_0881/tillsyn/A 25849-2024 tillsynsbegäran.docx", "A 25849-2024")</f>
        <v/>
      </c>
      <c r="Y103">
        <f>HYPERLINK("https://klasma.github.io/Logging_0881/tillsynsmail/A 25849-2024 tillsynsbegäran mail.docx", "A 25849-2024")</f>
        <v/>
      </c>
    </row>
    <row r="104" ht="15" customHeight="1">
      <c r="A104" t="inlineStr">
        <is>
          <t>A 30746-2024</t>
        </is>
      </c>
      <c r="B104" s="1" t="n">
        <v>45496</v>
      </c>
      <c r="C104" s="1" t="n">
        <v>45643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Granspira</t>
        </is>
      </c>
      <c r="S104">
        <f>HYPERLINK("https://klasma.github.io/Logging_0881/artfynd/A 30746-2024 artfynd.xlsx", "A 30746-2024")</f>
        <v/>
      </c>
      <c r="T104">
        <f>HYPERLINK("https://klasma.github.io/Logging_0881/kartor/A 30746-2024 karta.png", "A 30746-2024")</f>
        <v/>
      </c>
      <c r="V104">
        <f>HYPERLINK("https://klasma.github.io/Logging_0881/klagomål/A 30746-2024 FSC-klagomål.docx", "A 30746-2024")</f>
        <v/>
      </c>
      <c r="W104">
        <f>HYPERLINK("https://klasma.github.io/Logging_0881/klagomålsmail/A 30746-2024 FSC-klagomål mail.docx", "A 30746-2024")</f>
        <v/>
      </c>
      <c r="X104">
        <f>HYPERLINK("https://klasma.github.io/Logging_0881/tillsyn/A 30746-2024 tillsynsbegäran.docx", "A 30746-2024")</f>
        <v/>
      </c>
      <c r="Y104">
        <f>HYPERLINK("https://klasma.github.io/Logging_0881/tillsynsmail/A 30746-2024 tillsynsbegäran mail.docx", "A 30746-2024")</f>
        <v/>
      </c>
    </row>
    <row r="105" ht="15" customHeight="1">
      <c r="A105" t="inlineStr">
        <is>
          <t>A 37621-2024</t>
        </is>
      </c>
      <c r="B105" s="1" t="n">
        <v>45541</v>
      </c>
      <c r="C105" s="1" t="n">
        <v>45643</v>
      </c>
      <c r="D105" t="inlineStr">
        <is>
          <t>KALMAR LÄN</t>
        </is>
      </c>
      <c r="E105" t="inlineStr">
        <is>
          <t>NYBRO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37621-2024 artfynd.xlsx", "A 37621-2024")</f>
        <v/>
      </c>
      <c r="T105">
        <f>HYPERLINK("https://klasma.github.io/Logging_0881/kartor/A 37621-2024 karta.png", "A 37621-2024")</f>
        <v/>
      </c>
      <c r="V105">
        <f>HYPERLINK("https://klasma.github.io/Logging_0881/klagomål/A 37621-2024 FSC-klagomål.docx", "A 37621-2024")</f>
        <v/>
      </c>
      <c r="W105">
        <f>HYPERLINK("https://klasma.github.io/Logging_0881/klagomålsmail/A 37621-2024 FSC-klagomål mail.docx", "A 37621-2024")</f>
        <v/>
      </c>
      <c r="X105">
        <f>HYPERLINK("https://klasma.github.io/Logging_0881/tillsyn/A 37621-2024 tillsynsbegäran.docx", "A 37621-2024")</f>
        <v/>
      </c>
      <c r="Y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43608-2024</t>
        </is>
      </c>
      <c r="B106" s="1" t="n">
        <v>45569</v>
      </c>
      <c r="C106" s="1" t="n">
        <v>45643</v>
      </c>
      <c r="D106" t="inlineStr">
        <is>
          <t>KALMAR LÄN</t>
        </is>
      </c>
      <c r="E106" t="inlineStr">
        <is>
          <t>NYBRO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HYPERLINK("https://klasma.github.io/Logging_0881/artfynd/A 43608-2024 artfynd.xlsx", "A 43608-2024")</f>
        <v/>
      </c>
      <c r="T106">
        <f>HYPERLINK("https://klasma.github.io/Logging_0881/kartor/A 43608-2024 karta.png", "A 43608-2024")</f>
        <v/>
      </c>
      <c r="V106">
        <f>HYPERLINK("https://klasma.github.io/Logging_0881/klagomål/A 43608-2024 FSC-klagomål.docx", "A 43608-2024")</f>
        <v/>
      </c>
      <c r="W106">
        <f>HYPERLINK("https://klasma.github.io/Logging_0881/klagomålsmail/A 43608-2024 FSC-klagomål mail.docx", "A 43608-2024")</f>
        <v/>
      </c>
      <c r="X106">
        <f>HYPERLINK("https://klasma.github.io/Logging_0881/tillsyn/A 43608-2024 tillsynsbegäran.docx", "A 43608-2024")</f>
        <v/>
      </c>
      <c r="Y106">
        <f>HYPERLINK("https://klasma.github.io/Logging_0881/tillsynsmail/A 43608-2024 tillsynsbegäran mail.docx", "A 43608-2024")</f>
        <v/>
      </c>
    </row>
    <row r="107" ht="15" customHeight="1">
      <c r="A107" t="inlineStr">
        <is>
          <t>A 46223-2024</t>
        </is>
      </c>
      <c r="B107" s="1" t="n">
        <v>45581</v>
      </c>
      <c r="C107" s="1" t="n">
        <v>45643</v>
      </c>
      <c r="D107" t="inlineStr">
        <is>
          <t>KALMAR LÄN</t>
        </is>
      </c>
      <c r="E107" t="inlineStr">
        <is>
          <t>NYBRO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46223-2024 artfynd.xlsx", "A 46223-2024")</f>
        <v/>
      </c>
      <c r="T107">
        <f>HYPERLINK("https://klasma.github.io/Logging_0881/kartor/A 46223-2024 karta.png", "A 46223-2024")</f>
        <v/>
      </c>
      <c r="V107">
        <f>HYPERLINK("https://klasma.github.io/Logging_0881/klagomål/A 46223-2024 FSC-klagomål.docx", "A 46223-2024")</f>
        <v/>
      </c>
      <c r="W107">
        <f>HYPERLINK("https://klasma.github.io/Logging_0881/klagomålsmail/A 46223-2024 FSC-klagomål mail.docx", "A 46223-2024")</f>
        <v/>
      </c>
      <c r="X107">
        <f>HYPERLINK("https://klasma.github.io/Logging_0881/tillsyn/A 46223-2024 tillsynsbegäran.docx", "A 46223-2024")</f>
        <v/>
      </c>
      <c r="Y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47457-2024</t>
        </is>
      </c>
      <c r="B108" s="1" t="n">
        <v>45587</v>
      </c>
      <c r="C108" s="1" t="n">
        <v>45643</v>
      </c>
      <c r="D108" t="inlineStr">
        <is>
          <t>KALMAR LÄN</t>
        </is>
      </c>
      <c r="E108" t="inlineStr">
        <is>
          <t>NYBRO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HYPERLINK("https://klasma.github.io/Logging_0881/artfynd/A 47457-2024 artfynd.xlsx", "A 47457-2024")</f>
        <v/>
      </c>
      <c r="T108">
        <f>HYPERLINK("https://klasma.github.io/Logging_0881/kartor/A 47457-2024 karta.png", "A 47457-2024")</f>
        <v/>
      </c>
      <c r="V108">
        <f>HYPERLINK("https://klasma.github.io/Logging_0881/klagomål/A 47457-2024 FSC-klagomål.docx", "A 47457-2024")</f>
        <v/>
      </c>
      <c r="W108">
        <f>HYPERLINK("https://klasma.github.io/Logging_0881/klagomålsmail/A 47457-2024 FSC-klagomål mail.docx", "A 47457-2024")</f>
        <v/>
      </c>
      <c r="X108">
        <f>HYPERLINK("https://klasma.github.io/Logging_0881/tillsyn/A 47457-2024 tillsynsbegäran.docx", "A 47457-2024")</f>
        <v/>
      </c>
      <c r="Y108">
        <f>HYPERLINK("https://klasma.github.io/Logging_0881/tillsynsmail/A 47457-2024 tillsynsbegäran mail.docx", "A 47457-2024")</f>
        <v/>
      </c>
    </row>
    <row r="109" ht="15" customHeight="1">
      <c r="A109" t="inlineStr">
        <is>
          <t>A 48980-2024</t>
        </is>
      </c>
      <c r="B109" s="1" t="n">
        <v>45594</v>
      </c>
      <c r="C109" s="1" t="n">
        <v>45643</v>
      </c>
      <c r="D109" t="inlineStr">
        <is>
          <t>KALMAR LÄN</t>
        </is>
      </c>
      <c r="E109" t="inlineStr">
        <is>
          <t>NYBRO</t>
        </is>
      </c>
      <c r="G109" t="n">
        <v>41.9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Hjärtstilla</t>
        </is>
      </c>
      <c r="S109">
        <f>HYPERLINK("https://klasma.github.io/Logging_0881/artfynd/A 48980-2024 artfynd.xlsx", "A 48980-2024")</f>
        <v/>
      </c>
      <c r="T109">
        <f>HYPERLINK("https://klasma.github.io/Logging_0881/kartor/A 48980-2024 karta.png", "A 48980-2024")</f>
        <v/>
      </c>
      <c r="V109">
        <f>HYPERLINK("https://klasma.github.io/Logging_0881/klagomål/A 48980-2024 FSC-klagomål.docx", "A 48980-2024")</f>
        <v/>
      </c>
      <c r="W109">
        <f>HYPERLINK("https://klasma.github.io/Logging_0881/klagomålsmail/A 48980-2024 FSC-klagomål mail.docx", "A 48980-2024")</f>
        <v/>
      </c>
      <c r="X109">
        <f>HYPERLINK("https://klasma.github.io/Logging_0881/tillsyn/A 48980-2024 tillsynsbegäran.docx", "A 48980-2024")</f>
        <v/>
      </c>
      <c r="Y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49579-2024</t>
        </is>
      </c>
      <c r="B110" s="1" t="n">
        <v>45596</v>
      </c>
      <c r="C110" s="1" t="n">
        <v>45643</v>
      </c>
      <c r="D110" t="inlineStr">
        <is>
          <t>KALMAR LÄN</t>
        </is>
      </c>
      <c r="E110" t="inlineStr">
        <is>
          <t>NYBRO</t>
        </is>
      </c>
      <c r="G110" t="n">
        <v>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HYPERLINK("https://klasma.github.io/Logging_0881/artfynd/A 49579-2024 artfynd.xlsx", "A 49579-2024")</f>
        <v/>
      </c>
      <c r="T110">
        <f>HYPERLINK("https://klasma.github.io/Logging_0881/kartor/A 49579-2024 karta.png", "A 49579-2024")</f>
        <v/>
      </c>
      <c r="V110">
        <f>HYPERLINK("https://klasma.github.io/Logging_0881/klagomål/A 49579-2024 FSC-klagomål.docx", "A 49579-2024")</f>
        <v/>
      </c>
      <c r="W110">
        <f>HYPERLINK("https://klasma.github.io/Logging_0881/klagomålsmail/A 49579-2024 FSC-klagomål mail.docx", "A 49579-2024")</f>
        <v/>
      </c>
      <c r="X110">
        <f>HYPERLINK("https://klasma.github.io/Logging_0881/tillsyn/A 49579-2024 tillsynsbegäran.docx", "A 49579-2024")</f>
        <v/>
      </c>
      <c r="Y110">
        <f>HYPERLINK("https://klasma.github.io/Logging_0881/tillsynsmail/A 49579-2024 tillsynsbegäran mail.docx", "A 49579-2024")</f>
        <v/>
      </c>
    </row>
    <row r="111" ht="15" customHeight="1">
      <c r="A111" t="inlineStr">
        <is>
          <t>A 50908-2024</t>
        </is>
      </c>
      <c r="B111" s="1" t="n">
        <v>45602</v>
      </c>
      <c r="C111" s="1" t="n">
        <v>45643</v>
      </c>
      <c r="D111" t="inlineStr">
        <is>
          <t>KALMAR LÄN</t>
        </is>
      </c>
      <c r="E111" t="inlineStr">
        <is>
          <t>NYBRO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Asppraktbagge</t>
        </is>
      </c>
      <c r="S111">
        <f>HYPERLINK("https://klasma.github.io/Logging_0881/artfynd/A 50908-2024 artfynd.xlsx", "A 50908-2024")</f>
        <v/>
      </c>
      <c r="T111">
        <f>HYPERLINK("https://klasma.github.io/Logging_0881/kartor/A 50908-2024 karta.png", "A 50908-2024")</f>
        <v/>
      </c>
      <c r="V111">
        <f>HYPERLINK("https://klasma.github.io/Logging_0881/klagomål/A 50908-2024 FSC-klagomål.docx", "A 50908-2024")</f>
        <v/>
      </c>
      <c r="W111">
        <f>HYPERLINK("https://klasma.github.io/Logging_0881/klagomålsmail/A 50908-2024 FSC-klagomål mail.docx", "A 50908-2024")</f>
        <v/>
      </c>
      <c r="X111">
        <f>HYPERLINK("https://klasma.github.io/Logging_0881/tillsyn/A 50908-2024 tillsynsbegäran.docx", "A 50908-2024")</f>
        <v/>
      </c>
      <c r="Y111">
        <f>HYPERLINK("https://klasma.github.io/Logging_0881/tillsynsmail/A 50908-2024 tillsynsbegäran mail.docx", "A 50908-2024")</f>
        <v/>
      </c>
    </row>
    <row r="112" ht="15" customHeight="1">
      <c r="A112" t="inlineStr">
        <is>
          <t>A 51473-2024</t>
        </is>
      </c>
      <c r="B112" s="1" t="n">
        <v>45604</v>
      </c>
      <c r="C112" s="1" t="n">
        <v>45643</v>
      </c>
      <c r="D112" t="inlineStr">
        <is>
          <t>KALMAR LÄN</t>
        </is>
      </c>
      <c r="E112" t="inlineStr">
        <is>
          <t>NYBRO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HYPERLINK("https://klasma.github.io/Logging_0881/artfynd/A 51473-2024 artfynd.xlsx", "A 51473-2024")</f>
        <v/>
      </c>
      <c r="T112">
        <f>HYPERLINK("https://klasma.github.io/Logging_0881/kartor/A 51473-2024 karta.png", "A 51473-2024")</f>
        <v/>
      </c>
      <c r="V112">
        <f>HYPERLINK("https://klasma.github.io/Logging_0881/klagomål/A 51473-2024 FSC-klagomål.docx", "A 51473-2024")</f>
        <v/>
      </c>
      <c r="W112">
        <f>HYPERLINK("https://klasma.github.io/Logging_0881/klagomålsmail/A 51473-2024 FSC-klagomål mail.docx", "A 51473-2024")</f>
        <v/>
      </c>
      <c r="X112">
        <f>HYPERLINK("https://klasma.github.io/Logging_0881/tillsyn/A 51473-2024 tillsynsbegäran.docx", "A 51473-2024")</f>
        <v/>
      </c>
      <c r="Y112">
        <f>HYPERLINK("https://klasma.github.io/Logging_0881/tillsynsmail/A 51473-2024 tillsynsbegäran mail.docx", "A 51473-2024")</f>
        <v/>
      </c>
      <c r="Z112">
        <f>HYPERLINK("https://klasma.github.io/Logging_0881/fåglar/A 51473-2024 prioriterade fågelarter.docx", "A 51473-2024")</f>
        <v/>
      </c>
    </row>
    <row r="113" ht="15" customHeight="1">
      <c r="A113" t="inlineStr">
        <is>
          <t>A 53841-2024</t>
        </is>
      </c>
      <c r="B113" s="1" t="n">
        <v>45615</v>
      </c>
      <c r="C113" s="1" t="n">
        <v>45643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HYPERLINK("https://klasma.github.io/Logging_0881/artfynd/A 53841-2024 artfynd.xlsx", "A 53841-2024")</f>
        <v/>
      </c>
      <c r="T113">
        <f>HYPERLINK("https://klasma.github.io/Logging_0881/kartor/A 53841-2024 karta.png", "A 53841-2024")</f>
        <v/>
      </c>
      <c r="V113">
        <f>HYPERLINK("https://klasma.github.io/Logging_0881/klagomål/A 53841-2024 FSC-klagomål.docx", "A 53841-2024")</f>
        <v/>
      </c>
      <c r="W113">
        <f>HYPERLINK("https://klasma.github.io/Logging_0881/klagomålsmail/A 53841-2024 FSC-klagomål mail.docx", "A 53841-2024")</f>
        <v/>
      </c>
      <c r="X113">
        <f>HYPERLINK("https://klasma.github.io/Logging_0881/tillsyn/A 53841-2024 tillsynsbegäran.docx", "A 53841-2024")</f>
        <v/>
      </c>
      <c r="Y113">
        <f>HYPERLINK("https://klasma.github.io/Logging_0881/tillsynsmail/A 53841-2024 tillsynsbegäran mail.docx", "A 53841-2024")</f>
        <v/>
      </c>
    </row>
    <row r="114" ht="15" customHeight="1">
      <c r="A114" t="inlineStr">
        <is>
          <t>A 55299-2024</t>
        </is>
      </c>
      <c r="B114" s="1" t="n">
        <v>45621</v>
      </c>
      <c r="C114" s="1" t="n">
        <v>45643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HYPERLINK("https://klasma.github.io/Logging_0881/artfynd/A 55299-2024 artfynd.xlsx", "A 55299-2024")</f>
        <v/>
      </c>
      <c r="T114">
        <f>HYPERLINK("https://klasma.github.io/Logging_0881/kartor/A 55299-2024 karta.png", "A 55299-2024")</f>
        <v/>
      </c>
      <c r="V114">
        <f>HYPERLINK("https://klasma.github.io/Logging_0881/klagomål/A 55299-2024 FSC-klagomål.docx", "A 55299-2024")</f>
        <v/>
      </c>
      <c r="W114">
        <f>HYPERLINK("https://klasma.github.io/Logging_0881/klagomålsmail/A 55299-2024 FSC-klagomål mail.docx", "A 55299-2024")</f>
        <v/>
      </c>
      <c r="X114">
        <f>HYPERLINK("https://klasma.github.io/Logging_0881/tillsyn/A 55299-2024 tillsynsbegäran.docx", "A 55299-2024")</f>
        <v/>
      </c>
      <c r="Y114">
        <f>HYPERLINK("https://klasma.github.io/Logging_0881/tillsynsmail/A 55299-2024 tillsynsbegäran mail.docx", "A 55299-2024")</f>
        <v/>
      </c>
      <c r="Z114">
        <f>HYPERLINK("https://klasma.github.io/Logging_0881/fåglar/A 55299-2024 prioriterade fågelarter.docx", "A 55299-2024")</f>
        <v/>
      </c>
    </row>
    <row r="115" ht="15" customHeight="1">
      <c r="A115" t="inlineStr">
        <is>
          <t>A 57852-2024</t>
        </is>
      </c>
      <c r="B115" s="1" t="n">
        <v>45631</v>
      </c>
      <c r="C115" s="1" t="n">
        <v>45643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HYPERLINK("https://klasma.github.io/Logging_0881/artfynd/A 57852-2024 artfynd.xlsx", "A 57852-2024")</f>
        <v/>
      </c>
      <c r="T115">
        <f>HYPERLINK("https://klasma.github.io/Logging_0881/kartor/A 57852-2024 karta.png", "A 57852-2024")</f>
        <v/>
      </c>
      <c r="V115">
        <f>HYPERLINK("https://klasma.github.io/Logging_0881/klagomål/A 57852-2024 FSC-klagomål.docx", "A 57852-2024")</f>
        <v/>
      </c>
      <c r="W115">
        <f>HYPERLINK("https://klasma.github.io/Logging_0881/klagomålsmail/A 57852-2024 FSC-klagomål mail.docx", "A 57852-2024")</f>
        <v/>
      </c>
      <c r="X115">
        <f>HYPERLINK("https://klasma.github.io/Logging_0881/tillsyn/A 57852-2024 tillsynsbegäran.docx", "A 57852-2024")</f>
        <v/>
      </c>
      <c r="Y115">
        <f>HYPERLINK("https://klasma.github.io/Logging_0881/tillsynsmail/A 57852-2024 tillsynsbegäran mail.docx", "A 57852-2024")</f>
        <v/>
      </c>
    </row>
    <row r="116" ht="15" customHeight="1">
      <c r="A116" t="inlineStr">
        <is>
          <t>A 18184-2019</t>
        </is>
      </c>
      <c r="B116" s="1" t="n">
        <v>43558</v>
      </c>
      <c r="C116" s="1" t="n">
        <v>45643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18455-2019</t>
        </is>
      </c>
      <c r="B117" s="1" t="n">
        <v>43559</v>
      </c>
      <c r="C117" s="1" t="n">
        <v>45643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18730-2019</t>
        </is>
      </c>
      <c r="B118" s="1" t="n">
        <v>43560</v>
      </c>
      <c r="C118" s="1" t="n">
        <v>45643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18727-2019</t>
        </is>
      </c>
      <c r="B119" s="1" t="n">
        <v>43560</v>
      </c>
      <c r="C119" s="1" t="n">
        <v>45643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18603-2019</t>
        </is>
      </c>
      <c r="B120" s="1" t="n">
        <v>43560</v>
      </c>
      <c r="C120" s="1" t="n">
        <v>45643</v>
      </c>
      <c r="D120" t="inlineStr">
        <is>
          <t>KALMAR LÄN</t>
        </is>
      </c>
      <c r="E120" t="inlineStr">
        <is>
          <t>NYBRO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19201-2019</t>
        </is>
      </c>
      <c r="B121" s="1" t="n">
        <v>43564</v>
      </c>
      <c r="C121" s="1" t="n">
        <v>45643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19080-2019</t>
        </is>
      </c>
      <c r="B122" s="1" t="n">
        <v>43564</v>
      </c>
      <c r="C122" s="1" t="n">
        <v>45643</v>
      </c>
      <c r="D122" t="inlineStr">
        <is>
          <t>KALMAR LÄN</t>
        </is>
      </c>
      <c r="E122" t="inlineStr">
        <is>
          <t>NYBRO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19209-2019</t>
        </is>
      </c>
      <c r="B123" s="1" t="n">
        <v>43564</v>
      </c>
      <c r="C123" s="1" t="n">
        <v>45643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19242-2019</t>
        </is>
      </c>
      <c r="B124" s="1" t="n">
        <v>43564</v>
      </c>
      <c r="C124" s="1" t="n">
        <v>45643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19205-2019</t>
        </is>
      </c>
      <c r="B125" s="1" t="n">
        <v>43564</v>
      </c>
      <c r="C125" s="1" t="n">
        <v>45643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19744-2019</t>
        </is>
      </c>
      <c r="B126" s="1" t="n">
        <v>43567</v>
      </c>
      <c r="C126" s="1" t="n">
        <v>45643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19838-2019</t>
        </is>
      </c>
      <c r="B127" s="1" t="n">
        <v>43567</v>
      </c>
      <c r="C127" s="1" t="n">
        <v>45643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19742-2019</t>
        </is>
      </c>
      <c r="B128" s="1" t="n">
        <v>43567</v>
      </c>
      <c r="C128" s="1" t="n">
        <v>45643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19743-2019</t>
        </is>
      </c>
      <c r="B129" s="1" t="n">
        <v>43567</v>
      </c>
      <c r="C129" s="1" t="n">
        <v>45643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20287-2019</t>
        </is>
      </c>
      <c r="B130" s="1" t="n">
        <v>43567</v>
      </c>
      <c r="C130" s="1" t="n">
        <v>45643</v>
      </c>
      <c r="D130" t="inlineStr">
        <is>
          <t>KALMAR LÄN</t>
        </is>
      </c>
      <c r="E130" t="inlineStr">
        <is>
          <t>NYBRO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19837-2019</t>
        </is>
      </c>
      <c r="B131" s="1" t="n">
        <v>43567</v>
      </c>
      <c r="C131" s="1" t="n">
        <v>45643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19764-2019</t>
        </is>
      </c>
      <c r="B132" s="1" t="n">
        <v>43567</v>
      </c>
      <c r="C132" s="1" t="n">
        <v>45643</v>
      </c>
      <c r="D132" t="inlineStr">
        <is>
          <t>KALMAR LÄN</t>
        </is>
      </c>
      <c r="E132" t="inlineStr">
        <is>
          <t>NYBRO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20060-2019</t>
        </is>
      </c>
      <c r="B133" s="1" t="n">
        <v>43570</v>
      </c>
      <c r="C133" s="1" t="n">
        <v>45643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20415-2019</t>
        </is>
      </c>
      <c r="B134" s="1" t="n">
        <v>43571</v>
      </c>
      <c r="C134" s="1" t="n">
        <v>45643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20459-2019</t>
        </is>
      </c>
      <c r="B135" s="1" t="n">
        <v>43571</v>
      </c>
      <c r="C135" s="1" t="n">
        <v>45643</v>
      </c>
      <c r="D135" t="inlineStr">
        <is>
          <t>KALMAR LÄN</t>
        </is>
      </c>
      <c r="E135" t="inlineStr">
        <is>
          <t>NYBRO</t>
        </is>
      </c>
      <c r="G135" t="n">
        <v>45.1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20737-2019</t>
        </is>
      </c>
      <c r="B136" s="1" t="n">
        <v>43573</v>
      </c>
      <c r="C136" s="1" t="n">
        <v>45643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21223-2019</t>
        </is>
      </c>
      <c r="B137" s="1" t="n">
        <v>43579</v>
      </c>
      <c r="C137" s="1" t="n">
        <v>45643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21294-2019</t>
        </is>
      </c>
      <c r="B138" s="1" t="n">
        <v>43579</v>
      </c>
      <c r="C138" s="1" t="n">
        <v>45643</v>
      </c>
      <c r="D138" t="inlineStr">
        <is>
          <t>KALMAR LÄN</t>
        </is>
      </c>
      <c r="E138" t="inlineStr">
        <is>
          <t>NYBRO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21358-2019</t>
        </is>
      </c>
      <c r="B139" s="1" t="n">
        <v>43579</v>
      </c>
      <c r="C139" s="1" t="n">
        <v>45643</v>
      </c>
      <c r="D139" t="inlineStr">
        <is>
          <t>KALMAR LÄN</t>
        </is>
      </c>
      <c r="E139" t="inlineStr">
        <is>
          <t>NYBRO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21311-2019</t>
        </is>
      </c>
      <c r="B140" s="1" t="n">
        <v>43579</v>
      </c>
      <c r="C140" s="1" t="n">
        <v>45643</v>
      </c>
      <c r="D140" t="inlineStr">
        <is>
          <t>KALMAR LÄN</t>
        </is>
      </c>
      <c r="E140" t="inlineStr">
        <is>
          <t>NYBRO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21220-2019</t>
        </is>
      </c>
      <c r="B141" s="1" t="n">
        <v>43579</v>
      </c>
      <c r="C141" s="1" t="n">
        <v>45643</v>
      </c>
      <c r="D141" t="inlineStr">
        <is>
          <t>KALMAR LÄN</t>
        </is>
      </c>
      <c r="E141" t="inlineStr">
        <is>
          <t>NYBRO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21216-2019</t>
        </is>
      </c>
      <c r="B142" s="1" t="n">
        <v>43579</v>
      </c>
      <c r="C142" s="1" t="n">
        <v>45643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21821-2019</t>
        </is>
      </c>
      <c r="B143" s="1" t="n">
        <v>43583</v>
      </c>
      <c r="C143" s="1" t="n">
        <v>45643</v>
      </c>
      <c r="D143" t="inlineStr">
        <is>
          <t>KALMAR LÄN</t>
        </is>
      </c>
      <c r="E143" t="inlineStr">
        <is>
          <t>NYBRO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21822-2019</t>
        </is>
      </c>
      <c r="B144" s="1" t="n">
        <v>43583</v>
      </c>
      <c r="C144" s="1" t="n">
        <v>45643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22362-2019</t>
        </is>
      </c>
      <c r="B145" s="1" t="n">
        <v>43587</v>
      </c>
      <c r="C145" s="1" t="n">
        <v>45643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22492-2019</t>
        </is>
      </c>
      <c r="B146" s="1" t="n">
        <v>43587</v>
      </c>
      <c r="C146" s="1" t="n">
        <v>45643</v>
      </c>
      <c r="D146" t="inlineStr">
        <is>
          <t>KALMAR LÄN</t>
        </is>
      </c>
      <c r="E146" t="inlineStr">
        <is>
          <t>NYBRO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22485-2019</t>
        </is>
      </c>
      <c r="B147" s="1" t="n">
        <v>43587</v>
      </c>
      <c r="C147" s="1" t="n">
        <v>45643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22436-2019</t>
        </is>
      </c>
      <c r="B148" s="1" t="n">
        <v>43587</v>
      </c>
      <c r="C148" s="1" t="n">
        <v>45643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22505-2019</t>
        </is>
      </c>
      <c r="B149" s="1" t="n">
        <v>43587</v>
      </c>
      <c r="C149" s="1" t="n">
        <v>45643</v>
      </c>
      <c r="D149" t="inlineStr">
        <is>
          <t>KALMAR LÄN</t>
        </is>
      </c>
      <c r="E149" t="inlineStr">
        <is>
          <t>NYBRO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22614-2019</t>
        </is>
      </c>
      <c r="B150" s="1" t="n">
        <v>43587</v>
      </c>
      <c r="C150" s="1" t="n">
        <v>45643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22552-2019</t>
        </is>
      </c>
      <c r="B151" s="1" t="n">
        <v>43587</v>
      </c>
      <c r="C151" s="1" t="n">
        <v>45643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22610-2019</t>
        </is>
      </c>
      <c r="B152" s="1" t="n">
        <v>43587</v>
      </c>
      <c r="C152" s="1" t="n">
        <v>45643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22548-2019</t>
        </is>
      </c>
      <c r="B153" s="1" t="n">
        <v>43587</v>
      </c>
      <c r="C153" s="1" t="n">
        <v>45643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22618-2019</t>
        </is>
      </c>
      <c r="B154" s="1" t="n">
        <v>43587</v>
      </c>
      <c r="C154" s="1" t="n">
        <v>45643</v>
      </c>
      <c r="D154" t="inlineStr">
        <is>
          <t>KALMAR LÄN</t>
        </is>
      </c>
      <c r="E154" t="inlineStr">
        <is>
          <t>NYBRO</t>
        </is>
      </c>
      <c r="G154" t="n">
        <v>39.8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22509-2019</t>
        </is>
      </c>
      <c r="B155" s="1" t="n">
        <v>43587</v>
      </c>
      <c r="C155" s="1" t="n">
        <v>45643</v>
      </c>
      <c r="D155" t="inlineStr">
        <is>
          <t>KALMAR LÄN</t>
        </is>
      </c>
      <c r="E155" t="inlineStr">
        <is>
          <t>NYBRO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22437-2019</t>
        </is>
      </c>
      <c r="B156" s="1" t="n">
        <v>43587</v>
      </c>
      <c r="C156" s="1" t="n">
        <v>45643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22378-2019</t>
        </is>
      </c>
      <c r="B157" s="1" t="n">
        <v>43587</v>
      </c>
      <c r="C157" s="1" t="n">
        <v>45643</v>
      </c>
      <c r="D157" t="inlineStr">
        <is>
          <t>KALMAR LÄN</t>
        </is>
      </c>
      <c r="E157" t="inlineStr">
        <is>
          <t>NYBRO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22361-2019</t>
        </is>
      </c>
      <c r="B158" s="1" t="n">
        <v>43587</v>
      </c>
      <c r="C158" s="1" t="n">
        <v>45643</v>
      </c>
      <c r="D158" t="inlineStr">
        <is>
          <t>KALMAR LÄN</t>
        </is>
      </c>
      <c r="E158" t="inlineStr">
        <is>
          <t>NYBRO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22355-2019</t>
        </is>
      </c>
      <c r="B159" s="1" t="n">
        <v>43587</v>
      </c>
      <c r="C159" s="1" t="n">
        <v>45643</v>
      </c>
      <c r="D159" t="inlineStr">
        <is>
          <t>KALMAR LÄN</t>
        </is>
      </c>
      <c r="E159" t="inlineStr">
        <is>
          <t>NYBRO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22545-2019</t>
        </is>
      </c>
      <c r="B160" s="1" t="n">
        <v>43587</v>
      </c>
      <c r="C160" s="1" t="n">
        <v>45643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22867-2019</t>
        </is>
      </c>
      <c r="B161" s="1" t="n">
        <v>43591</v>
      </c>
      <c r="C161" s="1" t="n">
        <v>45643</v>
      </c>
      <c r="D161" t="inlineStr">
        <is>
          <t>KALMAR LÄN</t>
        </is>
      </c>
      <c r="E161" t="inlineStr">
        <is>
          <t>NYBRO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22906-2019</t>
        </is>
      </c>
      <c r="B162" s="1" t="n">
        <v>43591</v>
      </c>
      <c r="C162" s="1" t="n">
        <v>45643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22932-2019</t>
        </is>
      </c>
      <c r="B163" s="1" t="n">
        <v>43591</v>
      </c>
      <c r="C163" s="1" t="n">
        <v>45643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23000-2019</t>
        </is>
      </c>
      <c r="B164" s="1" t="n">
        <v>43591</v>
      </c>
      <c r="C164" s="1" t="n">
        <v>45643</v>
      </c>
      <c r="D164" t="inlineStr">
        <is>
          <t>KALMAR LÄN</t>
        </is>
      </c>
      <c r="E164" t="inlineStr">
        <is>
          <t>NYBRO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22994-2019</t>
        </is>
      </c>
      <c r="B165" s="1" t="n">
        <v>43591</v>
      </c>
      <c r="C165" s="1" t="n">
        <v>45643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22998-2019</t>
        </is>
      </c>
      <c r="B166" s="1" t="n">
        <v>43591</v>
      </c>
      <c r="C166" s="1" t="n">
        <v>45643</v>
      </c>
      <c r="D166" t="inlineStr">
        <is>
          <t>KALMAR LÄN</t>
        </is>
      </c>
      <c r="E166" t="inlineStr">
        <is>
          <t>NYBRO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23635-2019</t>
        </is>
      </c>
      <c r="B167" s="1" t="n">
        <v>43594</v>
      </c>
      <c r="C167" s="1" t="n">
        <v>45643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23633-2019</t>
        </is>
      </c>
      <c r="B168" s="1" t="n">
        <v>43594</v>
      </c>
      <c r="C168" s="1" t="n">
        <v>45643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24407-2019</t>
        </is>
      </c>
      <c r="B169" s="1" t="n">
        <v>43598</v>
      </c>
      <c r="C169" s="1" t="n">
        <v>45643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24514-2019</t>
        </is>
      </c>
      <c r="B170" s="1" t="n">
        <v>43600</v>
      </c>
      <c r="C170" s="1" t="n">
        <v>45643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24520-2019</t>
        </is>
      </c>
      <c r="B171" s="1" t="n">
        <v>43600</v>
      </c>
      <c r="C171" s="1" t="n">
        <v>45643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24656-2019</t>
        </is>
      </c>
      <c r="B172" s="1" t="n">
        <v>43601</v>
      </c>
      <c r="C172" s="1" t="n">
        <v>45643</v>
      </c>
      <c r="D172" t="inlineStr">
        <is>
          <t>KALMAR LÄN</t>
        </is>
      </c>
      <c r="E172" t="inlineStr">
        <is>
          <t>NYBRO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24605-2019</t>
        </is>
      </c>
      <c r="B173" s="1" t="n">
        <v>43601</v>
      </c>
      <c r="C173" s="1" t="n">
        <v>45643</v>
      </c>
      <c r="D173" t="inlineStr">
        <is>
          <t>KALMAR LÄN</t>
        </is>
      </c>
      <c r="E173" t="inlineStr">
        <is>
          <t>NYBRO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24659-2019</t>
        </is>
      </c>
      <c r="B174" s="1" t="n">
        <v>43601</v>
      </c>
      <c r="C174" s="1" t="n">
        <v>45643</v>
      </c>
      <c r="D174" t="inlineStr">
        <is>
          <t>KALMAR LÄN</t>
        </is>
      </c>
      <c r="E174" t="inlineStr">
        <is>
          <t>NYBRO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25289-2019</t>
        </is>
      </c>
      <c r="B175" s="1" t="n">
        <v>43605</v>
      </c>
      <c r="C175" s="1" t="n">
        <v>45643</v>
      </c>
      <c r="D175" t="inlineStr">
        <is>
          <t>KALMAR LÄN</t>
        </is>
      </c>
      <c r="E175" t="inlineStr">
        <is>
          <t>NYBRO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25673-2019</t>
        </is>
      </c>
      <c r="B176" s="1" t="n">
        <v>43607</v>
      </c>
      <c r="C176" s="1" t="n">
        <v>45643</v>
      </c>
      <c r="D176" t="inlineStr">
        <is>
          <t>KALMAR LÄN</t>
        </is>
      </c>
      <c r="E176" t="inlineStr">
        <is>
          <t>NYBRO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25689-2019</t>
        </is>
      </c>
      <c r="B177" s="1" t="n">
        <v>43607</v>
      </c>
      <c r="C177" s="1" t="n">
        <v>45643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25701-2019</t>
        </is>
      </c>
      <c r="B178" s="1" t="n">
        <v>43607</v>
      </c>
      <c r="C178" s="1" t="n">
        <v>45643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25753-2019</t>
        </is>
      </c>
      <c r="B179" s="1" t="n">
        <v>43608</v>
      </c>
      <c r="C179" s="1" t="n">
        <v>45643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26409-2019</t>
        </is>
      </c>
      <c r="B180" s="1" t="n">
        <v>43612</v>
      </c>
      <c r="C180" s="1" t="n">
        <v>45643</v>
      </c>
      <c r="D180" t="inlineStr">
        <is>
          <t>KALMAR LÄN</t>
        </is>
      </c>
      <c r="E180" t="inlineStr">
        <is>
          <t>NYBRO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26359-2019</t>
        </is>
      </c>
      <c r="B181" s="1" t="n">
        <v>43612</v>
      </c>
      <c r="C181" s="1" t="n">
        <v>45643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26793-2019</t>
        </is>
      </c>
      <c r="B182" s="1" t="n">
        <v>43613</v>
      </c>
      <c r="C182" s="1" t="n">
        <v>45643</v>
      </c>
      <c r="D182" t="inlineStr">
        <is>
          <t>KALMAR LÄN</t>
        </is>
      </c>
      <c r="E182" t="inlineStr">
        <is>
          <t>NYBRO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27630-2019</t>
        </is>
      </c>
      <c r="B183" s="1" t="n">
        <v>43619</v>
      </c>
      <c r="C183" s="1" t="n">
        <v>45643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27741-2019</t>
        </is>
      </c>
      <c r="B184" s="1" t="n">
        <v>43619</v>
      </c>
      <c r="C184" s="1" t="n">
        <v>45643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27910-2019</t>
        </is>
      </c>
      <c r="B185" s="1" t="n">
        <v>43620</v>
      </c>
      <c r="C185" s="1" t="n">
        <v>45643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29026-2019</t>
        </is>
      </c>
      <c r="B186" s="1" t="n">
        <v>43620</v>
      </c>
      <c r="C186" s="1" t="n">
        <v>45643</v>
      </c>
      <c r="D186" t="inlineStr">
        <is>
          <t>KALMAR LÄN</t>
        </is>
      </c>
      <c r="E186" t="inlineStr">
        <is>
          <t>NYBRO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28070-2019</t>
        </is>
      </c>
      <c r="B187" s="1" t="n">
        <v>43621</v>
      </c>
      <c r="C187" s="1" t="n">
        <v>45643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27989-2019</t>
        </is>
      </c>
      <c r="B188" s="1" t="n">
        <v>43621</v>
      </c>
      <c r="C188" s="1" t="n">
        <v>45643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28438-2019</t>
        </is>
      </c>
      <c r="B189" s="1" t="n">
        <v>43626</v>
      </c>
      <c r="C189" s="1" t="n">
        <v>45643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29056-2019</t>
        </is>
      </c>
      <c r="B190" s="1" t="n">
        <v>43628</v>
      </c>
      <c r="C190" s="1" t="n">
        <v>45643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30195-2019</t>
        </is>
      </c>
      <c r="B191" s="1" t="n">
        <v>43634</v>
      </c>
      <c r="C191" s="1" t="n">
        <v>45643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30466-2019</t>
        </is>
      </c>
      <c r="B192" s="1" t="n">
        <v>43635</v>
      </c>
      <c r="C192" s="1" t="n">
        <v>45643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31104-2019</t>
        </is>
      </c>
      <c r="B193" s="1" t="n">
        <v>43640</v>
      </c>
      <c r="C193" s="1" t="n">
        <v>45643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31118-2019</t>
        </is>
      </c>
      <c r="B194" s="1" t="n">
        <v>43640</v>
      </c>
      <c r="C194" s="1" t="n">
        <v>45643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31401-2019</t>
        </is>
      </c>
      <c r="B195" s="1" t="n">
        <v>43641</v>
      </c>
      <c r="C195" s="1" t="n">
        <v>45643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31802-2019</t>
        </is>
      </c>
      <c r="B196" s="1" t="n">
        <v>43641</v>
      </c>
      <c r="C196" s="1" t="n">
        <v>45643</v>
      </c>
      <c r="D196" t="inlineStr">
        <is>
          <t>KALMAR LÄN</t>
        </is>
      </c>
      <c r="E196" t="inlineStr">
        <is>
          <t>NYBRO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32122-2019</t>
        </is>
      </c>
      <c r="B197" s="1" t="n">
        <v>43643</v>
      </c>
      <c r="C197" s="1" t="n">
        <v>45643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32152-2019</t>
        </is>
      </c>
      <c r="B198" s="1" t="n">
        <v>43643</v>
      </c>
      <c r="C198" s="1" t="n">
        <v>45643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32771-2019</t>
        </is>
      </c>
      <c r="B199" s="1" t="n">
        <v>43648</v>
      </c>
      <c r="C199" s="1" t="n">
        <v>45643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33162-2019</t>
        </is>
      </c>
      <c r="B200" s="1" t="n">
        <v>43649</v>
      </c>
      <c r="C200" s="1" t="n">
        <v>45643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33126-2019</t>
        </is>
      </c>
      <c r="B201" s="1" t="n">
        <v>43649</v>
      </c>
      <c r="C201" s="1" t="n">
        <v>45643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33145-2019</t>
        </is>
      </c>
      <c r="B202" s="1" t="n">
        <v>43649</v>
      </c>
      <c r="C202" s="1" t="n">
        <v>45643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33435-2019</t>
        </is>
      </c>
      <c r="B203" s="1" t="n">
        <v>43650</v>
      </c>
      <c r="C203" s="1" t="n">
        <v>45643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35231-2019</t>
        </is>
      </c>
      <c r="B204" s="1" t="n">
        <v>43662</v>
      </c>
      <c r="C204" s="1" t="n">
        <v>45643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35214-2019</t>
        </is>
      </c>
      <c r="B205" s="1" t="n">
        <v>43662</v>
      </c>
      <c r="C205" s="1" t="n">
        <v>45643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36053-2019</t>
        </is>
      </c>
      <c r="B206" s="1" t="n">
        <v>43668</v>
      </c>
      <c r="C206" s="1" t="n">
        <v>45643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36593-2019</t>
        </is>
      </c>
      <c r="B207" s="1" t="n">
        <v>43669</v>
      </c>
      <c r="C207" s="1" t="n">
        <v>45643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36260-2019</t>
        </is>
      </c>
      <c r="B208" s="1" t="n">
        <v>43669</v>
      </c>
      <c r="C208" s="1" t="n">
        <v>45643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36791-2019</t>
        </is>
      </c>
      <c r="B209" s="1" t="n">
        <v>43672</v>
      </c>
      <c r="C209" s="1" t="n">
        <v>45643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36967-2019</t>
        </is>
      </c>
      <c r="B210" s="1" t="n">
        <v>43676</v>
      </c>
      <c r="C210" s="1" t="n">
        <v>45643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37303-2019</t>
        </is>
      </c>
      <c r="B211" s="1" t="n">
        <v>43678</v>
      </c>
      <c r="C211" s="1" t="n">
        <v>45643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37411-2019</t>
        </is>
      </c>
      <c r="B212" s="1" t="n">
        <v>43678</v>
      </c>
      <c r="C212" s="1" t="n">
        <v>45643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37418-2019</t>
        </is>
      </c>
      <c r="B213" s="1" t="n">
        <v>43678</v>
      </c>
      <c r="C213" s="1" t="n">
        <v>45643</v>
      </c>
      <c r="D213" t="inlineStr">
        <is>
          <t>KALMAR LÄN</t>
        </is>
      </c>
      <c r="E213" t="inlineStr">
        <is>
          <t>NYBRO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37485-2019</t>
        </is>
      </c>
      <c r="B214" s="1" t="n">
        <v>43678</v>
      </c>
      <c r="C214" s="1" t="n">
        <v>45643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37810-2019</t>
        </is>
      </c>
      <c r="B215" s="1" t="n">
        <v>43682</v>
      </c>
      <c r="C215" s="1" t="n">
        <v>45643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37771-2019</t>
        </is>
      </c>
      <c r="B216" s="1" t="n">
        <v>43682</v>
      </c>
      <c r="C216" s="1" t="n">
        <v>45643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37968-2019</t>
        </is>
      </c>
      <c r="B217" s="1" t="n">
        <v>43683</v>
      </c>
      <c r="C217" s="1" t="n">
        <v>45643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37898-2019</t>
        </is>
      </c>
      <c r="B218" s="1" t="n">
        <v>43683</v>
      </c>
      <c r="C218" s="1" t="n">
        <v>45643</v>
      </c>
      <c r="D218" t="inlineStr">
        <is>
          <t>KALMAR LÄN</t>
        </is>
      </c>
      <c r="E218" t="inlineStr">
        <is>
          <t>NYBRO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37900-2019</t>
        </is>
      </c>
      <c r="B219" s="1" t="n">
        <v>43683</v>
      </c>
      <c r="C219" s="1" t="n">
        <v>45643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38367-2019</t>
        </is>
      </c>
      <c r="B220" s="1" t="n">
        <v>43683</v>
      </c>
      <c r="C220" s="1" t="n">
        <v>45643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37899-2019</t>
        </is>
      </c>
      <c r="B221" s="1" t="n">
        <v>43683</v>
      </c>
      <c r="C221" s="1" t="n">
        <v>45643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38307-2019</t>
        </is>
      </c>
      <c r="B222" s="1" t="n">
        <v>43684</v>
      </c>
      <c r="C222" s="1" t="n">
        <v>45643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38588-2019</t>
        </is>
      </c>
      <c r="B223" s="1" t="n">
        <v>43686</v>
      </c>
      <c r="C223" s="1" t="n">
        <v>45643</v>
      </c>
      <c r="D223" t="inlineStr">
        <is>
          <t>KALMAR LÄN</t>
        </is>
      </c>
      <c r="E223" t="inlineStr">
        <is>
          <t>NYBRO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38590-2019</t>
        </is>
      </c>
      <c r="B224" s="1" t="n">
        <v>43686</v>
      </c>
      <c r="C224" s="1" t="n">
        <v>45643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38804-2019</t>
        </is>
      </c>
      <c r="B225" s="1" t="n">
        <v>43688</v>
      </c>
      <c r="C225" s="1" t="n">
        <v>45643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39149-2019</t>
        </is>
      </c>
      <c r="B226" s="1" t="n">
        <v>43690</v>
      </c>
      <c r="C226" s="1" t="n">
        <v>45643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39364-2019</t>
        </is>
      </c>
      <c r="B227" s="1" t="n">
        <v>43690</v>
      </c>
      <c r="C227" s="1" t="n">
        <v>45643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39357-2019</t>
        </is>
      </c>
      <c r="B228" s="1" t="n">
        <v>43690</v>
      </c>
      <c r="C228" s="1" t="n">
        <v>45643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39423-2019</t>
        </is>
      </c>
      <c r="B229" s="1" t="n">
        <v>43691</v>
      </c>
      <c r="C229" s="1" t="n">
        <v>45643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39426-2019</t>
        </is>
      </c>
      <c r="B230" s="1" t="n">
        <v>43691</v>
      </c>
      <c r="C230" s="1" t="n">
        <v>45643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39693-2019</t>
        </is>
      </c>
      <c r="B231" s="1" t="n">
        <v>43691</v>
      </c>
      <c r="C231" s="1" t="n">
        <v>45643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39699-2019</t>
        </is>
      </c>
      <c r="B232" s="1" t="n">
        <v>43691</v>
      </c>
      <c r="C232" s="1" t="n">
        <v>45643</v>
      </c>
      <c r="D232" t="inlineStr">
        <is>
          <t>KALMAR LÄN</t>
        </is>
      </c>
      <c r="E232" t="inlineStr">
        <is>
          <t>NYBRO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40872-2019</t>
        </is>
      </c>
      <c r="B233" s="1" t="n">
        <v>43693</v>
      </c>
      <c r="C233" s="1" t="n">
        <v>45643</v>
      </c>
      <c r="D233" t="inlineStr">
        <is>
          <t>KALMAR LÄN</t>
        </is>
      </c>
      <c r="E233" t="inlineStr">
        <is>
          <t>NYBRO</t>
        </is>
      </c>
      <c r="G233" t="n">
        <v>19.5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40132-2019</t>
        </is>
      </c>
      <c r="B234" s="1" t="n">
        <v>43693</v>
      </c>
      <c r="C234" s="1" t="n">
        <v>45643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41076-2019</t>
        </is>
      </c>
      <c r="B235" s="1" t="n">
        <v>43698</v>
      </c>
      <c r="C235" s="1" t="n">
        <v>45643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41175-2019</t>
        </is>
      </c>
      <c r="B236" s="1" t="n">
        <v>43698</v>
      </c>
      <c r="C236" s="1" t="n">
        <v>45643</v>
      </c>
      <c r="D236" t="inlineStr">
        <is>
          <t>KALMAR LÄN</t>
        </is>
      </c>
      <c r="E236" t="inlineStr">
        <is>
          <t>NYBRO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41053-2019</t>
        </is>
      </c>
      <c r="B237" s="1" t="n">
        <v>43698</v>
      </c>
      <c r="C237" s="1" t="n">
        <v>45643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42262-2019</t>
        </is>
      </c>
      <c r="B238" s="1" t="n">
        <v>43699</v>
      </c>
      <c r="C238" s="1" t="n">
        <v>45643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42127-2019</t>
        </is>
      </c>
      <c r="B239" s="1" t="n">
        <v>43703</v>
      </c>
      <c r="C239" s="1" t="n">
        <v>45643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42545-2019</t>
        </is>
      </c>
      <c r="B240" s="1" t="n">
        <v>43704</v>
      </c>
      <c r="C240" s="1" t="n">
        <v>45643</v>
      </c>
      <c r="D240" t="inlineStr">
        <is>
          <t>KALMAR LÄN</t>
        </is>
      </c>
      <c r="E240" t="inlineStr">
        <is>
          <t>NYBRO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42613-2019</t>
        </is>
      </c>
      <c r="B241" s="1" t="n">
        <v>43704</v>
      </c>
      <c r="C241" s="1" t="n">
        <v>45643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42800-2019</t>
        </is>
      </c>
      <c r="B242" s="1" t="n">
        <v>43705</v>
      </c>
      <c r="C242" s="1" t="n">
        <v>45643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43165-2019</t>
        </is>
      </c>
      <c r="B243" s="1" t="n">
        <v>43705</v>
      </c>
      <c r="C243" s="1" t="n">
        <v>45643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44057-2019</t>
        </is>
      </c>
      <c r="B244" s="1" t="n">
        <v>43705</v>
      </c>
      <c r="C244" s="1" t="n">
        <v>45643</v>
      </c>
      <c r="D244" t="inlineStr">
        <is>
          <t>KALMAR LÄN</t>
        </is>
      </c>
      <c r="E244" t="inlineStr">
        <is>
          <t>NYBRO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44465-2019</t>
        </is>
      </c>
      <c r="B245" s="1" t="n">
        <v>43706</v>
      </c>
      <c r="C245" s="1" t="n">
        <v>45643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43983-2019</t>
        </is>
      </c>
      <c r="B246" s="1" t="n">
        <v>43709</v>
      </c>
      <c r="C246" s="1" t="n">
        <v>45643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45312-2019</t>
        </is>
      </c>
      <c r="B247" s="1" t="n">
        <v>43710</v>
      </c>
      <c r="C247" s="1" t="n">
        <v>45643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45381-2019</t>
        </is>
      </c>
      <c r="B248" s="1" t="n">
        <v>43710</v>
      </c>
      <c r="C248" s="1" t="n">
        <v>45643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45011-2019</t>
        </is>
      </c>
      <c r="B249" s="1" t="n">
        <v>43713</v>
      </c>
      <c r="C249" s="1" t="n">
        <v>45643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45230-2019</t>
        </is>
      </c>
      <c r="B250" s="1" t="n">
        <v>43713</v>
      </c>
      <c r="C250" s="1" t="n">
        <v>45643</v>
      </c>
      <c r="D250" t="inlineStr">
        <is>
          <t>KALMAR LÄN</t>
        </is>
      </c>
      <c r="E250" t="inlineStr">
        <is>
          <t>NYBRO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45232-2019</t>
        </is>
      </c>
      <c r="B251" s="1" t="n">
        <v>43713</v>
      </c>
      <c r="C251" s="1" t="n">
        <v>45643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46190-2019</t>
        </is>
      </c>
      <c r="B252" s="1" t="n">
        <v>43714</v>
      </c>
      <c r="C252" s="1" t="n">
        <v>45643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45727-2019</t>
        </is>
      </c>
      <c r="B253" s="1" t="n">
        <v>43717</v>
      </c>
      <c r="C253" s="1" t="n">
        <v>45643</v>
      </c>
      <c r="D253" t="inlineStr">
        <is>
          <t>KALMAR LÄN</t>
        </is>
      </c>
      <c r="E253" t="inlineStr">
        <is>
          <t>NYBRO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46557-2019</t>
        </is>
      </c>
      <c r="B254" s="1" t="n">
        <v>43717</v>
      </c>
      <c r="C254" s="1" t="n">
        <v>45643</v>
      </c>
      <c r="D254" t="inlineStr">
        <is>
          <t>KALMAR LÄN</t>
        </is>
      </c>
      <c r="E254" t="inlineStr">
        <is>
          <t>NYBRO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46993-2019</t>
        </is>
      </c>
      <c r="B255" s="1" t="n">
        <v>43717</v>
      </c>
      <c r="C255" s="1" t="n">
        <v>45643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46040-2019</t>
        </is>
      </c>
      <c r="B256" s="1" t="n">
        <v>43718</v>
      </c>
      <c r="C256" s="1" t="n">
        <v>45643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46061-2019</t>
        </is>
      </c>
      <c r="B257" s="1" t="n">
        <v>43718</v>
      </c>
      <c r="C257" s="1" t="n">
        <v>45643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46058-2019</t>
        </is>
      </c>
      <c r="B258" s="1" t="n">
        <v>43718</v>
      </c>
      <c r="C258" s="1" t="n">
        <v>45643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46815-2019</t>
        </is>
      </c>
      <c r="B259" s="1" t="n">
        <v>43719</v>
      </c>
      <c r="C259" s="1" t="n">
        <v>45643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47246-2019</t>
        </is>
      </c>
      <c r="B260" s="1" t="n">
        <v>43721</v>
      </c>
      <c r="C260" s="1" t="n">
        <v>45643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47243-2019</t>
        </is>
      </c>
      <c r="B261" s="1" t="n">
        <v>43721</v>
      </c>
      <c r="C261" s="1" t="n">
        <v>45643</v>
      </c>
      <c r="D261" t="inlineStr">
        <is>
          <t>KALMAR LÄN</t>
        </is>
      </c>
      <c r="E261" t="inlineStr">
        <is>
          <t>NYBRO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48068-2019</t>
        </is>
      </c>
      <c r="B262" s="1" t="n">
        <v>43725</v>
      </c>
      <c r="C262" s="1" t="n">
        <v>45643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48750-2019</t>
        </is>
      </c>
      <c r="B263" s="1" t="n">
        <v>43727</v>
      </c>
      <c r="C263" s="1" t="n">
        <v>45643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49389-2019</t>
        </is>
      </c>
      <c r="B264" s="1" t="n">
        <v>43732</v>
      </c>
      <c r="C264" s="1" t="n">
        <v>45643</v>
      </c>
      <c r="D264" t="inlineStr">
        <is>
          <t>KALMAR LÄN</t>
        </is>
      </c>
      <c r="E264" t="inlineStr">
        <is>
          <t>NYBRO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49575-2019</t>
        </is>
      </c>
      <c r="B265" s="1" t="n">
        <v>43732</v>
      </c>
      <c r="C265" s="1" t="n">
        <v>45643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49883-2019</t>
        </is>
      </c>
      <c r="B266" s="1" t="n">
        <v>43733</v>
      </c>
      <c r="C266" s="1" t="n">
        <v>45643</v>
      </c>
      <c r="D266" t="inlineStr">
        <is>
          <t>KALMAR LÄN</t>
        </is>
      </c>
      <c r="E266" t="inlineStr">
        <is>
          <t>NYBRO</t>
        </is>
      </c>
      <c r="G266" t="n">
        <v>24.8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51500-2019</t>
        </is>
      </c>
      <c r="B267" s="1" t="n">
        <v>43733</v>
      </c>
      <c r="C267" s="1" t="n">
        <v>45643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49746-2019</t>
        </is>
      </c>
      <c r="B268" s="1" t="n">
        <v>43733</v>
      </c>
      <c r="C268" s="1" t="n">
        <v>45643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49904-2019</t>
        </is>
      </c>
      <c r="B269" s="1" t="n">
        <v>43733</v>
      </c>
      <c r="C269" s="1" t="n">
        <v>45643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50159-2019</t>
        </is>
      </c>
      <c r="B270" s="1" t="n">
        <v>43734</v>
      </c>
      <c r="C270" s="1" t="n">
        <v>45643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50113-2019</t>
        </is>
      </c>
      <c r="B271" s="1" t="n">
        <v>43734</v>
      </c>
      <c r="C271" s="1" t="n">
        <v>45643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52154-2019</t>
        </is>
      </c>
      <c r="B272" s="1" t="n">
        <v>43735</v>
      </c>
      <c r="C272" s="1" t="n">
        <v>45643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51314-2019</t>
        </is>
      </c>
      <c r="B273" s="1" t="n">
        <v>43739</v>
      </c>
      <c r="C273" s="1" t="n">
        <v>45643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51731-2019</t>
        </is>
      </c>
      <c r="B274" s="1" t="n">
        <v>43740</v>
      </c>
      <c r="C274" s="1" t="n">
        <v>45643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51937-2019</t>
        </is>
      </c>
      <c r="B275" s="1" t="n">
        <v>43741</v>
      </c>
      <c r="C275" s="1" t="n">
        <v>45643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52072-2019</t>
        </is>
      </c>
      <c r="B276" s="1" t="n">
        <v>43742</v>
      </c>
      <c r="C276" s="1" t="n">
        <v>45643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52312-2019</t>
        </is>
      </c>
      <c r="B277" s="1" t="n">
        <v>43742</v>
      </c>
      <c r="C277" s="1" t="n">
        <v>45643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52318-2019</t>
        </is>
      </c>
      <c r="B278" s="1" t="n">
        <v>43742</v>
      </c>
      <c r="C278" s="1" t="n">
        <v>45643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52883-2019</t>
        </is>
      </c>
      <c r="B279" s="1" t="n">
        <v>43746</v>
      </c>
      <c r="C279" s="1" t="n">
        <v>45643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52880-2019</t>
        </is>
      </c>
      <c r="B280" s="1" t="n">
        <v>43746</v>
      </c>
      <c r="C280" s="1" t="n">
        <v>45643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53153-2019</t>
        </is>
      </c>
      <c r="B281" s="1" t="n">
        <v>43747</v>
      </c>
      <c r="C281" s="1" t="n">
        <v>45643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53037-2019</t>
        </is>
      </c>
      <c r="B282" s="1" t="n">
        <v>43747</v>
      </c>
      <c r="C282" s="1" t="n">
        <v>45643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53432-2019</t>
        </is>
      </c>
      <c r="B283" s="1" t="n">
        <v>43748</v>
      </c>
      <c r="C283" s="1" t="n">
        <v>45643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55596-2019</t>
        </is>
      </c>
      <c r="B284" s="1" t="n">
        <v>43759</v>
      </c>
      <c r="C284" s="1" t="n">
        <v>45643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55565-2019</t>
        </is>
      </c>
      <c r="B285" s="1" t="n">
        <v>43760</v>
      </c>
      <c r="C285" s="1" t="n">
        <v>45643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55842-2019</t>
        </is>
      </c>
      <c r="B286" s="1" t="n">
        <v>43760</v>
      </c>
      <c r="C286" s="1" t="n">
        <v>45643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57308-2019</t>
        </is>
      </c>
      <c r="B287" s="1" t="n">
        <v>43760</v>
      </c>
      <c r="C287" s="1" t="n">
        <v>45643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56877-2019</t>
        </is>
      </c>
      <c r="B288" s="1" t="n">
        <v>43766</v>
      </c>
      <c r="C288" s="1" t="n">
        <v>45643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56987-2019</t>
        </is>
      </c>
      <c r="B289" s="1" t="n">
        <v>43766</v>
      </c>
      <c r="C289" s="1" t="n">
        <v>45643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58320-2019</t>
        </is>
      </c>
      <c r="B290" s="1" t="n">
        <v>43770</v>
      </c>
      <c r="C290" s="1" t="n">
        <v>45643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58331-2019</t>
        </is>
      </c>
      <c r="B291" s="1" t="n">
        <v>43770</v>
      </c>
      <c r="C291" s="1" t="n">
        <v>45643</v>
      </c>
      <c r="D291" t="inlineStr">
        <is>
          <t>KALMAR LÄN</t>
        </is>
      </c>
      <c r="E291" t="inlineStr">
        <is>
          <t>NYBRO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58382-2019</t>
        </is>
      </c>
      <c r="B292" s="1" t="n">
        <v>43771</v>
      </c>
      <c r="C292" s="1" t="n">
        <v>45643</v>
      </c>
      <c r="D292" t="inlineStr">
        <is>
          <t>KALMAR LÄN</t>
        </is>
      </c>
      <c r="E292" t="inlineStr">
        <is>
          <t>NYBRO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58380-2019</t>
        </is>
      </c>
      <c r="B293" s="1" t="n">
        <v>43771</v>
      </c>
      <c r="C293" s="1" t="n">
        <v>45643</v>
      </c>
      <c r="D293" t="inlineStr">
        <is>
          <t>KALMAR LÄN</t>
        </is>
      </c>
      <c r="E293" t="inlineStr">
        <is>
          <t>NYBRO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58480-2019</t>
        </is>
      </c>
      <c r="B294" s="1" t="n">
        <v>43773</v>
      </c>
      <c r="C294" s="1" t="n">
        <v>45643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58856-2019</t>
        </is>
      </c>
      <c r="B295" s="1" t="n">
        <v>43774</v>
      </c>
      <c r="C295" s="1" t="n">
        <v>45643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59113-2019</t>
        </is>
      </c>
      <c r="B296" s="1" t="n">
        <v>43775</v>
      </c>
      <c r="C296" s="1" t="n">
        <v>45643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59114-2019</t>
        </is>
      </c>
      <c r="B297" s="1" t="n">
        <v>43775</v>
      </c>
      <c r="C297" s="1" t="n">
        <v>45643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59303-2019</t>
        </is>
      </c>
      <c r="B298" s="1" t="n">
        <v>43775</v>
      </c>
      <c r="C298" s="1" t="n">
        <v>45643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59391-2019</t>
        </is>
      </c>
      <c r="B299" s="1" t="n">
        <v>43775</v>
      </c>
      <c r="C299" s="1" t="n">
        <v>45643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59795-2019</t>
        </is>
      </c>
      <c r="B300" s="1" t="n">
        <v>43777</v>
      </c>
      <c r="C300" s="1" t="n">
        <v>45643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59794-2019</t>
        </is>
      </c>
      <c r="B301" s="1" t="n">
        <v>43777</v>
      </c>
      <c r="C301" s="1" t="n">
        <v>45643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60311-2019</t>
        </is>
      </c>
      <c r="B302" s="1" t="n">
        <v>43780</v>
      </c>
      <c r="C302" s="1" t="n">
        <v>45643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60439-2019</t>
        </is>
      </c>
      <c r="B303" s="1" t="n">
        <v>43780</v>
      </c>
      <c r="C303" s="1" t="n">
        <v>45643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60451-2019</t>
        </is>
      </c>
      <c r="B304" s="1" t="n">
        <v>43780</v>
      </c>
      <c r="C304" s="1" t="n">
        <v>45643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60851-2019</t>
        </is>
      </c>
      <c r="B305" s="1" t="n">
        <v>43781</v>
      </c>
      <c r="C305" s="1" t="n">
        <v>45643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60794-2019</t>
        </is>
      </c>
      <c r="B306" s="1" t="n">
        <v>43781</v>
      </c>
      <c r="C306" s="1" t="n">
        <v>45643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61061-2019</t>
        </is>
      </c>
      <c r="B307" s="1" t="n">
        <v>43782</v>
      </c>
      <c r="C307" s="1" t="n">
        <v>45643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62074-2019</t>
        </is>
      </c>
      <c r="B308" s="1" t="n">
        <v>43782</v>
      </c>
      <c r="C308" s="1" t="n">
        <v>45643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61704-2019</t>
        </is>
      </c>
      <c r="B309" s="1" t="n">
        <v>43784</v>
      </c>
      <c r="C309" s="1" t="n">
        <v>45643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61715-2019</t>
        </is>
      </c>
      <c r="B310" s="1" t="n">
        <v>43784</v>
      </c>
      <c r="C310" s="1" t="n">
        <v>45643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61768-2019</t>
        </is>
      </c>
      <c r="B311" s="1" t="n">
        <v>43784</v>
      </c>
      <c r="C311" s="1" t="n">
        <v>45643</v>
      </c>
      <c r="D311" t="inlineStr">
        <is>
          <t>KALMAR LÄN</t>
        </is>
      </c>
      <c r="E311" t="inlineStr">
        <is>
          <t>NYBRO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62030-2019</t>
        </is>
      </c>
      <c r="B312" s="1" t="n">
        <v>43787</v>
      </c>
      <c r="C312" s="1" t="n">
        <v>45643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62831-2019</t>
        </is>
      </c>
      <c r="B313" s="1" t="n">
        <v>43790</v>
      </c>
      <c r="C313" s="1" t="n">
        <v>45643</v>
      </c>
      <c r="D313" t="inlineStr">
        <is>
          <t>KALMAR LÄN</t>
        </is>
      </c>
      <c r="E313" t="inlineStr">
        <is>
          <t>NYBRO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64331-2019</t>
        </is>
      </c>
      <c r="B314" s="1" t="n">
        <v>43791</v>
      </c>
      <c r="C314" s="1" t="n">
        <v>45643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63982-2019</t>
        </is>
      </c>
      <c r="B315" s="1" t="n">
        <v>43796</v>
      </c>
      <c r="C315" s="1" t="n">
        <v>45643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64110-2019</t>
        </is>
      </c>
      <c r="B316" s="1" t="n">
        <v>43796</v>
      </c>
      <c r="C316" s="1" t="n">
        <v>45643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64004-2019</t>
        </is>
      </c>
      <c r="B317" s="1" t="n">
        <v>43796</v>
      </c>
      <c r="C317" s="1" t="n">
        <v>45643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64007-2019</t>
        </is>
      </c>
      <c r="B318" s="1" t="n">
        <v>43796</v>
      </c>
      <c r="C318" s="1" t="n">
        <v>45643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64243-2019</t>
        </is>
      </c>
      <c r="B319" s="1" t="n">
        <v>43797</v>
      </c>
      <c r="C319" s="1" t="n">
        <v>45643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64367-2019</t>
        </is>
      </c>
      <c r="B320" s="1" t="n">
        <v>43797</v>
      </c>
      <c r="C320" s="1" t="n">
        <v>45643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66836-2019</t>
        </is>
      </c>
      <c r="B321" s="1" t="n">
        <v>43804</v>
      </c>
      <c r="C321" s="1" t="n">
        <v>45643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66612-2019</t>
        </is>
      </c>
      <c r="B322" s="1" t="n">
        <v>43809</v>
      </c>
      <c r="C322" s="1" t="n">
        <v>45643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66683-2019</t>
        </is>
      </c>
      <c r="B323" s="1" t="n">
        <v>43809</v>
      </c>
      <c r="C323" s="1" t="n">
        <v>45643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66961-2019</t>
        </is>
      </c>
      <c r="B324" s="1" t="n">
        <v>43810</v>
      </c>
      <c r="C324" s="1" t="n">
        <v>45643</v>
      </c>
      <c r="D324" t="inlineStr">
        <is>
          <t>KALMAR LÄN</t>
        </is>
      </c>
      <c r="E324" t="inlineStr">
        <is>
          <t>NYBRO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67519-2019</t>
        </is>
      </c>
      <c r="B325" s="1" t="n">
        <v>43815</v>
      </c>
      <c r="C325" s="1" t="n">
        <v>45643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68803-2019</t>
        </is>
      </c>
      <c r="B326" s="1" t="n">
        <v>43819</v>
      </c>
      <c r="C326" s="1" t="n">
        <v>45643</v>
      </c>
      <c r="D326" t="inlineStr">
        <is>
          <t>KALMAR LÄN</t>
        </is>
      </c>
      <c r="E326" t="inlineStr">
        <is>
          <t>NYBRO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68873-2019</t>
        </is>
      </c>
      <c r="B327" s="1" t="n">
        <v>43821</v>
      </c>
      <c r="C327" s="1" t="n">
        <v>45643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53-2020</t>
        </is>
      </c>
      <c r="B328" s="1" t="n">
        <v>43832</v>
      </c>
      <c r="C328" s="1" t="n">
        <v>45643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524-2020</t>
        </is>
      </c>
      <c r="B329" s="1" t="n">
        <v>43837</v>
      </c>
      <c r="C329" s="1" t="n">
        <v>45643</v>
      </c>
      <c r="D329" t="inlineStr">
        <is>
          <t>KALMAR LÄN</t>
        </is>
      </c>
      <c r="E329" t="inlineStr">
        <is>
          <t>NYBRO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825-2020</t>
        </is>
      </c>
      <c r="B330" s="1" t="n">
        <v>43839</v>
      </c>
      <c r="C330" s="1" t="n">
        <v>45643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1073-2020</t>
        </is>
      </c>
      <c r="B331" s="1" t="n">
        <v>43840</v>
      </c>
      <c r="C331" s="1" t="n">
        <v>45643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1072-2020</t>
        </is>
      </c>
      <c r="B332" s="1" t="n">
        <v>43840</v>
      </c>
      <c r="C332" s="1" t="n">
        <v>45643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1292-2020</t>
        </is>
      </c>
      <c r="B333" s="1" t="n">
        <v>43842</v>
      </c>
      <c r="C333" s="1" t="n">
        <v>45643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1342-2020</t>
        </is>
      </c>
      <c r="B334" s="1" t="n">
        <v>43843</v>
      </c>
      <c r="C334" s="1" t="n">
        <v>45643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1488-2020</t>
        </is>
      </c>
      <c r="B335" s="1" t="n">
        <v>43843</v>
      </c>
      <c r="C335" s="1" t="n">
        <v>45643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1479-2020</t>
        </is>
      </c>
      <c r="B336" s="1" t="n">
        <v>43843</v>
      </c>
      <c r="C336" s="1" t="n">
        <v>45643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2210-2020</t>
        </is>
      </c>
      <c r="B337" s="1" t="n">
        <v>43846</v>
      </c>
      <c r="C337" s="1" t="n">
        <v>45643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2196-2020</t>
        </is>
      </c>
      <c r="B338" s="1" t="n">
        <v>43846</v>
      </c>
      <c r="C338" s="1" t="n">
        <v>45643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2206-2020</t>
        </is>
      </c>
      <c r="B339" s="1" t="n">
        <v>43846</v>
      </c>
      <c r="C339" s="1" t="n">
        <v>45643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4394-2020</t>
        </is>
      </c>
      <c r="B340" s="1" t="n">
        <v>43847</v>
      </c>
      <c r="C340" s="1" t="n">
        <v>45643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2400-2020</t>
        </is>
      </c>
      <c r="B341" s="1" t="n">
        <v>43847</v>
      </c>
      <c r="C341" s="1" t="n">
        <v>45643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4489-2020</t>
        </is>
      </c>
      <c r="B342" s="1" t="n">
        <v>43850</v>
      </c>
      <c r="C342" s="1" t="n">
        <v>45643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3475-2020</t>
        </is>
      </c>
      <c r="B343" s="1" t="n">
        <v>43852</v>
      </c>
      <c r="C343" s="1" t="n">
        <v>45643</v>
      </c>
      <c r="D343" t="inlineStr">
        <is>
          <t>KALMAR LÄN</t>
        </is>
      </c>
      <c r="E343" t="inlineStr">
        <is>
          <t>NYBRO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3476-2020</t>
        </is>
      </c>
      <c r="B344" s="1" t="n">
        <v>43852</v>
      </c>
      <c r="C344" s="1" t="n">
        <v>45643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3474-2020</t>
        </is>
      </c>
      <c r="B345" s="1" t="n">
        <v>43852</v>
      </c>
      <c r="C345" s="1" t="n">
        <v>45643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3636-2020</t>
        </is>
      </c>
      <c r="B346" s="1" t="n">
        <v>43853</v>
      </c>
      <c r="C346" s="1" t="n">
        <v>45643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3763-2020</t>
        </is>
      </c>
      <c r="B347" s="1" t="n">
        <v>43854</v>
      </c>
      <c r="C347" s="1" t="n">
        <v>45643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3761-2020</t>
        </is>
      </c>
      <c r="B348" s="1" t="n">
        <v>43854</v>
      </c>
      <c r="C348" s="1" t="n">
        <v>45643</v>
      </c>
      <c r="D348" t="inlineStr">
        <is>
          <t>KALMAR LÄN</t>
        </is>
      </c>
      <c r="E348" t="inlineStr">
        <is>
          <t>NYBRO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3765-2020</t>
        </is>
      </c>
      <c r="B349" s="1" t="n">
        <v>43854</v>
      </c>
      <c r="C349" s="1" t="n">
        <v>45643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5444-2020</t>
        </is>
      </c>
      <c r="B350" s="1" t="n">
        <v>43859</v>
      </c>
      <c r="C350" s="1" t="n">
        <v>45643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5184-2020</t>
        </is>
      </c>
      <c r="B351" s="1" t="n">
        <v>43860</v>
      </c>
      <c r="C351" s="1" t="n">
        <v>45643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5638-2020</t>
        </is>
      </c>
      <c r="B352" s="1" t="n">
        <v>43860</v>
      </c>
      <c r="C352" s="1" t="n">
        <v>45643</v>
      </c>
      <c r="D352" t="inlineStr">
        <is>
          <t>KALMAR LÄN</t>
        </is>
      </c>
      <c r="E352" t="inlineStr">
        <is>
          <t>NYBRO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6371-2020</t>
        </is>
      </c>
      <c r="B353" s="1" t="n">
        <v>43865</v>
      </c>
      <c r="C353" s="1" t="n">
        <v>45643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6508-2020</t>
        </is>
      </c>
      <c r="B354" s="1" t="n">
        <v>43867</v>
      </c>
      <c r="C354" s="1" t="n">
        <v>45643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7557-2020</t>
        </is>
      </c>
      <c r="B355" s="1" t="n">
        <v>43872</v>
      </c>
      <c r="C355" s="1" t="n">
        <v>45643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8511-2020</t>
        </is>
      </c>
      <c r="B356" s="1" t="n">
        <v>43875</v>
      </c>
      <c r="C356" s="1" t="n">
        <v>45643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8555-2020</t>
        </is>
      </c>
      <c r="B357" s="1" t="n">
        <v>43877</v>
      </c>
      <c r="C357" s="1" t="n">
        <v>45643</v>
      </c>
      <c r="D357" t="inlineStr">
        <is>
          <t>KALMAR LÄN</t>
        </is>
      </c>
      <c r="E357" t="inlineStr">
        <is>
          <t>NYBRO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8675-2020</t>
        </is>
      </c>
      <c r="B358" s="1" t="n">
        <v>43878</v>
      </c>
      <c r="C358" s="1" t="n">
        <v>45643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8645-2020</t>
        </is>
      </c>
      <c r="B359" s="1" t="n">
        <v>43878</v>
      </c>
      <c r="C359" s="1" t="n">
        <v>45643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8673-2020</t>
        </is>
      </c>
      <c r="B360" s="1" t="n">
        <v>43878</v>
      </c>
      <c r="C360" s="1" t="n">
        <v>45643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9023-2020</t>
        </is>
      </c>
      <c r="B361" s="1" t="n">
        <v>43879</v>
      </c>
      <c r="C361" s="1" t="n">
        <v>45643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9283-2020</t>
        </is>
      </c>
      <c r="B362" s="1" t="n">
        <v>43879</v>
      </c>
      <c r="C362" s="1" t="n">
        <v>45643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9410-2020</t>
        </is>
      </c>
      <c r="B363" s="1" t="n">
        <v>43880</v>
      </c>
      <c r="C363" s="1" t="n">
        <v>45643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9434-2020</t>
        </is>
      </c>
      <c r="B364" s="1" t="n">
        <v>43880</v>
      </c>
      <c r="C364" s="1" t="n">
        <v>45643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10619-2020</t>
        </is>
      </c>
      <c r="B365" s="1" t="n">
        <v>43887</v>
      </c>
      <c r="C365" s="1" t="n">
        <v>45643</v>
      </c>
      <c r="D365" t="inlineStr">
        <is>
          <t>KALMAR LÄN</t>
        </is>
      </c>
      <c r="E365" t="inlineStr">
        <is>
          <t>NYBRO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10614-2020</t>
        </is>
      </c>
      <c r="B366" s="1" t="n">
        <v>43887</v>
      </c>
      <c r="C366" s="1" t="n">
        <v>45643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10672-2020</t>
        </is>
      </c>
      <c r="B367" s="1" t="n">
        <v>43888</v>
      </c>
      <c r="C367" s="1" t="n">
        <v>45643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11544-2020</t>
        </is>
      </c>
      <c r="B368" s="1" t="n">
        <v>43893</v>
      </c>
      <c r="C368" s="1" t="n">
        <v>45643</v>
      </c>
      <c r="D368" t="inlineStr">
        <is>
          <t>KALMAR LÄN</t>
        </is>
      </c>
      <c r="E368" t="inlineStr">
        <is>
          <t>NYBRO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12006-2020</t>
        </is>
      </c>
      <c r="B369" s="1" t="n">
        <v>43894</v>
      </c>
      <c r="C369" s="1" t="n">
        <v>45643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13619-2020</t>
        </is>
      </c>
      <c r="B370" s="1" t="n">
        <v>43896</v>
      </c>
      <c r="C370" s="1" t="n">
        <v>45643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12385-2020</t>
        </is>
      </c>
      <c r="B371" s="1" t="n">
        <v>43896</v>
      </c>
      <c r="C371" s="1" t="n">
        <v>45643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12873-2020</t>
        </is>
      </c>
      <c r="B372" s="1" t="n">
        <v>43899</v>
      </c>
      <c r="C372" s="1" t="n">
        <v>45643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15839-2020</t>
        </is>
      </c>
      <c r="B373" s="1" t="n">
        <v>43907</v>
      </c>
      <c r="C373" s="1" t="n">
        <v>45643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14723-2020</t>
        </is>
      </c>
      <c r="B374" s="1" t="n">
        <v>43908</v>
      </c>
      <c r="C374" s="1" t="n">
        <v>45643</v>
      </c>
      <c r="D374" t="inlineStr">
        <is>
          <t>KALMAR LÄN</t>
        </is>
      </c>
      <c r="E374" t="inlineStr">
        <is>
          <t>NYBRO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16805-2020</t>
        </is>
      </c>
      <c r="B375" s="1" t="n">
        <v>43913</v>
      </c>
      <c r="C375" s="1" t="n">
        <v>45643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15414-2020</t>
        </is>
      </c>
      <c r="B376" s="1" t="n">
        <v>43914</v>
      </c>
      <c r="C376" s="1" t="n">
        <v>45643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15479-2020</t>
        </is>
      </c>
      <c r="B377" s="1" t="n">
        <v>43914</v>
      </c>
      <c r="C377" s="1" t="n">
        <v>45643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16439-2020</t>
        </is>
      </c>
      <c r="B378" s="1" t="n">
        <v>43914</v>
      </c>
      <c r="C378" s="1" t="n">
        <v>45643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15985-2020</t>
        </is>
      </c>
      <c r="B379" s="1" t="n">
        <v>43914</v>
      </c>
      <c r="C379" s="1" t="n">
        <v>45643</v>
      </c>
      <c r="D379" t="inlineStr">
        <is>
          <t>KALMAR LÄN</t>
        </is>
      </c>
      <c r="E379" t="inlineStr">
        <is>
          <t>NYBRO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16810-2020</t>
        </is>
      </c>
      <c r="B380" s="1" t="n">
        <v>43914</v>
      </c>
      <c r="C380" s="1" t="n">
        <v>45643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15661-2020</t>
        </is>
      </c>
      <c r="B381" s="1" t="n">
        <v>43915</v>
      </c>
      <c r="C381" s="1" t="n">
        <v>45643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16002-2020</t>
        </is>
      </c>
      <c r="B382" s="1" t="n">
        <v>43916</v>
      </c>
      <c r="C382" s="1" t="n">
        <v>45643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15995-2020</t>
        </is>
      </c>
      <c r="B383" s="1" t="n">
        <v>43916</v>
      </c>
      <c r="C383" s="1" t="n">
        <v>45643</v>
      </c>
      <c r="D383" t="inlineStr">
        <is>
          <t>KALMAR LÄN</t>
        </is>
      </c>
      <c r="E383" t="inlineStr">
        <is>
          <t>NYBRO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16168-2020</t>
        </is>
      </c>
      <c r="B384" s="1" t="n">
        <v>43917</v>
      </c>
      <c r="C384" s="1" t="n">
        <v>45643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16331-2020</t>
        </is>
      </c>
      <c r="B385" s="1" t="n">
        <v>43917</v>
      </c>
      <c r="C385" s="1" t="n">
        <v>45643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16422-2020</t>
        </is>
      </c>
      <c r="B386" s="1" t="n">
        <v>43919</v>
      </c>
      <c r="C386" s="1" t="n">
        <v>45643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16565-2020</t>
        </is>
      </c>
      <c r="B387" s="1" t="n">
        <v>43920</v>
      </c>
      <c r="C387" s="1" t="n">
        <v>45643</v>
      </c>
      <c r="D387" t="inlineStr">
        <is>
          <t>KALMAR LÄN</t>
        </is>
      </c>
      <c r="E387" t="inlineStr">
        <is>
          <t>NYBRO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17333-2020</t>
        </is>
      </c>
      <c r="B388" s="1" t="n">
        <v>43922</v>
      </c>
      <c r="C388" s="1" t="n">
        <v>45643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17499-2020</t>
        </is>
      </c>
      <c r="B389" s="1" t="n">
        <v>43923</v>
      </c>
      <c r="C389" s="1" t="n">
        <v>45643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18716-2020</t>
        </is>
      </c>
      <c r="B390" s="1" t="n">
        <v>43930</v>
      </c>
      <c r="C390" s="1" t="n">
        <v>45643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19393-2020</t>
        </is>
      </c>
      <c r="B391" s="1" t="n">
        <v>43938</v>
      </c>
      <c r="C391" s="1" t="n">
        <v>45643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19373-2020</t>
        </is>
      </c>
      <c r="B392" s="1" t="n">
        <v>43938</v>
      </c>
      <c r="C392" s="1" t="n">
        <v>45643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19391-2020</t>
        </is>
      </c>
      <c r="B393" s="1" t="n">
        <v>43938</v>
      </c>
      <c r="C393" s="1" t="n">
        <v>45643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19368-2020</t>
        </is>
      </c>
      <c r="B394" s="1" t="n">
        <v>43938</v>
      </c>
      <c r="C394" s="1" t="n">
        <v>45643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20891-2020</t>
        </is>
      </c>
      <c r="B395" s="1" t="n">
        <v>43950</v>
      </c>
      <c r="C395" s="1" t="n">
        <v>45643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21317-2020</t>
        </is>
      </c>
      <c r="B396" s="1" t="n">
        <v>43955</v>
      </c>
      <c r="C396" s="1" t="n">
        <v>45643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21333-2020</t>
        </is>
      </c>
      <c r="B397" s="1" t="n">
        <v>43955</v>
      </c>
      <c r="C397" s="1" t="n">
        <v>45643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21331-2020</t>
        </is>
      </c>
      <c r="B398" s="1" t="n">
        <v>43955</v>
      </c>
      <c r="C398" s="1" t="n">
        <v>45643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21247-2020</t>
        </is>
      </c>
      <c r="B399" s="1" t="n">
        <v>43955</v>
      </c>
      <c r="C399" s="1" t="n">
        <v>45643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21457-2020</t>
        </is>
      </c>
      <c r="B400" s="1" t="n">
        <v>43956</v>
      </c>
      <c r="C400" s="1" t="n">
        <v>45643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21657-2020</t>
        </is>
      </c>
      <c r="B401" s="1" t="n">
        <v>43957</v>
      </c>
      <c r="C401" s="1" t="n">
        <v>45643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21692-2020</t>
        </is>
      </c>
      <c r="B402" s="1" t="n">
        <v>43957</v>
      </c>
      <c r="C402" s="1" t="n">
        <v>45643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22306-2020</t>
        </is>
      </c>
      <c r="B403" s="1" t="n">
        <v>43962</v>
      </c>
      <c r="C403" s="1" t="n">
        <v>45643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22812-2020</t>
        </is>
      </c>
      <c r="B404" s="1" t="n">
        <v>43964</v>
      </c>
      <c r="C404" s="1" t="n">
        <v>45643</v>
      </c>
      <c r="D404" t="inlineStr">
        <is>
          <t>KALMAR LÄN</t>
        </is>
      </c>
      <c r="E404" t="inlineStr">
        <is>
          <t>NYBRO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23389-2020</t>
        </is>
      </c>
      <c r="B405" s="1" t="n">
        <v>43968</v>
      </c>
      <c r="C405" s="1" t="n">
        <v>45643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24005-2020</t>
        </is>
      </c>
      <c r="B406" s="1" t="n">
        <v>43971</v>
      </c>
      <c r="C406" s="1" t="n">
        <v>45643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24189-2020</t>
        </is>
      </c>
      <c r="B407" s="1" t="n">
        <v>43973</v>
      </c>
      <c r="C407" s="1" t="n">
        <v>45643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24169-2020</t>
        </is>
      </c>
      <c r="B408" s="1" t="n">
        <v>43975</v>
      </c>
      <c r="C408" s="1" t="n">
        <v>45643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24168-2020</t>
        </is>
      </c>
      <c r="B409" s="1" t="n">
        <v>43975</v>
      </c>
      <c r="C409" s="1" t="n">
        <v>45643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24170-2020</t>
        </is>
      </c>
      <c r="B410" s="1" t="n">
        <v>43975</v>
      </c>
      <c r="C410" s="1" t="n">
        <v>45643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25130-2020</t>
        </is>
      </c>
      <c r="B411" s="1" t="n">
        <v>43980</v>
      </c>
      <c r="C411" s="1" t="n">
        <v>45643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25943-2020</t>
        </is>
      </c>
      <c r="B412" s="1" t="n">
        <v>43985</v>
      </c>
      <c r="C412" s="1" t="n">
        <v>45643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26503-2020</t>
        </is>
      </c>
      <c r="B413" s="1" t="n">
        <v>43987</v>
      </c>
      <c r="C413" s="1" t="n">
        <v>45643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26552-2020</t>
        </is>
      </c>
      <c r="B414" s="1" t="n">
        <v>43987</v>
      </c>
      <c r="C414" s="1" t="n">
        <v>45643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27210-2020</t>
        </is>
      </c>
      <c r="B415" s="1" t="n">
        <v>43991</v>
      </c>
      <c r="C415" s="1" t="n">
        <v>45643</v>
      </c>
      <c r="D415" t="inlineStr">
        <is>
          <t>KALMAR LÄN</t>
        </is>
      </c>
      <c r="E415" t="inlineStr">
        <is>
          <t>NYBRO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27211-2020</t>
        </is>
      </c>
      <c r="B416" s="1" t="n">
        <v>43991</v>
      </c>
      <c r="C416" s="1" t="n">
        <v>45643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27567-2020</t>
        </is>
      </c>
      <c r="B417" s="1" t="n">
        <v>43993</v>
      </c>
      <c r="C417" s="1" t="n">
        <v>45643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29397-2020</t>
        </is>
      </c>
      <c r="B418" s="1" t="n">
        <v>44004</v>
      </c>
      <c r="C418" s="1" t="n">
        <v>45643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29387-2020</t>
        </is>
      </c>
      <c r="B419" s="1" t="n">
        <v>44004</v>
      </c>
      <c r="C419" s="1" t="n">
        <v>45643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29392-2020</t>
        </is>
      </c>
      <c r="B420" s="1" t="n">
        <v>44004</v>
      </c>
      <c r="C420" s="1" t="n">
        <v>45643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29712-2020</t>
        </is>
      </c>
      <c r="B421" s="1" t="n">
        <v>44005</v>
      </c>
      <c r="C421" s="1" t="n">
        <v>45643</v>
      </c>
      <c r="D421" t="inlineStr">
        <is>
          <t>KALMAR LÄN</t>
        </is>
      </c>
      <c r="E421" t="inlineStr">
        <is>
          <t>NYBRO</t>
        </is>
      </c>
      <c r="G421" t="n">
        <v>27.9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29717-2020</t>
        </is>
      </c>
      <c r="B422" s="1" t="n">
        <v>44005</v>
      </c>
      <c r="C422" s="1" t="n">
        <v>45643</v>
      </c>
      <c r="D422" t="inlineStr">
        <is>
          <t>KALMAR LÄN</t>
        </is>
      </c>
      <c r="E422" t="inlineStr">
        <is>
          <t>NYBRO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30039-2020</t>
        </is>
      </c>
      <c r="B423" s="1" t="n">
        <v>44006</v>
      </c>
      <c r="C423" s="1" t="n">
        <v>45643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30775-2020</t>
        </is>
      </c>
      <c r="B424" s="1" t="n">
        <v>44009</v>
      </c>
      <c r="C424" s="1" t="n">
        <v>45643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30774-2020</t>
        </is>
      </c>
      <c r="B425" s="1" t="n">
        <v>44009</v>
      </c>
      <c r="C425" s="1" t="n">
        <v>45643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30773-2020</t>
        </is>
      </c>
      <c r="B426" s="1" t="n">
        <v>44009</v>
      </c>
      <c r="C426" s="1" t="n">
        <v>45643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31259-2020</t>
        </is>
      </c>
      <c r="B427" s="1" t="n">
        <v>44012</v>
      </c>
      <c r="C427" s="1" t="n">
        <v>45643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31687-2020</t>
        </is>
      </c>
      <c r="B428" s="1" t="n">
        <v>44014</v>
      </c>
      <c r="C428" s="1" t="n">
        <v>45643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32395-2020</t>
        </is>
      </c>
      <c r="B429" s="1" t="n">
        <v>44018</v>
      </c>
      <c r="C429" s="1" t="n">
        <v>45643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32502-2020</t>
        </is>
      </c>
      <c r="B430" s="1" t="n">
        <v>44018</v>
      </c>
      <c r="C430" s="1" t="n">
        <v>45643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32828-2020</t>
        </is>
      </c>
      <c r="B431" s="1" t="n">
        <v>44020</v>
      </c>
      <c r="C431" s="1" t="n">
        <v>45643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33122-2020</t>
        </is>
      </c>
      <c r="B432" s="1" t="n">
        <v>44021</v>
      </c>
      <c r="C432" s="1" t="n">
        <v>45643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33121-2020</t>
        </is>
      </c>
      <c r="B433" s="1" t="n">
        <v>44021</v>
      </c>
      <c r="C433" s="1" t="n">
        <v>45643</v>
      </c>
      <c r="D433" t="inlineStr">
        <is>
          <t>KALMAR LÄN</t>
        </is>
      </c>
      <c r="E433" t="inlineStr">
        <is>
          <t>NYBRO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33608-2020</t>
        </is>
      </c>
      <c r="B434" s="1" t="n">
        <v>44025</v>
      </c>
      <c r="C434" s="1" t="n">
        <v>45643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33962-2020</t>
        </is>
      </c>
      <c r="B435" s="1" t="n">
        <v>44026</v>
      </c>
      <c r="C435" s="1" t="n">
        <v>45643</v>
      </c>
      <c r="D435" t="inlineStr">
        <is>
          <t>KALMAR LÄN</t>
        </is>
      </c>
      <c r="E435" t="inlineStr">
        <is>
          <t>NYBRO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34773-2020</t>
        </is>
      </c>
      <c r="B436" s="1" t="n">
        <v>44035</v>
      </c>
      <c r="C436" s="1" t="n">
        <v>45643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35709-2020</t>
        </is>
      </c>
      <c r="B437" s="1" t="n">
        <v>44046</v>
      </c>
      <c r="C437" s="1" t="n">
        <v>45643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36559-2020</t>
        </is>
      </c>
      <c r="B438" s="1" t="n">
        <v>44050</v>
      </c>
      <c r="C438" s="1" t="n">
        <v>45643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36558-2020</t>
        </is>
      </c>
      <c r="B439" s="1" t="n">
        <v>44050</v>
      </c>
      <c r="C439" s="1" t="n">
        <v>45643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36745-2020</t>
        </is>
      </c>
      <c r="B440" s="1" t="n">
        <v>44053</v>
      </c>
      <c r="C440" s="1" t="n">
        <v>45643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37130-2020</t>
        </is>
      </c>
      <c r="B441" s="1" t="n">
        <v>44054</v>
      </c>
      <c r="C441" s="1" t="n">
        <v>45643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37745-2020</t>
        </is>
      </c>
      <c r="B442" s="1" t="n">
        <v>44056</v>
      </c>
      <c r="C442" s="1" t="n">
        <v>45643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37651-2020</t>
        </is>
      </c>
      <c r="B443" s="1" t="n">
        <v>44056</v>
      </c>
      <c r="C443" s="1" t="n">
        <v>45643</v>
      </c>
      <c r="D443" t="inlineStr">
        <is>
          <t>KALMAR LÄN</t>
        </is>
      </c>
      <c r="E443" t="inlineStr">
        <is>
          <t>NYBRO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38134-2020</t>
        </is>
      </c>
      <c r="B444" s="1" t="n">
        <v>44059</v>
      </c>
      <c r="C444" s="1" t="n">
        <v>45643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38210-2020</t>
        </is>
      </c>
      <c r="B445" s="1" t="n">
        <v>44060</v>
      </c>
      <c r="C445" s="1" t="n">
        <v>45643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38222-2020</t>
        </is>
      </c>
      <c r="B446" s="1" t="n">
        <v>44060</v>
      </c>
      <c r="C446" s="1" t="n">
        <v>45643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39395-2020</t>
        </is>
      </c>
      <c r="B447" s="1" t="n">
        <v>44064</v>
      </c>
      <c r="C447" s="1" t="n">
        <v>45643</v>
      </c>
      <c r="D447" t="inlineStr">
        <is>
          <t>KALMAR LÄN</t>
        </is>
      </c>
      <c r="E447" t="inlineStr">
        <is>
          <t>NYBRO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41062-2020</t>
        </is>
      </c>
      <c r="B448" s="1" t="n">
        <v>44071</v>
      </c>
      <c r="C448" s="1" t="n">
        <v>45643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41426-2020</t>
        </is>
      </c>
      <c r="B449" s="1" t="n">
        <v>44073</v>
      </c>
      <c r="C449" s="1" t="n">
        <v>45643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41427-2020</t>
        </is>
      </c>
      <c r="B450" s="1" t="n">
        <v>44073</v>
      </c>
      <c r="C450" s="1" t="n">
        <v>45643</v>
      </c>
      <c r="D450" t="inlineStr">
        <is>
          <t>KALMAR LÄN</t>
        </is>
      </c>
      <c r="E450" t="inlineStr">
        <is>
          <t>NYBRO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41425-2020</t>
        </is>
      </c>
      <c r="B451" s="1" t="n">
        <v>44073</v>
      </c>
      <c r="C451" s="1" t="n">
        <v>45643</v>
      </c>
      <c r="D451" t="inlineStr">
        <is>
          <t>KALMAR LÄN</t>
        </is>
      </c>
      <c r="E451" t="inlineStr">
        <is>
          <t>NYBRO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42090-2020</t>
        </is>
      </c>
      <c r="B452" s="1" t="n">
        <v>44074</v>
      </c>
      <c r="C452" s="1" t="n">
        <v>45643</v>
      </c>
      <c r="D452" t="inlineStr">
        <is>
          <t>KALMAR LÄN</t>
        </is>
      </c>
      <c r="E452" t="inlineStr">
        <is>
          <t>NYBRO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41959-2020</t>
        </is>
      </c>
      <c r="B453" s="1" t="n">
        <v>44075</v>
      </c>
      <c r="C453" s="1" t="n">
        <v>45643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42114-2020</t>
        </is>
      </c>
      <c r="B454" s="1" t="n">
        <v>44075</v>
      </c>
      <c r="C454" s="1" t="n">
        <v>45643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42240-2020</t>
        </is>
      </c>
      <c r="B455" s="1" t="n">
        <v>44076</v>
      </c>
      <c r="C455" s="1" t="n">
        <v>45643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42604-2020</t>
        </is>
      </c>
      <c r="B456" s="1" t="n">
        <v>44077</v>
      </c>
      <c r="C456" s="1" t="n">
        <v>45643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42804-2020</t>
        </is>
      </c>
      <c r="B457" s="1" t="n">
        <v>44078</v>
      </c>
      <c r="C457" s="1" t="n">
        <v>45643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44048-2020</t>
        </is>
      </c>
      <c r="B458" s="1" t="n">
        <v>44083</v>
      </c>
      <c r="C458" s="1" t="n">
        <v>45643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44038-2020</t>
        </is>
      </c>
      <c r="B459" s="1" t="n">
        <v>44083</v>
      </c>
      <c r="C459" s="1" t="n">
        <v>45643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44174-2020</t>
        </is>
      </c>
      <c r="B460" s="1" t="n">
        <v>44083</v>
      </c>
      <c r="C460" s="1" t="n">
        <v>45643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45115-2020</t>
        </is>
      </c>
      <c r="B461" s="1" t="n">
        <v>44083</v>
      </c>
      <c r="C461" s="1" t="n">
        <v>45643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44444-2020</t>
        </is>
      </c>
      <c r="B462" s="1" t="n">
        <v>44084</v>
      </c>
      <c r="C462" s="1" t="n">
        <v>45643</v>
      </c>
      <c r="D462" t="inlineStr">
        <is>
          <t>KALMAR LÄN</t>
        </is>
      </c>
      <c r="E462" t="inlineStr">
        <is>
          <t>NYBRO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44438-2020</t>
        </is>
      </c>
      <c r="B463" s="1" t="n">
        <v>44084</v>
      </c>
      <c r="C463" s="1" t="n">
        <v>45643</v>
      </c>
      <c r="D463" t="inlineStr">
        <is>
          <t>KALMAR LÄN</t>
        </is>
      </c>
      <c r="E463" t="inlineStr">
        <is>
          <t>NYBRO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44445-2020</t>
        </is>
      </c>
      <c r="B464" s="1" t="n">
        <v>44084</v>
      </c>
      <c r="C464" s="1" t="n">
        <v>45643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44441-2020</t>
        </is>
      </c>
      <c r="B465" s="1" t="n">
        <v>44084</v>
      </c>
      <c r="C465" s="1" t="n">
        <v>45643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45077-2020</t>
        </is>
      </c>
      <c r="B466" s="1" t="n">
        <v>44088</v>
      </c>
      <c r="C466" s="1" t="n">
        <v>45643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46106-2020</t>
        </is>
      </c>
      <c r="B467" s="1" t="n">
        <v>44088</v>
      </c>
      <c r="C467" s="1" t="n">
        <v>45643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45276-2020</t>
        </is>
      </c>
      <c r="B468" s="1" t="n">
        <v>44089</v>
      </c>
      <c r="C468" s="1" t="n">
        <v>45643</v>
      </c>
      <c r="D468" t="inlineStr">
        <is>
          <t>KALMAR LÄN</t>
        </is>
      </c>
      <c r="E468" t="inlineStr">
        <is>
          <t>NYBRO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46678-2020</t>
        </is>
      </c>
      <c r="B469" s="1" t="n">
        <v>44089</v>
      </c>
      <c r="C469" s="1" t="n">
        <v>45643</v>
      </c>
      <c r="D469" t="inlineStr">
        <is>
          <t>KALMAR LÄN</t>
        </is>
      </c>
      <c r="E469" t="inlineStr">
        <is>
          <t>NYBRO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46173-2020</t>
        </is>
      </c>
      <c r="B470" s="1" t="n">
        <v>44092</v>
      </c>
      <c r="C470" s="1" t="n">
        <v>45643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48119-2020</t>
        </is>
      </c>
      <c r="B471" s="1" t="n">
        <v>44102</v>
      </c>
      <c r="C471" s="1" t="n">
        <v>45643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49021-2020</t>
        </is>
      </c>
      <c r="B472" s="1" t="n">
        <v>44104</v>
      </c>
      <c r="C472" s="1" t="n">
        <v>45643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50355-2020</t>
        </is>
      </c>
      <c r="B473" s="1" t="n">
        <v>44110</v>
      </c>
      <c r="C473" s="1" t="n">
        <v>45643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52387-2020</t>
        </is>
      </c>
      <c r="B474" s="1" t="n">
        <v>44112</v>
      </c>
      <c r="C474" s="1" t="n">
        <v>45643</v>
      </c>
      <c r="D474" t="inlineStr">
        <is>
          <t>KALMAR LÄN</t>
        </is>
      </c>
      <c r="E474" t="inlineStr">
        <is>
          <t>NYBRO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53043-2020</t>
        </is>
      </c>
      <c r="B475" s="1" t="n">
        <v>44120</v>
      </c>
      <c r="C475" s="1" t="n">
        <v>45643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53089-2020</t>
        </is>
      </c>
      <c r="B476" s="1" t="n">
        <v>44120</v>
      </c>
      <c r="C476" s="1" t="n">
        <v>45643</v>
      </c>
      <c r="D476" t="inlineStr">
        <is>
          <t>KALMAR LÄN</t>
        </is>
      </c>
      <c r="E476" t="inlineStr">
        <is>
          <t>NYBRO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53158-2020</t>
        </is>
      </c>
      <c r="B477" s="1" t="n">
        <v>44120</v>
      </c>
      <c r="C477" s="1" t="n">
        <v>45643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53160-2020</t>
        </is>
      </c>
      <c r="B478" s="1" t="n">
        <v>44120</v>
      </c>
      <c r="C478" s="1" t="n">
        <v>45643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53222-2020</t>
        </is>
      </c>
      <c r="B479" s="1" t="n">
        <v>44123</v>
      </c>
      <c r="C479" s="1" t="n">
        <v>45643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54001-2020</t>
        </is>
      </c>
      <c r="B480" s="1" t="n">
        <v>44125</v>
      </c>
      <c r="C480" s="1" t="n">
        <v>45643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53924-2020</t>
        </is>
      </c>
      <c r="B481" s="1" t="n">
        <v>44125</v>
      </c>
      <c r="C481" s="1" t="n">
        <v>45643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55046-2020</t>
        </is>
      </c>
      <c r="B482" s="1" t="n">
        <v>44130</v>
      </c>
      <c r="C482" s="1" t="n">
        <v>45643</v>
      </c>
      <c r="D482" t="inlineStr">
        <is>
          <t>KALMAR LÄN</t>
        </is>
      </c>
      <c r="E482" t="inlineStr">
        <is>
          <t>NYBRO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55042-2020</t>
        </is>
      </c>
      <c r="B483" s="1" t="n">
        <v>44130</v>
      </c>
      <c r="C483" s="1" t="n">
        <v>45643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55455-2020</t>
        </is>
      </c>
      <c r="B484" s="1" t="n">
        <v>44131</v>
      </c>
      <c r="C484" s="1" t="n">
        <v>45643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56385-2020</t>
        </is>
      </c>
      <c r="B485" s="1" t="n">
        <v>44136</v>
      </c>
      <c r="C485" s="1" t="n">
        <v>45643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56551-2020</t>
        </is>
      </c>
      <c r="B486" s="1" t="n">
        <v>44137</v>
      </c>
      <c r="C486" s="1" t="n">
        <v>45643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56714-2020</t>
        </is>
      </c>
      <c r="B487" s="1" t="n">
        <v>44137</v>
      </c>
      <c r="C487" s="1" t="n">
        <v>45643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56987-2020</t>
        </is>
      </c>
      <c r="B488" s="1" t="n">
        <v>44137</v>
      </c>
      <c r="C488" s="1" t="n">
        <v>45643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56989-2020</t>
        </is>
      </c>
      <c r="B489" s="1" t="n">
        <v>44137</v>
      </c>
      <c r="C489" s="1" t="n">
        <v>45643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56841-2020</t>
        </is>
      </c>
      <c r="B490" s="1" t="n">
        <v>44138</v>
      </c>
      <c r="C490" s="1" t="n">
        <v>45643</v>
      </c>
      <c r="D490" t="inlineStr">
        <is>
          <t>KALMAR LÄN</t>
        </is>
      </c>
      <c r="E490" t="inlineStr">
        <is>
          <t>NYBRO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60381-2020</t>
        </is>
      </c>
      <c r="B491" s="1" t="n">
        <v>44152</v>
      </c>
      <c r="C491" s="1" t="n">
        <v>45643</v>
      </c>
      <c r="D491" t="inlineStr">
        <is>
          <t>KALMAR LÄN</t>
        </is>
      </c>
      <c r="E491" t="inlineStr">
        <is>
          <t>NYBRO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61570-2020</t>
        </is>
      </c>
      <c r="B492" s="1" t="n">
        <v>44158</v>
      </c>
      <c r="C492" s="1" t="n">
        <v>45643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62293-2020</t>
        </is>
      </c>
      <c r="B493" s="1" t="n">
        <v>44160</v>
      </c>
      <c r="C493" s="1" t="n">
        <v>45643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63414-2020</t>
        </is>
      </c>
      <c r="B494" s="1" t="n">
        <v>44160</v>
      </c>
      <c r="C494" s="1" t="n">
        <v>45643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62677-2020</t>
        </is>
      </c>
      <c r="B495" s="1" t="n">
        <v>44161</v>
      </c>
      <c r="C495" s="1" t="n">
        <v>45643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63257-2020</t>
        </is>
      </c>
      <c r="B496" s="1" t="n">
        <v>44164</v>
      </c>
      <c r="C496" s="1" t="n">
        <v>45643</v>
      </c>
      <c r="D496" t="inlineStr">
        <is>
          <t>KALMAR LÄN</t>
        </is>
      </c>
      <c r="E496" t="inlineStr">
        <is>
          <t>NYBRO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64514-2020</t>
        </is>
      </c>
      <c r="B497" s="1" t="n">
        <v>44169</v>
      </c>
      <c r="C497" s="1" t="n">
        <v>45643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64702-2020</t>
        </is>
      </c>
      <c r="B498" s="1" t="n">
        <v>44169</v>
      </c>
      <c r="C498" s="1" t="n">
        <v>45643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64909-2020</t>
        </is>
      </c>
      <c r="B499" s="1" t="n">
        <v>44172</v>
      </c>
      <c r="C499" s="1" t="n">
        <v>45643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65474-2020</t>
        </is>
      </c>
      <c r="B500" s="1" t="n">
        <v>44173</v>
      </c>
      <c r="C500" s="1" t="n">
        <v>45643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67047-2020</t>
        </is>
      </c>
      <c r="B501" s="1" t="n">
        <v>44179</v>
      </c>
      <c r="C501" s="1" t="n">
        <v>45643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67036-2020</t>
        </is>
      </c>
      <c r="B502" s="1" t="n">
        <v>44179</v>
      </c>
      <c r="C502" s="1" t="n">
        <v>45643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67220-2020</t>
        </is>
      </c>
      <c r="B503" s="1" t="n">
        <v>44180</v>
      </c>
      <c r="C503" s="1" t="n">
        <v>45643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68174-2020</t>
        </is>
      </c>
      <c r="B504" s="1" t="n">
        <v>44183</v>
      </c>
      <c r="C504" s="1" t="n">
        <v>45643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68459-2020</t>
        </is>
      </c>
      <c r="B505" s="1" t="n">
        <v>44183</v>
      </c>
      <c r="C505" s="1" t="n">
        <v>45643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68449-2020</t>
        </is>
      </c>
      <c r="B506" s="1" t="n">
        <v>44183</v>
      </c>
      <c r="C506" s="1" t="n">
        <v>45643</v>
      </c>
      <c r="D506" t="inlineStr">
        <is>
          <t>KALMAR LÄN</t>
        </is>
      </c>
      <c r="E506" t="inlineStr">
        <is>
          <t>NYBRO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68463-2020</t>
        </is>
      </c>
      <c r="B507" s="1" t="n">
        <v>44183</v>
      </c>
      <c r="C507" s="1" t="n">
        <v>45643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68392-2020</t>
        </is>
      </c>
      <c r="B508" s="1" t="n">
        <v>44186</v>
      </c>
      <c r="C508" s="1" t="n">
        <v>45643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68932-2020</t>
        </is>
      </c>
      <c r="B509" s="1" t="n">
        <v>44187</v>
      </c>
      <c r="C509" s="1" t="n">
        <v>45643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69544-2020</t>
        </is>
      </c>
      <c r="B510" s="1" t="n">
        <v>44194</v>
      </c>
      <c r="C510" s="1" t="n">
        <v>45643</v>
      </c>
      <c r="D510" t="inlineStr">
        <is>
          <t>KALMAR LÄN</t>
        </is>
      </c>
      <c r="E510" t="inlineStr">
        <is>
          <t>NYBRO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311-2021</t>
        </is>
      </c>
      <c r="B511" s="1" t="n">
        <v>44201</v>
      </c>
      <c r="C511" s="1" t="n">
        <v>45643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406-2021</t>
        </is>
      </c>
      <c r="B512" s="1" t="n">
        <v>44201</v>
      </c>
      <c r="C512" s="1" t="n">
        <v>45643</v>
      </c>
      <c r="D512" t="inlineStr">
        <is>
          <t>KALMAR LÄN</t>
        </is>
      </c>
      <c r="E512" t="inlineStr">
        <is>
          <t>NYBRO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405-2021</t>
        </is>
      </c>
      <c r="B513" s="1" t="n">
        <v>44201</v>
      </c>
      <c r="C513" s="1" t="n">
        <v>45643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1105-2021</t>
        </is>
      </c>
      <c r="B514" s="1" t="n">
        <v>44207</v>
      </c>
      <c r="C514" s="1" t="n">
        <v>45643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1372-2021</t>
        </is>
      </c>
      <c r="B515" s="1" t="n">
        <v>44208</v>
      </c>
      <c r="C515" s="1" t="n">
        <v>45643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1681-2021</t>
        </is>
      </c>
      <c r="B516" s="1" t="n">
        <v>44209</v>
      </c>
      <c r="C516" s="1" t="n">
        <v>45643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2206-2021</t>
        </is>
      </c>
      <c r="B517" s="1" t="n">
        <v>44211</v>
      </c>
      <c r="C517" s="1" t="n">
        <v>45643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3241-2021</t>
        </is>
      </c>
      <c r="B518" s="1" t="n">
        <v>44217</v>
      </c>
      <c r="C518" s="1" t="n">
        <v>45643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3290-2021</t>
        </is>
      </c>
      <c r="B519" s="1" t="n">
        <v>44217</v>
      </c>
      <c r="C519" s="1" t="n">
        <v>45643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3236-2021</t>
        </is>
      </c>
      <c r="B520" s="1" t="n">
        <v>44217</v>
      </c>
      <c r="C520" s="1" t="n">
        <v>45643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3471-2021</t>
        </is>
      </c>
      <c r="B521" s="1" t="n">
        <v>44218</v>
      </c>
      <c r="C521" s="1" t="n">
        <v>45643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4011-2021</t>
        </is>
      </c>
      <c r="B522" s="1" t="n">
        <v>44222</v>
      </c>
      <c r="C522" s="1" t="n">
        <v>45643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4398-2021</t>
        </is>
      </c>
      <c r="B523" s="1" t="n">
        <v>44223</v>
      </c>
      <c r="C523" s="1" t="n">
        <v>45643</v>
      </c>
      <c r="D523" t="inlineStr">
        <is>
          <t>KALMAR LÄN</t>
        </is>
      </c>
      <c r="E523" t="inlineStr">
        <is>
          <t>NYBRO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4378-2021</t>
        </is>
      </c>
      <c r="B524" s="1" t="n">
        <v>44223</v>
      </c>
      <c r="C524" s="1" t="n">
        <v>45643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4401-2021</t>
        </is>
      </c>
      <c r="B525" s="1" t="n">
        <v>44223</v>
      </c>
      <c r="C525" s="1" t="n">
        <v>45643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4523-2021</t>
        </is>
      </c>
      <c r="B526" s="1" t="n">
        <v>44224</v>
      </c>
      <c r="C526" s="1" t="n">
        <v>45643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4514-2021</t>
        </is>
      </c>
      <c r="B527" s="1" t="n">
        <v>44224</v>
      </c>
      <c r="C527" s="1" t="n">
        <v>45643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4714-2021</t>
        </is>
      </c>
      <c r="B528" s="1" t="n">
        <v>44225</v>
      </c>
      <c r="C528" s="1" t="n">
        <v>45643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4872-2021</t>
        </is>
      </c>
      <c r="B529" s="1" t="n">
        <v>44225</v>
      </c>
      <c r="C529" s="1" t="n">
        <v>45643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5709-2021</t>
        </is>
      </c>
      <c r="B530" s="1" t="n">
        <v>44230</v>
      </c>
      <c r="C530" s="1" t="n">
        <v>45643</v>
      </c>
      <c r="D530" t="inlineStr">
        <is>
          <t>KALMAR LÄN</t>
        </is>
      </c>
      <c r="E530" t="inlineStr">
        <is>
          <t>NYBRO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5940-2021</t>
        </is>
      </c>
      <c r="B531" s="1" t="n">
        <v>44231</v>
      </c>
      <c r="C531" s="1" t="n">
        <v>45643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5925-2021</t>
        </is>
      </c>
      <c r="B532" s="1" t="n">
        <v>44231</v>
      </c>
      <c r="C532" s="1" t="n">
        <v>45643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6660-2021</t>
        </is>
      </c>
      <c r="B533" s="1" t="n">
        <v>44236</v>
      </c>
      <c r="C533" s="1" t="n">
        <v>45643</v>
      </c>
      <c r="D533" t="inlineStr">
        <is>
          <t>KALMAR LÄN</t>
        </is>
      </c>
      <c r="E533" t="inlineStr">
        <is>
          <t>NYBRO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6672-2021</t>
        </is>
      </c>
      <c r="B534" s="1" t="n">
        <v>44236</v>
      </c>
      <c r="C534" s="1" t="n">
        <v>45643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6759-2021</t>
        </is>
      </c>
      <c r="B535" s="1" t="n">
        <v>44236</v>
      </c>
      <c r="C535" s="1" t="n">
        <v>45643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7891-2021</t>
        </is>
      </c>
      <c r="B536" s="1" t="n">
        <v>44243</v>
      </c>
      <c r="C536" s="1" t="n">
        <v>45643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8010-2021</t>
        </is>
      </c>
      <c r="B537" s="1" t="n">
        <v>44243</v>
      </c>
      <c r="C537" s="1" t="n">
        <v>45643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8460-2021</t>
        </is>
      </c>
      <c r="B538" s="1" t="n">
        <v>44245</v>
      </c>
      <c r="C538" s="1" t="n">
        <v>45643</v>
      </c>
      <c r="D538" t="inlineStr">
        <is>
          <t>KALMAR LÄN</t>
        </is>
      </c>
      <c r="E538" t="inlineStr">
        <is>
          <t>NYBRO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8816-2021</t>
        </is>
      </c>
      <c r="B539" s="1" t="n">
        <v>44246</v>
      </c>
      <c r="C539" s="1" t="n">
        <v>45643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8814-2021</t>
        </is>
      </c>
      <c r="B540" s="1" t="n">
        <v>44246</v>
      </c>
      <c r="C540" s="1" t="n">
        <v>45643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8989-2021</t>
        </is>
      </c>
      <c r="B541" s="1" t="n">
        <v>44249</v>
      </c>
      <c r="C541" s="1" t="n">
        <v>45643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8996-2021</t>
        </is>
      </c>
      <c r="B542" s="1" t="n">
        <v>44249</v>
      </c>
      <c r="C542" s="1" t="n">
        <v>45643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9299-2021</t>
        </is>
      </c>
      <c r="B543" s="1" t="n">
        <v>44250</v>
      </c>
      <c r="C543" s="1" t="n">
        <v>45643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9337-2021</t>
        </is>
      </c>
      <c r="B544" s="1" t="n">
        <v>44250</v>
      </c>
      <c r="C544" s="1" t="n">
        <v>45643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10015-2021</t>
        </is>
      </c>
      <c r="B545" s="1" t="n">
        <v>44256</v>
      </c>
      <c r="C545" s="1" t="n">
        <v>45643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10831-2021</t>
        </is>
      </c>
      <c r="B546" s="1" t="n">
        <v>44259</v>
      </c>
      <c r="C546" s="1" t="n">
        <v>45643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11146-2021</t>
        </is>
      </c>
      <c r="B547" s="1" t="n">
        <v>44261</v>
      </c>
      <c r="C547" s="1" t="n">
        <v>45643</v>
      </c>
      <c r="D547" t="inlineStr">
        <is>
          <t>KALMAR LÄN</t>
        </is>
      </c>
      <c r="E547" t="inlineStr">
        <is>
          <t>NYBRO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11489-2021</t>
        </is>
      </c>
      <c r="B548" s="1" t="n">
        <v>44264</v>
      </c>
      <c r="C548" s="1" t="n">
        <v>45643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12217-2021</t>
        </is>
      </c>
      <c r="B549" s="1" t="n">
        <v>44266</v>
      </c>
      <c r="C549" s="1" t="n">
        <v>45643</v>
      </c>
      <c r="D549" t="inlineStr">
        <is>
          <t>KALMAR LÄN</t>
        </is>
      </c>
      <c r="E549" t="inlineStr">
        <is>
          <t>NYBRO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12288-2021</t>
        </is>
      </c>
      <c r="B550" s="1" t="n">
        <v>44267</v>
      </c>
      <c r="C550" s="1" t="n">
        <v>45643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12724-2021</t>
        </is>
      </c>
      <c r="B551" s="1" t="n">
        <v>44270</v>
      </c>
      <c r="C551" s="1" t="n">
        <v>45643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12566-2021</t>
        </is>
      </c>
      <c r="B552" s="1" t="n">
        <v>44270</v>
      </c>
      <c r="C552" s="1" t="n">
        <v>45643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12921-2021</t>
        </is>
      </c>
      <c r="B553" s="1" t="n">
        <v>44271</v>
      </c>
      <c r="C553" s="1" t="n">
        <v>45643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13064-2021</t>
        </is>
      </c>
      <c r="B554" s="1" t="n">
        <v>44272</v>
      </c>
      <c r="C554" s="1" t="n">
        <v>45643</v>
      </c>
      <c r="D554" t="inlineStr">
        <is>
          <t>KALMAR LÄN</t>
        </is>
      </c>
      <c r="E554" t="inlineStr">
        <is>
          <t>NYBRO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13766-2021</t>
        </is>
      </c>
      <c r="B555" s="1" t="n">
        <v>44274</v>
      </c>
      <c r="C555" s="1" t="n">
        <v>45643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13803-2021</t>
        </is>
      </c>
      <c r="B556" s="1" t="n">
        <v>44275</v>
      </c>
      <c r="C556" s="1" t="n">
        <v>45643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45643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14245-2021</t>
        </is>
      </c>
      <c r="B558" s="1" t="n">
        <v>44278</v>
      </c>
      <c r="C558" s="1" t="n">
        <v>45643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14394-2021</t>
        </is>
      </c>
      <c r="B559" s="1" t="n">
        <v>44279</v>
      </c>
      <c r="C559" s="1" t="n">
        <v>45643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15217-2021</t>
        </is>
      </c>
      <c r="B560" s="1" t="n">
        <v>44284</v>
      </c>
      <c r="C560" s="1" t="n">
        <v>45643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15439-2021</t>
        </is>
      </c>
      <c r="B561" s="1" t="n">
        <v>44285</v>
      </c>
      <c r="C561" s="1" t="n">
        <v>45643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16738-2021</t>
        </is>
      </c>
      <c r="B562" s="1" t="n">
        <v>44294</v>
      </c>
      <c r="C562" s="1" t="n">
        <v>45643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16957-2021</t>
        </is>
      </c>
      <c r="B563" s="1" t="n">
        <v>44295</v>
      </c>
      <c r="C563" s="1" t="n">
        <v>45643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17065-2021</t>
        </is>
      </c>
      <c r="B564" s="1" t="n">
        <v>44297</v>
      </c>
      <c r="C564" s="1" t="n">
        <v>45643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17099-2021</t>
        </is>
      </c>
      <c r="B565" s="1" t="n">
        <v>44298</v>
      </c>
      <c r="C565" s="1" t="n">
        <v>45643</v>
      </c>
      <c r="D565" t="inlineStr">
        <is>
          <t>KALMAR LÄN</t>
        </is>
      </c>
      <c r="E565" t="inlineStr">
        <is>
          <t>NYBRO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17560-2021</t>
        </is>
      </c>
      <c r="B566" s="1" t="n">
        <v>44299</v>
      </c>
      <c r="C566" s="1" t="n">
        <v>45643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17641-2021</t>
        </is>
      </c>
      <c r="B567" s="1" t="n">
        <v>44300</v>
      </c>
      <c r="C567" s="1" t="n">
        <v>45643</v>
      </c>
      <c r="D567" t="inlineStr">
        <is>
          <t>KALMAR LÄN</t>
        </is>
      </c>
      <c r="E567" t="inlineStr">
        <is>
          <t>NYBRO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17653-2021</t>
        </is>
      </c>
      <c r="B568" s="1" t="n">
        <v>44300</v>
      </c>
      <c r="C568" s="1" t="n">
        <v>45643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17725-2021</t>
        </is>
      </c>
      <c r="B569" s="1" t="n">
        <v>44300</v>
      </c>
      <c r="C569" s="1" t="n">
        <v>45643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18241-2021</t>
        </is>
      </c>
      <c r="B570" s="1" t="n">
        <v>44302</v>
      </c>
      <c r="C570" s="1" t="n">
        <v>45643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18163-2021</t>
        </is>
      </c>
      <c r="B571" s="1" t="n">
        <v>44302</v>
      </c>
      <c r="C571" s="1" t="n">
        <v>45643</v>
      </c>
      <c r="D571" t="inlineStr">
        <is>
          <t>KALMAR LÄN</t>
        </is>
      </c>
      <c r="E571" t="inlineStr">
        <is>
          <t>NYBRO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18475-2021</t>
        </is>
      </c>
      <c r="B572" s="1" t="n">
        <v>44306</v>
      </c>
      <c r="C572" s="1" t="n">
        <v>45643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18727-2021</t>
        </is>
      </c>
      <c r="B573" s="1" t="n">
        <v>44307</v>
      </c>
      <c r="C573" s="1" t="n">
        <v>45643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18966-2021</t>
        </is>
      </c>
      <c r="B574" s="1" t="n">
        <v>44308</v>
      </c>
      <c r="C574" s="1" t="n">
        <v>45643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19573-2021</t>
        </is>
      </c>
      <c r="B575" s="1" t="n">
        <v>44312</v>
      </c>
      <c r="C575" s="1" t="n">
        <v>45643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20214-2021</t>
        </is>
      </c>
      <c r="B576" s="1" t="n">
        <v>44314</v>
      </c>
      <c r="C576" s="1" t="n">
        <v>45643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20461-2021</t>
        </is>
      </c>
      <c r="B577" s="1" t="n">
        <v>44315</v>
      </c>
      <c r="C577" s="1" t="n">
        <v>45643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20491-2021</t>
        </is>
      </c>
      <c r="B578" s="1" t="n">
        <v>44315</v>
      </c>
      <c r="C578" s="1" t="n">
        <v>45643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20828-2021</t>
        </is>
      </c>
      <c r="B579" s="1" t="n">
        <v>44318</v>
      </c>
      <c r="C579" s="1" t="n">
        <v>45643</v>
      </c>
      <c r="D579" t="inlineStr">
        <is>
          <t>KALMAR LÄN</t>
        </is>
      </c>
      <c r="E579" t="inlineStr">
        <is>
          <t>NYBRO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21109-2021</t>
        </is>
      </c>
      <c r="B580" s="1" t="n">
        <v>44320</v>
      </c>
      <c r="C580" s="1" t="n">
        <v>45643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21217-2021</t>
        </is>
      </c>
      <c r="B581" s="1" t="n">
        <v>44320</v>
      </c>
      <c r="C581" s="1" t="n">
        <v>45643</v>
      </c>
      <c r="D581" t="inlineStr">
        <is>
          <t>KALMAR LÄN</t>
        </is>
      </c>
      <c r="E581" t="inlineStr">
        <is>
          <t>NYBRO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21322-2021</t>
        </is>
      </c>
      <c r="B582" s="1" t="n">
        <v>44320</v>
      </c>
      <c r="C582" s="1" t="n">
        <v>45643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21372-2021</t>
        </is>
      </c>
      <c r="B583" s="1" t="n">
        <v>44321</v>
      </c>
      <c r="C583" s="1" t="n">
        <v>45643</v>
      </c>
      <c r="D583" t="inlineStr">
        <is>
          <t>KALMAR LÄN</t>
        </is>
      </c>
      <c r="E583" t="inlineStr">
        <is>
          <t>NYBRO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22274-2021</t>
        </is>
      </c>
      <c r="B584" s="1" t="n">
        <v>44322</v>
      </c>
      <c r="C584" s="1" t="n">
        <v>45643</v>
      </c>
      <c r="D584" t="inlineStr">
        <is>
          <t>KALMAR LÄN</t>
        </is>
      </c>
      <c r="E584" t="inlineStr">
        <is>
          <t>NYBRO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21979-2021</t>
        </is>
      </c>
      <c r="B585" s="1" t="n">
        <v>44323</v>
      </c>
      <c r="C585" s="1" t="n">
        <v>45643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22913-2021</t>
        </is>
      </c>
      <c r="B586" s="1" t="n">
        <v>44328</v>
      </c>
      <c r="C586" s="1" t="n">
        <v>45643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23178-2021</t>
        </is>
      </c>
      <c r="B587" s="1" t="n">
        <v>44333</v>
      </c>
      <c r="C587" s="1" t="n">
        <v>45643</v>
      </c>
      <c r="D587" t="inlineStr">
        <is>
          <t>KALMAR LÄN</t>
        </is>
      </c>
      <c r="E587" t="inlineStr">
        <is>
          <t>NYBRO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</v>
      </c>
      <c r="C588" s="1" t="n">
        <v>45643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23398-2021</t>
        </is>
      </c>
      <c r="B589" s="1" t="n">
        <v>44333</v>
      </c>
      <c r="C589" s="1" t="n">
        <v>45643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23507-2021</t>
        </is>
      </c>
      <c r="B590" s="1" t="n">
        <v>44334</v>
      </c>
      <c r="C590" s="1" t="n">
        <v>45643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45643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24643-2021</t>
        </is>
      </c>
      <c r="B592" s="1" t="n">
        <v>44340</v>
      </c>
      <c r="C592" s="1" t="n">
        <v>45643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24736-2021</t>
        </is>
      </c>
      <c r="B593" s="1" t="n">
        <v>44340</v>
      </c>
      <c r="C593" s="1" t="n">
        <v>45643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24638-2021</t>
        </is>
      </c>
      <c r="B594" s="1" t="n">
        <v>44340</v>
      </c>
      <c r="C594" s="1" t="n">
        <v>45643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24640-2021</t>
        </is>
      </c>
      <c r="B595" s="1" t="n">
        <v>44340</v>
      </c>
      <c r="C595" s="1" t="n">
        <v>45643</v>
      </c>
      <c r="D595" t="inlineStr">
        <is>
          <t>KALMAR LÄN</t>
        </is>
      </c>
      <c r="E595" t="inlineStr">
        <is>
          <t>NYBRO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25426-2021</t>
        </is>
      </c>
      <c r="B596" s="1" t="n">
        <v>44342</v>
      </c>
      <c r="C596" s="1" t="n">
        <v>45643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25433-2021</t>
        </is>
      </c>
      <c r="B597" s="1" t="n">
        <v>44342</v>
      </c>
      <c r="C597" s="1" t="n">
        <v>45643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26176-2021</t>
        </is>
      </c>
      <c r="B598" s="1" t="n">
        <v>44347</v>
      </c>
      <c r="C598" s="1" t="n">
        <v>45643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26271-2021</t>
        </is>
      </c>
      <c r="B599" s="1" t="n">
        <v>44347</v>
      </c>
      <c r="C599" s="1" t="n">
        <v>45643</v>
      </c>
      <c r="D599" t="inlineStr">
        <is>
          <t>KALMAR LÄN</t>
        </is>
      </c>
      <c r="E599" t="inlineStr">
        <is>
          <t>NYBRO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26578-2021</t>
        </is>
      </c>
      <c r="B600" s="1" t="n">
        <v>44348</v>
      </c>
      <c r="C600" s="1" t="n">
        <v>45643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27354-2021</t>
        </is>
      </c>
      <c r="B601" s="1" t="n">
        <v>44351</v>
      </c>
      <c r="C601" s="1" t="n">
        <v>45643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27357-2021</t>
        </is>
      </c>
      <c r="B602" s="1" t="n">
        <v>44351</v>
      </c>
      <c r="C602" s="1" t="n">
        <v>45643</v>
      </c>
      <c r="D602" t="inlineStr">
        <is>
          <t>KALMAR LÄN</t>
        </is>
      </c>
      <c r="E602" t="inlineStr">
        <is>
          <t>NYBRO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27526-2021</t>
        </is>
      </c>
      <c r="B603" s="1" t="n">
        <v>44351</v>
      </c>
      <c r="C603" s="1" t="n">
        <v>45643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28069-2021</t>
        </is>
      </c>
      <c r="B604" s="1" t="n">
        <v>44355</v>
      </c>
      <c r="C604" s="1" t="n">
        <v>45643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29703-2021</t>
        </is>
      </c>
      <c r="B605" s="1" t="n">
        <v>44362</v>
      </c>
      <c r="C605" s="1" t="n">
        <v>45643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29737-2021</t>
        </is>
      </c>
      <c r="B606" s="1" t="n">
        <v>44362</v>
      </c>
      <c r="C606" s="1" t="n">
        <v>45643</v>
      </c>
      <c r="D606" t="inlineStr">
        <is>
          <t>KALMAR LÄN</t>
        </is>
      </c>
      <c r="E606" t="inlineStr">
        <is>
          <t>NYBRO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29747-2021</t>
        </is>
      </c>
      <c r="B607" s="1" t="n">
        <v>44362</v>
      </c>
      <c r="C607" s="1" t="n">
        <v>45643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29826-2021</t>
        </is>
      </c>
      <c r="B608" s="1" t="n">
        <v>44362</v>
      </c>
      <c r="C608" s="1" t="n">
        <v>45643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30238-2021</t>
        </is>
      </c>
      <c r="B609" s="1" t="n">
        <v>44363</v>
      </c>
      <c r="C609" s="1" t="n">
        <v>45643</v>
      </c>
      <c r="D609" t="inlineStr">
        <is>
          <t>KALMAR LÄN</t>
        </is>
      </c>
      <c r="E609" t="inlineStr">
        <is>
          <t>NYBRO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30243-2021</t>
        </is>
      </c>
      <c r="B610" s="1" t="n">
        <v>44363</v>
      </c>
      <c r="C610" s="1" t="n">
        <v>45643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30242-2021</t>
        </is>
      </c>
      <c r="B611" s="1" t="n">
        <v>44363</v>
      </c>
      <c r="C611" s="1" t="n">
        <v>45643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30240-2021</t>
        </is>
      </c>
      <c r="B612" s="1" t="n">
        <v>44363</v>
      </c>
      <c r="C612" s="1" t="n">
        <v>45643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30547-2021</t>
        </is>
      </c>
      <c r="B613" s="1" t="n">
        <v>44364</v>
      </c>
      <c r="C613" s="1" t="n">
        <v>45643</v>
      </c>
      <c r="D613" t="inlineStr">
        <is>
          <t>KALMAR LÄN</t>
        </is>
      </c>
      <c r="E613" t="inlineStr">
        <is>
          <t>NYBRO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30617-2021</t>
        </is>
      </c>
      <c r="B614" s="1" t="n">
        <v>44364</v>
      </c>
      <c r="C614" s="1" t="n">
        <v>45643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30600-2021</t>
        </is>
      </c>
      <c r="B615" s="1" t="n">
        <v>44365</v>
      </c>
      <c r="C615" s="1" t="n">
        <v>45643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30703-2021</t>
        </is>
      </c>
      <c r="B616" s="1" t="n">
        <v>44365</v>
      </c>
      <c r="C616" s="1" t="n">
        <v>45643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30736-2021</t>
        </is>
      </c>
      <c r="B617" s="1" t="n">
        <v>44365</v>
      </c>
      <c r="C617" s="1" t="n">
        <v>45643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30707-2021</t>
        </is>
      </c>
      <c r="B618" s="1" t="n">
        <v>44365</v>
      </c>
      <c r="C618" s="1" t="n">
        <v>45643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30697-2021</t>
        </is>
      </c>
      <c r="B619" s="1" t="n">
        <v>44365</v>
      </c>
      <c r="C619" s="1" t="n">
        <v>45643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30714-2021</t>
        </is>
      </c>
      <c r="B620" s="1" t="n">
        <v>44365</v>
      </c>
      <c r="C620" s="1" t="n">
        <v>45643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31081-2021</t>
        </is>
      </c>
      <c r="B621" s="1" t="n">
        <v>44368</v>
      </c>
      <c r="C621" s="1" t="n">
        <v>45643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31084-2021</t>
        </is>
      </c>
      <c r="B622" s="1" t="n">
        <v>44368</v>
      </c>
      <c r="C622" s="1" t="n">
        <v>45643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31095-2021</t>
        </is>
      </c>
      <c r="B623" s="1" t="n">
        <v>44368</v>
      </c>
      <c r="C623" s="1" t="n">
        <v>45643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31107-2021</t>
        </is>
      </c>
      <c r="B624" s="1" t="n">
        <v>44368</v>
      </c>
      <c r="C624" s="1" t="n">
        <v>45643</v>
      </c>
      <c r="D624" t="inlineStr">
        <is>
          <t>KALMAR LÄN</t>
        </is>
      </c>
      <c r="E624" t="inlineStr">
        <is>
          <t>NYBRO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31076-2021</t>
        </is>
      </c>
      <c r="B625" s="1" t="n">
        <v>44368</v>
      </c>
      <c r="C625" s="1" t="n">
        <v>45643</v>
      </c>
      <c r="D625" t="inlineStr">
        <is>
          <t>KALMAR LÄN</t>
        </is>
      </c>
      <c r="E625" t="inlineStr">
        <is>
          <t>NYBRO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31410-2021</t>
        </is>
      </c>
      <c r="B626" s="1" t="n">
        <v>44369</v>
      </c>
      <c r="C626" s="1" t="n">
        <v>45643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31499-2021</t>
        </is>
      </c>
      <c r="B627" s="1" t="n">
        <v>44369</v>
      </c>
      <c r="C627" s="1" t="n">
        <v>45643</v>
      </c>
      <c r="D627" t="inlineStr">
        <is>
          <t>KALMAR LÄN</t>
        </is>
      </c>
      <c r="E627" t="inlineStr">
        <is>
          <t>NYBRO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31762-2021</t>
        </is>
      </c>
      <c r="B628" s="1" t="n">
        <v>44370</v>
      </c>
      <c r="C628" s="1" t="n">
        <v>45643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32026-2021</t>
        </is>
      </c>
      <c r="B629" s="1" t="n">
        <v>44370</v>
      </c>
      <c r="C629" s="1" t="n">
        <v>45643</v>
      </c>
      <c r="D629" t="inlineStr">
        <is>
          <t>KALMAR LÄN</t>
        </is>
      </c>
      <c r="E629" t="inlineStr">
        <is>
          <t>NYBRO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32609-2021</t>
        </is>
      </c>
      <c r="B630" s="1" t="n">
        <v>44375</v>
      </c>
      <c r="C630" s="1" t="n">
        <v>45643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32627-2021</t>
        </is>
      </c>
      <c r="B631" s="1" t="n">
        <v>44375</v>
      </c>
      <c r="C631" s="1" t="n">
        <v>45643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32927-2021</t>
        </is>
      </c>
      <c r="B632" s="1" t="n">
        <v>44375</v>
      </c>
      <c r="C632" s="1" t="n">
        <v>45643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32936-2021</t>
        </is>
      </c>
      <c r="B633" s="1" t="n">
        <v>44375</v>
      </c>
      <c r="C633" s="1" t="n">
        <v>45643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33010-2021</t>
        </is>
      </c>
      <c r="B634" s="1" t="n">
        <v>44376</v>
      </c>
      <c r="C634" s="1" t="n">
        <v>45643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33017-2021</t>
        </is>
      </c>
      <c r="B635" s="1" t="n">
        <v>44376</v>
      </c>
      <c r="C635" s="1" t="n">
        <v>45643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33308-2021</t>
        </is>
      </c>
      <c r="B636" s="1" t="n">
        <v>44376</v>
      </c>
      <c r="C636" s="1" t="n">
        <v>45643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33589-2021</t>
        </is>
      </c>
      <c r="B637" s="1" t="n">
        <v>44378</v>
      </c>
      <c r="C637" s="1" t="n">
        <v>45643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33588-2021</t>
        </is>
      </c>
      <c r="B638" s="1" t="n">
        <v>44378</v>
      </c>
      <c r="C638" s="1" t="n">
        <v>45643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33856-2021</t>
        </is>
      </c>
      <c r="B639" s="1" t="n">
        <v>44378</v>
      </c>
      <c r="C639" s="1" t="n">
        <v>45643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34025-2021</t>
        </is>
      </c>
      <c r="B640" s="1" t="n">
        <v>44379</v>
      </c>
      <c r="C640" s="1" t="n">
        <v>45643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34154-2021</t>
        </is>
      </c>
      <c r="B641" s="1" t="n">
        <v>44379</v>
      </c>
      <c r="C641" s="1" t="n">
        <v>45643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45643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34847-2021</t>
        </is>
      </c>
      <c r="B643" s="1" t="n">
        <v>44383</v>
      </c>
      <c r="C643" s="1" t="n">
        <v>45643</v>
      </c>
      <c r="D643" t="inlineStr">
        <is>
          <t>KALMAR LÄN</t>
        </is>
      </c>
      <c r="E643" t="inlineStr">
        <is>
          <t>NYBRO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35332-2021</t>
        </is>
      </c>
      <c r="B644" s="1" t="n">
        <v>44384</v>
      </c>
      <c r="C644" s="1" t="n">
        <v>45643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35402-2021</t>
        </is>
      </c>
      <c r="B645" s="1" t="n">
        <v>44385</v>
      </c>
      <c r="C645" s="1" t="n">
        <v>45643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35706-2021</t>
        </is>
      </c>
      <c r="B646" s="1" t="n">
        <v>44386</v>
      </c>
      <c r="C646" s="1" t="n">
        <v>45643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35752-2021</t>
        </is>
      </c>
      <c r="B647" s="1" t="n">
        <v>44386</v>
      </c>
      <c r="C647" s="1" t="n">
        <v>45643</v>
      </c>
      <c r="D647" t="inlineStr">
        <is>
          <t>KALMAR LÄN</t>
        </is>
      </c>
      <c r="E647" t="inlineStr">
        <is>
          <t>NYBRO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</v>
      </c>
      <c r="C648" s="1" t="n">
        <v>45643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36383-2021</t>
        </is>
      </c>
      <c r="B649" s="1" t="n">
        <v>44390</v>
      </c>
      <c r="C649" s="1" t="n">
        <v>45643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36785-2021</t>
        </is>
      </c>
      <c r="B650" s="1" t="n">
        <v>44392</v>
      </c>
      <c r="C650" s="1" t="n">
        <v>45643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36782-2021</t>
        </is>
      </c>
      <c r="B651" s="1" t="n">
        <v>44392</v>
      </c>
      <c r="C651" s="1" t="n">
        <v>45643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36787-2021</t>
        </is>
      </c>
      <c r="B652" s="1" t="n">
        <v>44392</v>
      </c>
      <c r="C652" s="1" t="n">
        <v>45643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38442-2021</t>
        </is>
      </c>
      <c r="B653" s="1" t="n">
        <v>44407</v>
      </c>
      <c r="C653" s="1" t="n">
        <v>45643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38451-2021</t>
        </is>
      </c>
      <c r="B654" s="1" t="n">
        <v>44407</v>
      </c>
      <c r="C654" s="1" t="n">
        <v>45643</v>
      </c>
      <c r="D654" t="inlineStr">
        <is>
          <t>KALMAR LÄN</t>
        </is>
      </c>
      <c r="E654" t="inlineStr">
        <is>
          <t>NYBRO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38461-2021</t>
        </is>
      </c>
      <c r="B655" s="1" t="n">
        <v>44407</v>
      </c>
      <c r="C655" s="1" t="n">
        <v>45643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38441-2021</t>
        </is>
      </c>
      <c r="B656" s="1" t="n">
        <v>44407</v>
      </c>
      <c r="C656" s="1" t="n">
        <v>45643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38448-2021</t>
        </is>
      </c>
      <c r="B657" s="1" t="n">
        <v>44407</v>
      </c>
      <c r="C657" s="1" t="n">
        <v>45643</v>
      </c>
      <c r="D657" t="inlineStr">
        <is>
          <t>KALMAR LÄN</t>
        </is>
      </c>
      <c r="E657" t="inlineStr">
        <is>
          <t>NYBRO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38460-2021</t>
        </is>
      </c>
      <c r="B658" s="1" t="n">
        <v>44407</v>
      </c>
      <c r="C658" s="1" t="n">
        <v>45643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38446-2021</t>
        </is>
      </c>
      <c r="B659" s="1" t="n">
        <v>44407</v>
      </c>
      <c r="C659" s="1" t="n">
        <v>45643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38444-2021</t>
        </is>
      </c>
      <c r="B660" s="1" t="n">
        <v>44407</v>
      </c>
      <c r="C660" s="1" t="n">
        <v>45643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38452-2021</t>
        </is>
      </c>
      <c r="B661" s="1" t="n">
        <v>44407</v>
      </c>
      <c r="C661" s="1" t="n">
        <v>45643</v>
      </c>
      <c r="D661" t="inlineStr">
        <is>
          <t>KALMAR LÄN</t>
        </is>
      </c>
      <c r="E661" t="inlineStr">
        <is>
          <t>NYBRO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38457-2021</t>
        </is>
      </c>
      <c r="B662" s="1" t="n">
        <v>44407</v>
      </c>
      <c r="C662" s="1" t="n">
        <v>45643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38462-2021</t>
        </is>
      </c>
      <c r="B663" s="1" t="n">
        <v>44407</v>
      </c>
      <c r="C663" s="1" t="n">
        <v>45643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38459-2021</t>
        </is>
      </c>
      <c r="B664" s="1" t="n">
        <v>44407</v>
      </c>
      <c r="C664" s="1" t="n">
        <v>45643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38628-2021</t>
        </is>
      </c>
      <c r="B665" s="1" t="n">
        <v>44409</v>
      </c>
      <c r="C665" s="1" t="n">
        <v>45643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38976-2021</t>
        </is>
      </c>
      <c r="B666" s="1" t="n">
        <v>44412</v>
      </c>
      <c r="C666" s="1" t="n">
        <v>45643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40017-2021</t>
        </is>
      </c>
      <c r="B667" s="1" t="n">
        <v>44418</v>
      </c>
      <c r="C667" s="1" t="n">
        <v>45643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40086-2021</t>
        </is>
      </c>
      <c r="B668" s="1" t="n">
        <v>44418</v>
      </c>
      <c r="C668" s="1" t="n">
        <v>45643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45643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40376-2021</t>
        </is>
      </c>
      <c r="B670" s="1" t="n">
        <v>44419</v>
      </c>
      <c r="C670" s="1" t="n">
        <v>45643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40375-2021</t>
        </is>
      </c>
      <c r="B671" s="1" t="n">
        <v>44419</v>
      </c>
      <c r="C671" s="1" t="n">
        <v>45643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40786-2021</t>
        </is>
      </c>
      <c r="B672" s="1" t="n">
        <v>44421</v>
      </c>
      <c r="C672" s="1" t="n">
        <v>45643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45643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42955-2021</t>
        </is>
      </c>
      <c r="B674" s="1" t="n">
        <v>44431</v>
      </c>
      <c r="C674" s="1" t="n">
        <v>45643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46526-2021</t>
        </is>
      </c>
      <c r="B675" s="1" t="n">
        <v>44445</v>
      </c>
      <c r="C675" s="1" t="n">
        <v>45643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47612-2021</t>
        </is>
      </c>
      <c r="B676" s="1" t="n">
        <v>44448</v>
      </c>
      <c r="C676" s="1" t="n">
        <v>45643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48217-2021</t>
        </is>
      </c>
      <c r="B677" s="1" t="n">
        <v>44449</v>
      </c>
      <c r="C677" s="1" t="n">
        <v>45643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48227-2021</t>
        </is>
      </c>
      <c r="B678" s="1" t="n">
        <v>44449</v>
      </c>
      <c r="C678" s="1" t="n">
        <v>45643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48194-2021</t>
        </is>
      </c>
      <c r="B679" s="1" t="n">
        <v>44449</v>
      </c>
      <c r="C679" s="1" t="n">
        <v>45643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48215-2021</t>
        </is>
      </c>
      <c r="B680" s="1" t="n">
        <v>44449</v>
      </c>
      <c r="C680" s="1" t="n">
        <v>45643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48226-2021</t>
        </is>
      </c>
      <c r="B681" s="1" t="n">
        <v>44449</v>
      </c>
      <c r="C681" s="1" t="n">
        <v>45643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48219-2021</t>
        </is>
      </c>
      <c r="B682" s="1" t="n">
        <v>44449</v>
      </c>
      <c r="C682" s="1" t="n">
        <v>45643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45643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51049-2021</t>
        </is>
      </c>
      <c r="B684" s="1" t="n">
        <v>44459</v>
      </c>
      <c r="C684" s="1" t="n">
        <v>45643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50985-2021</t>
        </is>
      </c>
      <c r="B685" s="1" t="n">
        <v>44460</v>
      </c>
      <c r="C685" s="1" t="n">
        <v>45643</v>
      </c>
      <c r="D685" t="inlineStr">
        <is>
          <t>KALMAR LÄN</t>
        </is>
      </c>
      <c r="E685" t="inlineStr">
        <is>
          <t>NYBRO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51285-2021</t>
        </is>
      </c>
      <c r="B686" s="1" t="n">
        <v>44461</v>
      </c>
      <c r="C686" s="1" t="n">
        <v>45643</v>
      </c>
      <c r="D686" t="inlineStr">
        <is>
          <t>KALMAR LÄN</t>
        </is>
      </c>
      <c r="E686" t="inlineStr">
        <is>
          <t>NYBRO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51766-2021</t>
        </is>
      </c>
      <c r="B687" s="1" t="n">
        <v>44461</v>
      </c>
      <c r="C687" s="1" t="n">
        <v>45643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51799-2021</t>
        </is>
      </c>
      <c r="B688" s="1" t="n">
        <v>44462</v>
      </c>
      <c r="C688" s="1" t="n">
        <v>45643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51471-2021</t>
        </is>
      </c>
      <c r="B689" s="1" t="n">
        <v>44462</v>
      </c>
      <c r="C689" s="1" t="n">
        <v>45643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45643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52137-2021</t>
        </is>
      </c>
      <c r="B691" s="1" t="n">
        <v>44463</v>
      </c>
      <c r="C691" s="1" t="n">
        <v>45643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52135-2021</t>
        </is>
      </c>
      <c r="B692" s="1" t="n">
        <v>44463</v>
      </c>
      <c r="C692" s="1" t="n">
        <v>45643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52367-2021</t>
        </is>
      </c>
      <c r="B693" s="1" t="n">
        <v>44465</v>
      </c>
      <c r="C693" s="1" t="n">
        <v>45643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52745-2021</t>
        </is>
      </c>
      <c r="B694" s="1" t="n">
        <v>44467</v>
      </c>
      <c r="C694" s="1" t="n">
        <v>45643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53198-2021</t>
        </is>
      </c>
      <c r="B695" s="1" t="n">
        <v>44468</v>
      </c>
      <c r="C695" s="1" t="n">
        <v>45643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55103-2021</t>
        </is>
      </c>
      <c r="B696" s="1" t="n">
        <v>44474</v>
      </c>
      <c r="C696" s="1" t="n">
        <v>45643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55279-2021</t>
        </is>
      </c>
      <c r="B697" s="1" t="n">
        <v>44475</v>
      </c>
      <c r="C697" s="1" t="n">
        <v>45643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55685-2021</t>
        </is>
      </c>
      <c r="B698" s="1" t="n">
        <v>44475</v>
      </c>
      <c r="C698" s="1" t="n">
        <v>45643</v>
      </c>
      <c r="D698" t="inlineStr">
        <is>
          <t>KALMAR LÄN</t>
        </is>
      </c>
      <c r="E698" t="inlineStr">
        <is>
          <t>NYBRO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56924-2021</t>
        </is>
      </c>
      <c r="B699" s="1" t="n">
        <v>44482</v>
      </c>
      <c r="C699" s="1" t="n">
        <v>45643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57588-2021</t>
        </is>
      </c>
      <c r="B700" s="1" t="n">
        <v>44484</v>
      </c>
      <c r="C700" s="1" t="n">
        <v>45643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58455-2021</t>
        </is>
      </c>
      <c r="B701" s="1" t="n">
        <v>44488</v>
      </c>
      <c r="C701" s="1" t="n">
        <v>45643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58575-2021</t>
        </is>
      </c>
      <c r="B702" s="1" t="n">
        <v>44489</v>
      </c>
      <c r="C702" s="1" t="n">
        <v>45643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58577-2021</t>
        </is>
      </c>
      <c r="B703" s="1" t="n">
        <v>44489</v>
      </c>
      <c r="C703" s="1" t="n">
        <v>45643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58761-2021</t>
        </is>
      </c>
      <c r="B704" s="1" t="n">
        <v>44489</v>
      </c>
      <c r="C704" s="1" t="n">
        <v>45643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59567-2021</t>
        </is>
      </c>
      <c r="B705" s="1" t="n">
        <v>44491</v>
      </c>
      <c r="C705" s="1" t="n">
        <v>45643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59646-2021</t>
        </is>
      </c>
      <c r="B706" s="1" t="n">
        <v>44493</v>
      </c>
      <c r="C706" s="1" t="n">
        <v>45643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59689-2021</t>
        </is>
      </c>
      <c r="B707" s="1" t="n">
        <v>44494</v>
      </c>
      <c r="C707" s="1" t="n">
        <v>45643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59684-2021</t>
        </is>
      </c>
      <c r="B708" s="1" t="n">
        <v>44494</v>
      </c>
      <c r="C708" s="1" t="n">
        <v>45643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59687-2021</t>
        </is>
      </c>
      <c r="B709" s="1" t="n">
        <v>44494</v>
      </c>
      <c r="C709" s="1" t="n">
        <v>45643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60285-2021</t>
        </is>
      </c>
      <c r="B710" s="1" t="n">
        <v>44495</v>
      </c>
      <c r="C710" s="1" t="n">
        <v>45643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60288-2021</t>
        </is>
      </c>
      <c r="B711" s="1" t="n">
        <v>44495</v>
      </c>
      <c r="C711" s="1" t="n">
        <v>45643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60519-2021</t>
        </is>
      </c>
      <c r="B712" s="1" t="n">
        <v>44496</v>
      </c>
      <c r="C712" s="1" t="n">
        <v>45643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60513-2021</t>
        </is>
      </c>
      <c r="B713" s="1" t="n">
        <v>44496</v>
      </c>
      <c r="C713" s="1" t="n">
        <v>45643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60523-2021</t>
        </is>
      </c>
      <c r="B714" s="1" t="n">
        <v>44496</v>
      </c>
      <c r="C714" s="1" t="n">
        <v>45643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61060-2021</t>
        </is>
      </c>
      <c r="B715" s="1" t="n">
        <v>44497</v>
      </c>
      <c r="C715" s="1" t="n">
        <v>45643</v>
      </c>
      <c r="D715" t="inlineStr">
        <is>
          <t>KALMAR LÄN</t>
        </is>
      </c>
      <c r="E715" t="inlineStr">
        <is>
          <t>NYBRO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60794-2021</t>
        </is>
      </c>
      <c r="B716" s="1" t="n">
        <v>44497</v>
      </c>
      <c r="C716" s="1" t="n">
        <v>45643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62816-2021</t>
        </is>
      </c>
      <c r="B717" s="1" t="n">
        <v>44504</v>
      </c>
      <c r="C717" s="1" t="n">
        <v>45643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62817-2021</t>
        </is>
      </c>
      <c r="B718" s="1" t="n">
        <v>44504</v>
      </c>
      <c r="C718" s="1" t="n">
        <v>45643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63260-2021</t>
        </is>
      </c>
      <c r="B719" s="1" t="n">
        <v>44505</v>
      </c>
      <c r="C719" s="1" t="n">
        <v>45643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63280-2021</t>
        </is>
      </c>
      <c r="B720" s="1" t="n">
        <v>44508</v>
      </c>
      <c r="C720" s="1" t="n">
        <v>45643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63276-2021</t>
        </is>
      </c>
      <c r="B721" s="1" t="n">
        <v>44508</v>
      </c>
      <c r="C721" s="1" t="n">
        <v>45643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68074-2021</t>
        </is>
      </c>
      <c r="B722" s="1" t="n">
        <v>44526</v>
      </c>
      <c r="C722" s="1" t="n">
        <v>45643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68345-2021</t>
        </is>
      </c>
      <c r="B723" s="1" t="n">
        <v>44528</v>
      </c>
      <c r="C723" s="1" t="n">
        <v>45643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69087-2021</t>
        </is>
      </c>
      <c r="B724" s="1" t="n">
        <v>44529</v>
      </c>
      <c r="C724" s="1" t="n">
        <v>45643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72166-2021</t>
        </is>
      </c>
      <c r="B725" s="1" t="n">
        <v>44544</v>
      </c>
      <c r="C725" s="1" t="n">
        <v>45643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73474-2021</t>
        </is>
      </c>
      <c r="B726" s="1" t="n">
        <v>44551</v>
      </c>
      <c r="C726" s="1" t="n">
        <v>45643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73297-2021</t>
        </is>
      </c>
      <c r="B727" s="1" t="n">
        <v>44551</v>
      </c>
      <c r="C727" s="1" t="n">
        <v>45643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73336-2021</t>
        </is>
      </c>
      <c r="B728" s="1" t="n">
        <v>44551</v>
      </c>
      <c r="C728" s="1" t="n">
        <v>45643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75-2022</t>
        </is>
      </c>
      <c r="B729" s="1" t="n">
        <v>44564</v>
      </c>
      <c r="C729" s="1" t="n">
        <v>45643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370-2022</t>
        </is>
      </c>
      <c r="B730" s="1" t="n">
        <v>44565</v>
      </c>
      <c r="C730" s="1" t="n">
        <v>45643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493-2022</t>
        </is>
      </c>
      <c r="B731" s="1" t="n">
        <v>44566</v>
      </c>
      <c r="C731" s="1" t="n">
        <v>45643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494-2022</t>
        </is>
      </c>
      <c r="B732" s="1" t="n">
        <v>44566</v>
      </c>
      <c r="C732" s="1" t="n">
        <v>45643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618-2022</t>
        </is>
      </c>
      <c r="B733" s="1" t="n">
        <v>44567</v>
      </c>
      <c r="C733" s="1" t="n">
        <v>45643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779-2022</t>
        </is>
      </c>
      <c r="B734" s="1" t="n">
        <v>44570</v>
      </c>
      <c r="C734" s="1" t="n">
        <v>45643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914-2022</t>
        </is>
      </c>
      <c r="B735" s="1" t="n">
        <v>44571</v>
      </c>
      <c r="C735" s="1" t="n">
        <v>45643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2191-2022</t>
        </is>
      </c>
      <c r="B736" s="1" t="n">
        <v>44578</v>
      </c>
      <c r="C736" s="1" t="n">
        <v>45643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2380-2022</t>
        </is>
      </c>
      <c r="B737" s="1" t="n">
        <v>44579</v>
      </c>
      <c r="C737" s="1" t="n">
        <v>45643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</v>
      </c>
      <c r="C738" s="1" t="n">
        <v>45643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2921-2022</t>
        </is>
      </c>
      <c r="B739" s="1" t="n">
        <v>44581</v>
      </c>
      <c r="C739" s="1" t="n">
        <v>45643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3612-2022</t>
        </is>
      </c>
      <c r="B740" s="1" t="n">
        <v>44586</v>
      </c>
      <c r="C740" s="1" t="n">
        <v>45643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4125-2022</t>
        </is>
      </c>
      <c r="B741" s="1" t="n">
        <v>44587</v>
      </c>
      <c r="C741" s="1" t="n">
        <v>45643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4141-2022</t>
        </is>
      </c>
      <c r="B742" s="1" t="n">
        <v>44587</v>
      </c>
      <c r="C742" s="1" t="n">
        <v>45643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4109-2022</t>
        </is>
      </c>
      <c r="B743" s="1" t="n">
        <v>44587</v>
      </c>
      <c r="C743" s="1" t="n">
        <v>45643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4962-2022</t>
        </is>
      </c>
      <c r="B744" s="1" t="n">
        <v>44593</v>
      </c>
      <c r="C744" s="1" t="n">
        <v>45643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4863-2022</t>
        </is>
      </c>
      <c r="B745" s="1" t="n">
        <v>44593</v>
      </c>
      <c r="C745" s="1" t="n">
        <v>45643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4985-2022</t>
        </is>
      </c>
      <c r="B746" s="1" t="n">
        <v>44593</v>
      </c>
      <c r="C746" s="1" t="n">
        <v>45643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4965-2022</t>
        </is>
      </c>
      <c r="B747" s="1" t="n">
        <v>44593</v>
      </c>
      <c r="C747" s="1" t="n">
        <v>45643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4983-2022</t>
        </is>
      </c>
      <c r="B748" s="1" t="n">
        <v>44593</v>
      </c>
      <c r="C748" s="1" t="n">
        <v>45643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5100-2022</t>
        </is>
      </c>
      <c r="B749" s="1" t="n">
        <v>44593</v>
      </c>
      <c r="C749" s="1" t="n">
        <v>45643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5099-2022</t>
        </is>
      </c>
      <c r="B750" s="1" t="n">
        <v>44593</v>
      </c>
      <c r="C750" s="1" t="n">
        <v>45643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</v>
      </c>
      <c r="C751" s="1" t="n">
        <v>45643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5152-2022</t>
        </is>
      </c>
      <c r="B752" s="1" t="n">
        <v>44594</v>
      </c>
      <c r="C752" s="1" t="n">
        <v>45643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5355-2022</t>
        </is>
      </c>
      <c r="B753" s="1" t="n">
        <v>44594</v>
      </c>
      <c r="C753" s="1" t="n">
        <v>45643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5354-2022</t>
        </is>
      </c>
      <c r="B754" s="1" t="n">
        <v>44594</v>
      </c>
      <c r="C754" s="1" t="n">
        <v>45643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5356-2022</t>
        </is>
      </c>
      <c r="B755" s="1" t="n">
        <v>44594</v>
      </c>
      <c r="C755" s="1" t="n">
        <v>45643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5712-2022</t>
        </is>
      </c>
      <c r="B756" s="1" t="n">
        <v>44596</v>
      </c>
      <c r="C756" s="1" t="n">
        <v>45643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5838-2022</t>
        </is>
      </c>
      <c r="B757" s="1" t="n">
        <v>44596</v>
      </c>
      <c r="C757" s="1" t="n">
        <v>45643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5811-2022</t>
        </is>
      </c>
      <c r="B758" s="1" t="n">
        <v>44596</v>
      </c>
      <c r="C758" s="1" t="n">
        <v>45643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6349-2022</t>
        </is>
      </c>
      <c r="B759" s="1" t="n">
        <v>44600</v>
      </c>
      <c r="C759" s="1" t="n">
        <v>45643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7424-2022</t>
        </is>
      </c>
      <c r="B760" s="1" t="n">
        <v>44606</v>
      </c>
      <c r="C760" s="1" t="n">
        <v>45643</v>
      </c>
      <c r="D760" t="inlineStr">
        <is>
          <t>KALMAR LÄN</t>
        </is>
      </c>
      <c r="E760" t="inlineStr">
        <is>
          <t>NYBRO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8075-2022</t>
        </is>
      </c>
      <c r="B761" s="1" t="n">
        <v>44609</v>
      </c>
      <c r="C761" s="1" t="n">
        <v>45643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8150-2022</t>
        </is>
      </c>
      <c r="B762" s="1" t="n">
        <v>44609</v>
      </c>
      <c r="C762" s="1" t="n">
        <v>45643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8172-2022</t>
        </is>
      </c>
      <c r="B763" s="1" t="n">
        <v>44609</v>
      </c>
      <c r="C763" s="1" t="n">
        <v>45643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8437-2022</t>
        </is>
      </c>
      <c r="B764" s="1" t="n">
        <v>44612</v>
      </c>
      <c r="C764" s="1" t="n">
        <v>45643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8444-2022</t>
        </is>
      </c>
      <c r="B765" s="1" t="n">
        <v>44612</v>
      </c>
      <c r="C765" s="1" t="n">
        <v>45643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9176-2022</t>
        </is>
      </c>
      <c r="B766" s="1" t="n">
        <v>44615</v>
      </c>
      <c r="C766" s="1" t="n">
        <v>45643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9636-2022</t>
        </is>
      </c>
      <c r="B767" s="1" t="n">
        <v>44617</v>
      </c>
      <c r="C767" s="1" t="n">
        <v>45643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10114-2022</t>
        </is>
      </c>
      <c r="B768" s="1" t="n">
        <v>44621</v>
      </c>
      <c r="C768" s="1" t="n">
        <v>45643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10289-2022</t>
        </is>
      </c>
      <c r="B769" s="1" t="n">
        <v>44622</v>
      </c>
      <c r="C769" s="1" t="n">
        <v>45643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10621-2022</t>
        </is>
      </c>
      <c r="B770" s="1" t="n">
        <v>44624</v>
      </c>
      <c r="C770" s="1" t="n">
        <v>45643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11068-2022</t>
        </is>
      </c>
      <c r="B771" s="1" t="n">
        <v>44628</v>
      </c>
      <c r="C771" s="1" t="n">
        <v>45643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11151-2022</t>
        </is>
      </c>
      <c r="B772" s="1" t="n">
        <v>44629</v>
      </c>
      <c r="C772" s="1" t="n">
        <v>45643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11396-2022</t>
        </is>
      </c>
      <c r="B773" s="1" t="n">
        <v>44630</v>
      </c>
      <c r="C773" s="1" t="n">
        <v>45643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11819-2022</t>
        </is>
      </c>
      <c r="B774" s="1" t="n">
        <v>44634</v>
      </c>
      <c r="C774" s="1" t="n">
        <v>45643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11828-2022</t>
        </is>
      </c>
      <c r="B775" s="1" t="n">
        <v>44634</v>
      </c>
      <c r="C775" s="1" t="n">
        <v>45643</v>
      </c>
      <c r="D775" t="inlineStr">
        <is>
          <t>KALMAR LÄN</t>
        </is>
      </c>
      <c r="E775" t="inlineStr">
        <is>
          <t>NYBRO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12278-2022</t>
        </is>
      </c>
      <c r="B776" s="1" t="n">
        <v>44637</v>
      </c>
      <c r="C776" s="1" t="n">
        <v>45643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12668-2022</t>
        </is>
      </c>
      <c r="B777" s="1" t="n">
        <v>44641</v>
      </c>
      <c r="C777" s="1" t="n">
        <v>45643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12724-2022</t>
        </is>
      </c>
      <c r="B778" s="1" t="n">
        <v>44641</v>
      </c>
      <c r="C778" s="1" t="n">
        <v>45643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13032-2022</t>
        </is>
      </c>
      <c r="B779" s="1" t="n">
        <v>44643</v>
      </c>
      <c r="C779" s="1" t="n">
        <v>45643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13448-2022</t>
        </is>
      </c>
      <c r="B780" s="1" t="n">
        <v>44645</v>
      </c>
      <c r="C780" s="1" t="n">
        <v>45643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13445-2022</t>
        </is>
      </c>
      <c r="B781" s="1" t="n">
        <v>44645</v>
      </c>
      <c r="C781" s="1" t="n">
        <v>45643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14030-2022</t>
        </is>
      </c>
      <c r="B782" s="1" t="n">
        <v>44650</v>
      </c>
      <c r="C782" s="1" t="n">
        <v>45643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14143-2022</t>
        </is>
      </c>
      <c r="B783" s="1" t="n">
        <v>44651</v>
      </c>
      <c r="C783" s="1" t="n">
        <v>45643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14158-2022</t>
        </is>
      </c>
      <c r="B784" s="1" t="n">
        <v>44651</v>
      </c>
      <c r="C784" s="1" t="n">
        <v>45643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14864-2022</t>
        </is>
      </c>
      <c r="B785" s="1" t="n">
        <v>44656</v>
      </c>
      <c r="C785" s="1" t="n">
        <v>45643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14973-2022</t>
        </is>
      </c>
      <c r="B786" s="1" t="n">
        <v>44657</v>
      </c>
      <c r="C786" s="1" t="n">
        <v>45643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14983-2022</t>
        </is>
      </c>
      <c r="B787" s="1" t="n">
        <v>44657</v>
      </c>
      <c r="C787" s="1" t="n">
        <v>45643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14979-2022</t>
        </is>
      </c>
      <c r="B788" s="1" t="n">
        <v>44657</v>
      </c>
      <c r="C788" s="1" t="n">
        <v>45643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15055-2022</t>
        </is>
      </c>
      <c r="B789" s="1" t="n">
        <v>44657</v>
      </c>
      <c r="C789" s="1" t="n">
        <v>45643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16630-2022</t>
        </is>
      </c>
      <c r="B790" s="1" t="n">
        <v>44672</v>
      </c>
      <c r="C790" s="1" t="n">
        <v>45643</v>
      </c>
      <c r="D790" t="inlineStr">
        <is>
          <t>KALMAR LÄN</t>
        </is>
      </c>
      <c r="E790" t="inlineStr">
        <is>
          <t>NYBRO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16681-2022</t>
        </is>
      </c>
      <c r="B791" s="1" t="n">
        <v>44673</v>
      </c>
      <c r="C791" s="1" t="n">
        <v>45643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17012-2022</t>
        </is>
      </c>
      <c r="B792" s="1" t="n">
        <v>44676</v>
      </c>
      <c r="C792" s="1" t="n">
        <v>45643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17009-2022</t>
        </is>
      </c>
      <c r="B793" s="1" t="n">
        <v>44676</v>
      </c>
      <c r="C793" s="1" t="n">
        <v>45643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17015-2022</t>
        </is>
      </c>
      <c r="B794" s="1" t="n">
        <v>44676</v>
      </c>
      <c r="C794" s="1" t="n">
        <v>45643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17022-2022</t>
        </is>
      </c>
      <c r="B795" s="1" t="n">
        <v>44676</v>
      </c>
      <c r="C795" s="1" t="n">
        <v>45643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45643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18072-2022</t>
        </is>
      </c>
      <c r="B797" s="1" t="n">
        <v>44684</v>
      </c>
      <c r="C797" s="1" t="n">
        <v>45643</v>
      </c>
      <c r="D797" t="inlineStr">
        <is>
          <t>KALMAR LÄN</t>
        </is>
      </c>
      <c r="E797" t="inlineStr">
        <is>
          <t>NYBRO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18077-2022</t>
        </is>
      </c>
      <c r="B798" s="1" t="n">
        <v>44684</v>
      </c>
      <c r="C798" s="1" t="n">
        <v>45643</v>
      </c>
      <c r="D798" t="inlineStr">
        <is>
          <t>KALMAR LÄN</t>
        </is>
      </c>
      <c r="E798" t="inlineStr">
        <is>
          <t>NYBRO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</v>
      </c>
      <c r="C799" s="1" t="n">
        <v>45643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19102-2022</t>
        </is>
      </c>
      <c r="B800" s="1" t="n">
        <v>44691</v>
      </c>
      <c r="C800" s="1" t="n">
        <v>45643</v>
      </c>
      <c r="D800" t="inlineStr">
        <is>
          <t>KALMAR LÄN</t>
        </is>
      </c>
      <c r="E800" t="inlineStr">
        <is>
          <t>NYBRO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19244-2022</t>
        </is>
      </c>
      <c r="B801" s="1" t="n">
        <v>44692</v>
      </c>
      <c r="C801" s="1" t="n">
        <v>45643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19943-2022</t>
        </is>
      </c>
      <c r="B802" s="1" t="n">
        <v>44697</v>
      </c>
      <c r="C802" s="1" t="n">
        <v>45643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19932-2022</t>
        </is>
      </c>
      <c r="B803" s="1" t="n">
        <v>44697</v>
      </c>
      <c r="C803" s="1" t="n">
        <v>45643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19948-2022</t>
        </is>
      </c>
      <c r="B804" s="1" t="n">
        <v>44697</v>
      </c>
      <c r="C804" s="1" t="n">
        <v>45643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20389-2022</t>
        </is>
      </c>
      <c r="B805" s="1" t="n">
        <v>44699</v>
      </c>
      <c r="C805" s="1" t="n">
        <v>45643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20621-2022</t>
        </is>
      </c>
      <c r="B806" s="1" t="n">
        <v>44700</v>
      </c>
      <c r="C806" s="1" t="n">
        <v>45643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22487-2022</t>
        </is>
      </c>
      <c r="B807" s="1" t="n">
        <v>44713</v>
      </c>
      <c r="C807" s="1" t="n">
        <v>45643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22489-2022</t>
        </is>
      </c>
      <c r="B808" s="1" t="n">
        <v>44713</v>
      </c>
      <c r="C808" s="1" t="n">
        <v>45643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22488-2022</t>
        </is>
      </c>
      <c r="B809" s="1" t="n">
        <v>44713</v>
      </c>
      <c r="C809" s="1" t="n">
        <v>45643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23057-2022</t>
        </is>
      </c>
      <c r="B810" s="1" t="n">
        <v>44719</v>
      </c>
      <c r="C810" s="1" t="n">
        <v>45643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23607-2022</t>
        </is>
      </c>
      <c r="B811" s="1" t="n">
        <v>44721</v>
      </c>
      <c r="C811" s="1" t="n">
        <v>45643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23945-2022</t>
        </is>
      </c>
      <c r="B812" s="1" t="n">
        <v>44722</v>
      </c>
      <c r="C812" s="1" t="n">
        <v>45643</v>
      </c>
      <c r="D812" t="inlineStr">
        <is>
          <t>KALMAR LÄN</t>
        </is>
      </c>
      <c r="E812" t="inlineStr">
        <is>
          <t>NYBRO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24550-2022</t>
        </is>
      </c>
      <c r="B813" s="1" t="n">
        <v>44727</v>
      </c>
      <c r="C813" s="1" t="n">
        <v>45643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24573-2022</t>
        </is>
      </c>
      <c r="B814" s="1" t="n">
        <v>44727</v>
      </c>
      <c r="C814" s="1" t="n">
        <v>45643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25539-2022</t>
        </is>
      </c>
      <c r="B815" s="1" t="n">
        <v>44732</v>
      </c>
      <c r="C815" s="1" t="n">
        <v>45643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25846-2022</t>
        </is>
      </c>
      <c r="B816" s="1" t="n">
        <v>44733</v>
      </c>
      <c r="C816" s="1" t="n">
        <v>45643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25717-2022</t>
        </is>
      </c>
      <c r="B817" s="1" t="n">
        <v>44733</v>
      </c>
      <c r="C817" s="1" t="n">
        <v>45643</v>
      </c>
      <c r="D817" t="inlineStr">
        <is>
          <t>KALMAR LÄN</t>
        </is>
      </c>
      <c r="E817" t="inlineStr">
        <is>
          <t>NYBRO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26074-2022</t>
        </is>
      </c>
      <c r="B818" s="1" t="n">
        <v>44734</v>
      </c>
      <c r="C818" s="1" t="n">
        <v>45643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26715-2022</t>
        </is>
      </c>
      <c r="B819" s="1" t="n">
        <v>44739</v>
      </c>
      <c r="C819" s="1" t="n">
        <v>45643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27419-2022</t>
        </is>
      </c>
      <c r="B820" s="1" t="n">
        <v>44742</v>
      </c>
      <c r="C820" s="1" t="n">
        <v>45643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45643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27797-2022</t>
        </is>
      </c>
      <c r="B822" s="1" t="n">
        <v>44743</v>
      </c>
      <c r="C822" s="1" t="n">
        <v>45643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28164-2022</t>
        </is>
      </c>
      <c r="B823" s="1" t="n">
        <v>44746</v>
      </c>
      <c r="C823" s="1" t="n">
        <v>45643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28168-2022</t>
        </is>
      </c>
      <c r="B824" s="1" t="n">
        <v>44746</v>
      </c>
      <c r="C824" s="1" t="n">
        <v>45643</v>
      </c>
      <c r="D824" t="inlineStr">
        <is>
          <t>KALMAR LÄN</t>
        </is>
      </c>
      <c r="E824" t="inlineStr">
        <is>
          <t>NYBRO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</v>
      </c>
      <c r="C825" s="1" t="n">
        <v>45643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28537-2022</t>
        </is>
      </c>
      <c r="B826" s="1" t="n">
        <v>44748</v>
      </c>
      <c r="C826" s="1" t="n">
        <v>45643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28795-2022</t>
        </is>
      </c>
      <c r="B827" s="1" t="n">
        <v>44749</v>
      </c>
      <c r="C827" s="1" t="n">
        <v>45643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29715-2022</t>
        </is>
      </c>
      <c r="B828" s="1" t="n">
        <v>44755</v>
      </c>
      <c r="C828" s="1" t="n">
        <v>45643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45643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31222-2022</t>
        </is>
      </c>
      <c r="B830" s="1" t="n">
        <v>44771</v>
      </c>
      <c r="C830" s="1" t="n">
        <v>45643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31709-2022</t>
        </is>
      </c>
      <c r="B831" s="1" t="n">
        <v>44776</v>
      </c>
      <c r="C831" s="1" t="n">
        <v>45643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32048-2022</t>
        </is>
      </c>
      <c r="B832" s="1" t="n">
        <v>44778</v>
      </c>
      <c r="C832" s="1" t="n">
        <v>45643</v>
      </c>
      <c r="D832" t="inlineStr">
        <is>
          <t>KALMAR LÄN</t>
        </is>
      </c>
      <c r="E832" t="inlineStr">
        <is>
          <t>NYBRO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32605-2022</t>
        </is>
      </c>
      <c r="B833" s="1" t="n">
        <v>44783</v>
      </c>
      <c r="C833" s="1" t="n">
        <v>45643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32551-2022</t>
        </is>
      </c>
      <c r="B834" s="1" t="n">
        <v>44783</v>
      </c>
      <c r="C834" s="1" t="n">
        <v>45643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33035-2022</t>
        </is>
      </c>
      <c r="B835" s="1" t="n">
        <v>44785</v>
      </c>
      <c r="C835" s="1" t="n">
        <v>45643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33030-2022</t>
        </is>
      </c>
      <c r="B836" s="1" t="n">
        <v>44785</v>
      </c>
      <c r="C836" s="1" t="n">
        <v>45643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34910-2022</t>
        </is>
      </c>
      <c r="B837" s="1" t="n">
        <v>44796</v>
      </c>
      <c r="C837" s="1" t="n">
        <v>45643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35064-2022</t>
        </is>
      </c>
      <c r="B838" s="1" t="n">
        <v>44796</v>
      </c>
      <c r="C838" s="1" t="n">
        <v>45643</v>
      </c>
      <c r="D838" t="inlineStr">
        <is>
          <t>KALMAR LÄN</t>
        </is>
      </c>
      <c r="E838" t="inlineStr">
        <is>
          <t>NYBRO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35067-2022</t>
        </is>
      </c>
      <c r="B839" s="1" t="n">
        <v>44796</v>
      </c>
      <c r="C839" s="1" t="n">
        <v>45643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35086-2022</t>
        </is>
      </c>
      <c r="B840" s="1" t="n">
        <v>44796</v>
      </c>
      <c r="C840" s="1" t="n">
        <v>45643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35369-2022</t>
        </is>
      </c>
      <c r="B841" s="1" t="n">
        <v>44798</v>
      </c>
      <c r="C841" s="1" t="n">
        <v>45643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35371-2022</t>
        </is>
      </c>
      <c r="B842" s="1" t="n">
        <v>44798</v>
      </c>
      <c r="C842" s="1" t="n">
        <v>45643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35406-2022</t>
        </is>
      </c>
      <c r="B843" s="1" t="n">
        <v>44798</v>
      </c>
      <c r="C843" s="1" t="n">
        <v>45643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45643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45643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36904-2022</t>
        </is>
      </c>
      <c r="B846" s="1" t="n">
        <v>44805</v>
      </c>
      <c r="C846" s="1" t="n">
        <v>45643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36951-2022</t>
        </is>
      </c>
      <c r="B847" s="1" t="n">
        <v>44806</v>
      </c>
      <c r="C847" s="1" t="n">
        <v>45643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37074-2022</t>
        </is>
      </c>
      <c r="B848" s="1" t="n">
        <v>44806</v>
      </c>
      <c r="C848" s="1" t="n">
        <v>45643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37967-2022</t>
        </is>
      </c>
      <c r="B849" s="1" t="n">
        <v>44811</v>
      </c>
      <c r="C849" s="1" t="n">
        <v>45643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38031-2022</t>
        </is>
      </c>
      <c r="B850" s="1" t="n">
        <v>44811</v>
      </c>
      <c r="C850" s="1" t="n">
        <v>45643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38550-2022</t>
        </is>
      </c>
      <c r="B851" s="1" t="n">
        <v>44813</v>
      </c>
      <c r="C851" s="1" t="n">
        <v>45643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38772-2022</t>
        </is>
      </c>
      <c r="B852" s="1" t="n">
        <v>44816</v>
      </c>
      <c r="C852" s="1" t="n">
        <v>45643</v>
      </c>
      <c r="D852" t="inlineStr">
        <is>
          <t>KALMAR LÄN</t>
        </is>
      </c>
      <c r="E852" t="inlineStr">
        <is>
          <t>NYBRO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45643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38908-2022</t>
        </is>
      </c>
      <c r="B854" s="1" t="n">
        <v>44816</v>
      </c>
      <c r="C854" s="1" t="n">
        <v>45643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39433-2022</t>
        </is>
      </c>
      <c r="B855" s="1" t="n">
        <v>44818</v>
      </c>
      <c r="C855" s="1" t="n">
        <v>45643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39535-2022</t>
        </is>
      </c>
      <c r="B856" s="1" t="n">
        <v>44818</v>
      </c>
      <c r="C856" s="1" t="n">
        <v>45643</v>
      </c>
      <c r="D856" t="inlineStr">
        <is>
          <t>KALMAR LÄN</t>
        </is>
      </c>
      <c r="E856" t="inlineStr">
        <is>
          <t>NYBRO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39771-2022</t>
        </is>
      </c>
      <c r="B857" s="1" t="n">
        <v>44819</v>
      </c>
      <c r="C857" s="1" t="n">
        <v>45643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40444-2022</t>
        </is>
      </c>
      <c r="B858" s="1" t="n">
        <v>44819</v>
      </c>
      <c r="C858" s="1" t="n">
        <v>45643</v>
      </c>
      <c r="D858" t="inlineStr">
        <is>
          <t>KALMAR LÄN</t>
        </is>
      </c>
      <c r="E858" t="inlineStr">
        <is>
          <t>NYBRO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40902-2022</t>
        </is>
      </c>
      <c r="B859" s="1" t="n">
        <v>44825</v>
      </c>
      <c r="C859" s="1" t="n">
        <v>45643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41060-2022</t>
        </is>
      </c>
      <c r="B860" s="1" t="n">
        <v>44825</v>
      </c>
      <c r="C860" s="1" t="n">
        <v>45643</v>
      </c>
      <c r="D860" t="inlineStr">
        <is>
          <t>KALMAR LÄN</t>
        </is>
      </c>
      <c r="E860" t="inlineStr">
        <is>
          <t>NYBRO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41649-2022</t>
        </is>
      </c>
      <c r="B861" s="1" t="n">
        <v>44827</v>
      </c>
      <c r="C861" s="1" t="n">
        <v>45643</v>
      </c>
      <c r="D861" t="inlineStr">
        <is>
          <t>KALMAR LÄN</t>
        </is>
      </c>
      <c r="E861" t="inlineStr">
        <is>
          <t>NYBRO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42465-2022</t>
        </is>
      </c>
      <c r="B862" s="1" t="n">
        <v>44831</v>
      </c>
      <c r="C862" s="1" t="n">
        <v>45643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42740-2022</t>
        </is>
      </c>
      <c r="B863" s="1" t="n">
        <v>44832</v>
      </c>
      <c r="C863" s="1" t="n">
        <v>45643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43115-2022</t>
        </is>
      </c>
      <c r="B864" s="1" t="n">
        <v>44833</v>
      </c>
      <c r="C864" s="1" t="n">
        <v>45643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43118-2022</t>
        </is>
      </c>
      <c r="B865" s="1" t="n">
        <v>44833</v>
      </c>
      <c r="C865" s="1" t="n">
        <v>45643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43202-2022</t>
        </is>
      </c>
      <c r="B866" s="1" t="n">
        <v>44834</v>
      </c>
      <c r="C866" s="1" t="n">
        <v>45643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43517-2022</t>
        </is>
      </c>
      <c r="B867" s="1" t="n">
        <v>44837</v>
      </c>
      <c r="C867" s="1" t="n">
        <v>45643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43970-2022</t>
        </is>
      </c>
      <c r="B868" s="1" t="n">
        <v>44838</v>
      </c>
      <c r="C868" s="1" t="n">
        <v>45643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44014-2022</t>
        </is>
      </c>
      <c r="B869" s="1" t="n">
        <v>44838</v>
      </c>
      <c r="C869" s="1" t="n">
        <v>45643</v>
      </c>
      <c r="D869" t="inlineStr">
        <is>
          <t>KALMAR LÄN</t>
        </is>
      </c>
      <c r="E869" t="inlineStr">
        <is>
          <t>NYBRO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44073-2022</t>
        </is>
      </c>
      <c r="B870" s="1" t="n">
        <v>44839</v>
      </c>
      <c r="C870" s="1" t="n">
        <v>45643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44358-2022</t>
        </is>
      </c>
      <c r="B871" s="1" t="n">
        <v>44839</v>
      </c>
      <c r="C871" s="1" t="n">
        <v>45643</v>
      </c>
      <c r="D871" t="inlineStr">
        <is>
          <t>KALMAR LÄN</t>
        </is>
      </c>
      <c r="E871" t="inlineStr">
        <is>
          <t>NYBRO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44395-2022</t>
        </is>
      </c>
      <c r="B872" s="1" t="n">
        <v>44839</v>
      </c>
      <c r="C872" s="1" t="n">
        <v>45643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44477-2022</t>
        </is>
      </c>
      <c r="B873" s="1" t="n">
        <v>44840</v>
      </c>
      <c r="C873" s="1" t="n">
        <v>45643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44721-2022</t>
        </is>
      </c>
      <c r="B874" s="1" t="n">
        <v>44840</v>
      </c>
      <c r="C874" s="1" t="n">
        <v>45643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44801-2022</t>
        </is>
      </c>
      <c r="B875" s="1" t="n">
        <v>44841</v>
      </c>
      <c r="C875" s="1" t="n">
        <v>45643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45173-2022</t>
        </is>
      </c>
      <c r="B876" s="1" t="n">
        <v>44844</v>
      </c>
      <c r="C876" s="1" t="n">
        <v>45643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45397-2022</t>
        </is>
      </c>
      <c r="B877" s="1" t="n">
        <v>44844</v>
      </c>
      <c r="C877" s="1" t="n">
        <v>45643</v>
      </c>
      <c r="D877" t="inlineStr">
        <is>
          <t>KALMAR LÄN</t>
        </is>
      </c>
      <c r="E877" t="inlineStr">
        <is>
          <t>NYBRO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45413-2022</t>
        </is>
      </c>
      <c r="B878" s="1" t="n">
        <v>44844</v>
      </c>
      <c r="C878" s="1" t="n">
        <v>45643</v>
      </c>
      <c r="D878" t="inlineStr">
        <is>
          <t>KALMAR LÄN</t>
        </is>
      </c>
      <c r="E878" t="inlineStr">
        <is>
          <t>NYBRO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45412-2022</t>
        </is>
      </c>
      <c r="B879" s="1" t="n">
        <v>44844</v>
      </c>
      <c r="C879" s="1" t="n">
        <v>45643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46705-2022</t>
        </is>
      </c>
      <c r="B880" s="1" t="n">
        <v>44851</v>
      </c>
      <c r="C880" s="1" t="n">
        <v>45643</v>
      </c>
      <c r="D880" t="inlineStr">
        <is>
          <t>KALMAR LÄN</t>
        </is>
      </c>
      <c r="E880" t="inlineStr">
        <is>
          <t>NYBRO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47108-2022</t>
        </is>
      </c>
      <c r="B881" s="1" t="n">
        <v>44852</v>
      </c>
      <c r="C881" s="1" t="n">
        <v>45643</v>
      </c>
      <c r="D881" t="inlineStr">
        <is>
          <t>KALMAR LÄN</t>
        </is>
      </c>
      <c r="E881" t="inlineStr">
        <is>
          <t>NYBRO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47326-2022</t>
        </is>
      </c>
      <c r="B882" s="1" t="n">
        <v>44853</v>
      </c>
      <c r="C882" s="1" t="n">
        <v>45643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47435-2022</t>
        </is>
      </c>
      <c r="B883" s="1" t="n">
        <v>44853</v>
      </c>
      <c r="C883" s="1" t="n">
        <v>45643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47329-2022</t>
        </is>
      </c>
      <c r="B884" s="1" t="n">
        <v>44853</v>
      </c>
      <c r="C884" s="1" t="n">
        <v>45643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48873-2022</t>
        </is>
      </c>
      <c r="B885" s="1" t="n">
        <v>44859</v>
      </c>
      <c r="C885" s="1" t="n">
        <v>45643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50470-2022</t>
        </is>
      </c>
      <c r="B886" s="1" t="n">
        <v>44861</v>
      </c>
      <c r="C886" s="1" t="n">
        <v>45643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49685-2022</t>
        </is>
      </c>
      <c r="B887" s="1" t="n">
        <v>44862</v>
      </c>
      <c r="C887" s="1" t="n">
        <v>45643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49929-2022</t>
        </is>
      </c>
      <c r="B888" s="1" t="n">
        <v>44865</v>
      </c>
      <c r="C888" s="1" t="n">
        <v>45643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49912-2022</t>
        </is>
      </c>
      <c r="B889" s="1" t="n">
        <v>44865</v>
      </c>
      <c r="C889" s="1" t="n">
        <v>45643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50556-2022</t>
        </is>
      </c>
      <c r="B890" s="1" t="n">
        <v>44866</v>
      </c>
      <c r="C890" s="1" t="n">
        <v>45643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50561-2022</t>
        </is>
      </c>
      <c r="B891" s="1" t="n">
        <v>44866</v>
      </c>
      <c r="C891" s="1" t="n">
        <v>45643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50976-2022</t>
        </is>
      </c>
      <c r="B892" s="1" t="n">
        <v>44867</v>
      </c>
      <c r="C892" s="1" t="n">
        <v>45643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50972-2022</t>
        </is>
      </c>
      <c r="B893" s="1" t="n">
        <v>44867</v>
      </c>
      <c r="C893" s="1" t="n">
        <v>45643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50977-2022</t>
        </is>
      </c>
      <c r="B894" s="1" t="n">
        <v>44867</v>
      </c>
      <c r="C894" s="1" t="n">
        <v>45643</v>
      </c>
      <c r="D894" t="inlineStr">
        <is>
          <t>KALMAR LÄN</t>
        </is>
      </c>
      <c r="E894" t="inlineStr">
        <is>
          <t>NYBRO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50938-2022</t>
        </is>
      </c>
      <c r="B895" s="1" t="n">
        <v>44867</v>
      </c>
      <c r="C895" s="1" t="n">
        <v>45643</v>
      </c>
      <c r="D895" t="inlineStr">
        <is>
          <t>KALMAR LÄN</t>
        </is>
      </c>
      <c r="E895" t="inlineStr">
        <is>
          <t>NYBRO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50978-2022</t>
        </is>
      </c>
      <c r="B896" s="1" t="n">
        <v>44867</v>
      </c>
      <c r="C896" s="1" t="n">
        <v>45643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45643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51081-2022</t>
        </is>
      </c>
      <c r="B898" s="1" t="n">
        <v>44868</v>
      </c>
      <c r="C898" s="1" t="n">
        <v>45643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</v>
      </c>
      <c r="C899" s="1" t="n">
        <v>45643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51523-2022</t>
        </is>
      </c>
      <c r="B900" s="1" t="n">
        <v>44869</v>
      </c>
      <c r="C900" s="1" t="n">
        <v>45643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51574-2022</t>
        </is>
      </c>
      <c r="B901" s="1" t="n">
        <v>44870</v>
      </c>
      <c r="C901" s="1" t="n">
        <v>45643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51575-2022</t>
        </is>
      </c>
      <c r="B902" s="1" t="n">
        <v>44870</v>
      </c>
      <c r="C902" s="1" t="n">
        <v>45643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51735-2022</t>
        </is>
      </c>
      <c r="B903" s="1" t="n">
        <v>44872</v>
      </c>
      <c r="C903" s="1" t="n">
        <v>45643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52311-2022</t>
        </is>
      </c>
      <c r="B904" s="1" t="n">
        <v>44873</v>
      </c>
      <c r="C904" s="1" t="n">
        <v>45643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52382-2022</t>
        </is>
      </c>
      <c r="B905" s="1" t="n">
        <v>44874</v>
      </c>
      <c r="C905" s="1" t="n">
        <v>45643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53681-2022</t>
        </is>
      </c>
      <c r="B906" s="1" t="n">
        <v>44880</v>
      </c>
      <c r="C906" s="1" t="n">
        <v>45643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53999-2022</t>
        </is>
      </c>
      <c r="B907" s="1" t="n">
        <v>44881</v>
      </c>
      <c r="C907" s="1" t="n">
        <v>45643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54051-2022</t>
        </is>
      </c>
      <c r="B908" s="1" t="n">
        <v>44881</v>
      </c>
      <c r="C908" s="1" t="n">
        <v>45643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54043-2022</t>
        </is>
      </c>
      <c r="B909" s="1" t="n">
        <v>44881</v>
      </c>
      <c r="C909" s="1" t="n">
        <v>45643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54314-2022</t>
        </is>
      </c>
      <c r="B910" s="1" t="n">
        <v>44882</v>
      </c>
      <c r="C910" s="1" t="n">
        <v>45643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54341-2022</t>
        </is>
      </c>
      <c r="B911" s="1" t="n">
        <v>44882</v>
      </c>
      <c r="C911" s="1" t="n">
        <v>45643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55289-2022</t>
        </is>
      </c>
      <c r="B912" s="1" t="n">
        <v>44882</v>
      </c>
      <c r="C912" s="1" t="n">
        <v>45643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56015-2022</t>
        </is>
      </c>
      <c r="B913" s="1" t="n">
        <v>44889</v>
      </c>
      <c r="C913" s="1" t="n">
        <v>45643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56143-2022</t>
        </is>
      </c>
      <c r="B914" s="1" t="n">
        <v>44889</v>
      </c>
      <c r="C914" s="1" t="n">
        <v>45643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56215-2022</t>
        </is>
      </c>
      <c r="B915" s="1" t="n">
        <v>44890</v>
      </c>
      <c r="C915" s="1" t="n">
        <v>45643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57097-2022</t>
        </is>
      </c>
      <c r="B916" s="1" t="n">
        <v>44895</v>
      </c>
      <c r="C916" s="1" t="n">
        <v>45643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57648-2022</t>
        </is>
      </c>
      <c r="B917" s="1" t="n">
        <v>44897</v>
      </c>
      <c r="C917" s="1" t="n">
        <v>45643</v>
      </c>
      <c r="D917" t="inlineStr">
        <is>
          <t>KALMAR LÄN</t>
        </is>
      </c>
      <c r="E917" t="inlineStr">
        <is>
          <t>NYBRO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57980-2022</t>
        </is>
      </c>
      <c r="B918" s="1" t="n">
        <v>44900</v>
      </c>
      <c r="C918" s="1" t="n">
        <v>45643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58574-2022</t>
        </is>
      </c>
      <c r="B919" s="1" t="n">
        <v>44902</v>
      </c>
      <c r="C919" s="1" t="n">
        <v>45643</v>
      </c>
      <c r="D919" t="inlineStr">
        <is>
          <t>KALMAR LÄN</t>
        </is>
      </c>
      <c r="E919" t="inlineStr">
        <is>
          <t>NYBRO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58933-2022</t>
        </is>
      </c>
      <c r="B920" s="1" t="n">
        <v>44903</v>
      </c>
      <c r="C920" s="1" t="n">
        <v>45643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45643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59053-2022</t>
        </is>
      </c>
      <c r="B922" s="1" t="n">
        <v>44904</v>
      </c>
      <c r="C922" s="1" t="n">
        <v>45643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59054-2022</t>
        </is>
      </c>
      <c r="B923" s="1" t="n">
        <v>44904</v>
      </c>
      <c r="C923" s="1" t="n">
        <v>45643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61140-2022</t>
        </is>
      </c>
      <c r="B924" s="1" t="n">
        <v>44908</v>
      </c>
      <c r="C924" s="1" t="n">
        <v>45643</v>
      </c>
      <c r="D924" t="inlineStr">
        <is>
          <t>KALMAR LÄN</t>
        </is>
      </c>
      <c r="E924" t="inlineStr">
        <is>
          <t>NYBRO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61136-2022</t>
        </is>
      </c>
      <c r="B925" s="1" t="n">
        <v>44908</v>
      </c>
      <c r="C925" s="1" t="n">
        <v>45643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</v>
      </c>
      <c r="C926" s="1" t="n">
        <v>45643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</v>
      </c>
      <c r="C927" s="1" t="n">
        <v>45643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60039-2022</t>
        </is>
      </c>
      <c r="B928" s="1" t="n">
        <v>44909</v>
      </c>
      <c r="C928" s="1" t="n">
        <v>45643</v>
      </c>
      <c r="D928" t="inlineStr">
        <is>
          <t>KALMAR LÄN</t>
        </is>
      </c>
      <c r="E928" t="inlineStr">
        <is>
          <t>NYBRO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59940-2022</t>
        </is>
      </c>
      <c r="B929" s="1" t="n">
        <v>44909</v>
      </c>
      <c r="C929" s="1" t="n">
        <v>45643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60030-2022</t>
        </is>
      </c>
      <c r="B930" s="1" t="n">
        <v>44909</v>
      </c>
      <c r="C930" s="1" t="n">
        <v>45643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60026-2022</t>
        </is>
      </c>
      <c r="B931" s="1" t="n">
        <v>44909</v>
      </c>
      <c r="C931" s="1" t="n">
        <v>45643</v>
      </c>
      <c r="D931" t="inlineStr">
        <is>
          <t>KALMAR LÄN</t>
        </is>
      </c>
      <c r="E931" t="inlineStr">
        <is>
          <t>NYBRO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60366-2022</t>
        </is>
      </c>
      <c r="B932" s="1" t="n">
        <v>44910</v>
      </c>
      <c r="C932" s="1" t="n">
        <v>45643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61499-2022</t>
        </is>
      </c>
      <c r="B933" s="1" t="n">
        <v>44910</v>
      </c>
      <c r="C933" s="1" t="n">
        <v>45643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</v>
      </c>
      <c r="C934" s="1" t="n">
        <v>45643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60896-2022</t>
        </is>
      </c>
      <c r="B935" s="1" t="n">
        <v>44914</v>
      </c>
      <c r="C935" s="1" t="n">
        <v>45643</v>
      </c>
      <c r="D935" t="inlineStr">
        <is>
          <t>KALMAR LÄN</t>
        </is>
      </c>
      <c r="E935" t="inlineStr">
        <is>
          <t>NYBRO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61316-2022</t>
        </is>
      </c>
      <c r="B936" s="1" t="n">
        <v>44915</v>
      </c>
      <c r="C936" s="1" t="n">
        <v>45643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61780-2022</t>
        </is>
      </c>
      <c r="B937" s="1" t="n">
        <v>44917</v>
      </c>
      <c r="C937" s="1" t="n">
        <v>45643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61777-2022</t>
        </is>
      </c>
      <c r="B938" s="1" t="n">
        <v>44917</v>
      </c>
      <c r="C938" s="1" t="n">
        <v>45643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175-2023</t>
        </is>
      </c>
      <c r="B939" s="1" t="n">
        <v>44928</v>
      </c>
      <c r="C939" s="1" t="n">
        <v>45643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191-2023</t>
        </is>
      </c>
      <c r="B940" s="1" t="n">
        <v>44928</v>
      </c>
      <c r="C940" s="1" t="n">
        <v>45643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332-2023</t>
        </is>
      </c>
      <c r="B941" s="1" t="n">
        <v>44929</v>
      </c>
      <c r="C941" s="1" t="n">
        <v>45643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324-2023</t>
        </is>
      </c>
      <c r="B942" s="1" t="n">
        <v>44929</v>
      </c>
      <c r="C942" s="1" t="n">
        <v>45643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649-2023</t>
        </is>
      </c>
      <c r="B943" s="1" t="n">
        <v>44930</v>
      </c>
      <c r="C943" s="1" t="n">
        <v>45643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816-2023</t>
        </is>
      </c>
      <c r="B944" s="1" t="n">
        <v>44931</v>
      </c>
      <c r="C944" s="1" t="n">
        <v>45643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830-2023</t>
        </is>
      </c>
      <c r="B945" s="1" t="n">
        <v>44931</v>
      </c>
      <c r="C945" s="1" t="n">
        <v>45643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815-2023</t>
        </is>
      </c>
      <c r="B946" s="1" t="n">
        <v>44931</v>
      </c>
      <c r="C946" s="1" t="n">
        <v>45643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935-2023</t>
        </is>
      </c>
      <c r="B947" s="1" t="n">
        <v>44933</v>
      </c>
      <c r="C947" s="1" t="n">
        <v>45643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1396-2023</t>
        </is>
      </c>
      <c r="B948" s="1" t="n">
        <v>44936</v>
      </c>
      <c r="C948" s="1" t="n">
        <v>45643</v>
      </c>
      <c r="D948" t="inlineStr">
        <is>
          <t>KALMAR LÄN</t>
        </is>
      </c>
      <c r="E948" t="inlineStr">
        <is>
          <t>NYBRO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1527-2023</t>
        </is>
      </c>
      <c r="B949" s="1" t="n">
        <v>44937</v>
      </c>
      <c r="C949" s="1" t="n">
        <v>45643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1729-2023</t>
        </is>
      </c>
      <c r="B950" s="1" t="n">
        <v>44938</v>
      </c>
      <c r="C950" s="1" t="n">
        <v>45643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1965-2023</t>
        </is>
      </c>
      <c r="B951" s="1" t="n">
        <v>44939</v>
      </c>
      <c r="C951" s="1" t="n">
        <v>45643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2057-2023</t>
        </is>
      </c>
      <c r="B952" s="1" t="n">
        <v>44939</v>
      </c>
      <c r="C952" s="1" t="n">
        <v>45643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</v>
      </c>
      <c r="C953" s="1" t="n">
        <v>45643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3300-2023</t>
        </is>
      </c>
      <c r="B954" s="1" t="n">
        <v>44949</v>
      </c>
      <c r="C954" s="1" t="n">
        <v>45643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3783-2023</t>
        </is>
      </c>
      <c r="B955" s="1" t="n">
        <v>44949</v>
      </c>
      <c r="C955" s="1" t="n">
        <v>45643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3726-2023</t>
        </is>
      </c>
      <c r="B956" s="1" t="n">
        <v>44951</v>
      </c>
      <c r="C956" s="1" t="n">
        <v>45643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3781-2023</t>
        </is>
      </c>
      <c r="B957" s="1" t="n">
        <v>44951</v>
      </c>
      <c r="C957" s="1" t="n">
        <v>45643</v>
      </c>
      <c r="D957" t="inlineStr">
        <is>
          <t>KALMAR LÄN</t>
        </is>
      </c>
      <c r="E957" t="inlineStr">
        <is>
          <t>NYBRO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3807-2023</t>
        </is>
      </c>
      <c r="B958" s="1" t="n">
        <v>44951</v>
      </c>
      <c r="C958" s="1" t="n">
        <v>45643</v>
      </c>
      <c r="D958" t="inlineStr">
        <is>
          <t>KALMAR LÄN</t>
        </is>
      </c>
      <c r="E958" t="inlineStr">
        <is>
          <t>NYBRO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4172-2023</t>
        </is>
      </c>
      <c r="B959" s="1" t="n">
        <v>44953</v>
      </c>
      <c r="C959" s="1" t="n">
        <v>45643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4750-2023</t>
        </is>
      </c>
      <c r="B960" s="1" t="n">
        <v>44957</v>
      </c>
      <c r="C960" s="1" t="n">
        <v>45643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4751-2023</t>
        </is>
      </c>
      <c r="B961" s="1" t="n">
        <v>44957</v>
      </c>
      <c r="C961" s="1" t="n">
        <v>45643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5257-2023</t>
        </is>
      </c>
      <c r="B962" s="1" t="n">
        <v>44959</v>
      </c>
      <c r="C962" s="1" t="n">
        <v>45643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5310-2023</t>
        </is>
      </c>
      <c r="B963" s="1" t="n">
        <v>44959</v>
      </c>
      <c r="C963" s="1" t="n">
        <v>45643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5214-2023</t>
        </is>
      </c>
      <c r="B964" s="1" t="n">
        <v>44959</v>
      </c>
      <c r="C964" s="1" t="n">
        <v>45643</v>
      </c>
      <c r="D964" t="inlineStr">
        <is>
          <t>KALMAR LÄN</t>
        </is>
      </c>
      <c r="E964" t="inlineStr">
        <is>
          <t>NYBRO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5340-2023</t>
        </is>
      </c>
      <c r="B965" s="1" t="n">
        <v>44959</v>
      </c>
      <c r="C965" s="1" t="n">
        <v>45643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5776-2023</t>
        </is>
      </c>
      <c r="B966" s="1" t="n">
        <v>44963</v>
      </c>
      <c r="C966" s="1" t="n">
        <v>45643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6290-2023</t>
        </is>
      </c>
      <c r="B967" s="1" t="n">
        <v>44965</v>
      </c>
      <c r="C967" s="1" t="n">
        <v>45643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6679-2023</t>
        </is>
      </c>
      <c r="B968" s="1" t="n">
        <v>44966</v>
      </c>
      <c r="C968" s="1" t="n">
        <v>45643</v>
      </c>
      <c r="D968" t="inlineStr">
        <is>
          <t>KALMAR LÄN</t>
        </is>
      </c>
      <c r="E968" t="inlineStr">
        <is>
          <t>NYBRO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6691-2023</t>
        </is>
      </c>
      <c r="B969" s="1" t="n">
        <v>44966</v>
      </c>
      <c r="C969" s="1" t="n">
        <v>45643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6688-2023</t>
        </is>
      </c>
      <c r="B970" s="1" t="n">
        <v>44966</v>
      </c>
      <c r="C970" s="1" t="n">
        <v>45643</v>
      </c>
      <c r="D970" t="inlineStr">
        <is>
          <t>KALMAR LÄN</t>
        </is>
      </c>
      <c r="E970" t="inlineStr">
        <is>
          <t>NYBRO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</v>
      </c>
      <c r="C971" s="1" t="n">
        <v>45643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7307-2023</t>
        </is>
      </c>
      <c r="B972" s="1" t="n">
        <v>44970</v>
      </c>
      <c r="C972" s="1" t="n">
        <v>45643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7469-2023</t>
        </is>
      </c>
      <c r="B973" s="1" t="n">
        <v>44971</v>
      </c>
      <c r="C973" s="1" t="n">
        <v>45643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7650-2023</t>
        </is>
      </c>
      <c r="B974" s="1" t="n">
        <v>44972</v>
      </c>
      <c r="C974" s="1" t="n">
        <v>45643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7725-2023</t>
        </is>
      </c>
      <c r="B975" s="1" t="n">
        <v>44973</v>
      </c>
      <c r="C975" s="1" t="n">
        <v>45643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7848-2023</t>
        </is>
      </c>
      <c r="B976" s="1" t="n">
        <v>44973</v>
      </c>
      <c r="C976" s="1" t="n">
        <v>45643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7847-2023</t>
        </is>
      </c>
      <c r="B977" s="1" t="n">
        <v>44973</v>
      </c>
      <c r="C977" s="1" t="n">
        <v>45643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7956-2023</t>
        </is>
      </c>
      <c r="B978" s="1" t="n">
        <v>44973</v>
      </c>
      <c r="C978" s="1" t="n">
        <v>45643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</v>
      </c>
      <c r="C979" s="1" t="n">
        <v>45643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7850-2023</t>
        </is>
      </c>
      <c r="B980" s="1" t="n">
        <v>44973</v>
      </c>
      <c r="C980" s="1" t="n">
        <v>45643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7958-2023</t>
        </is>
      </c>
      <c r="B981" s="1" t="n">
        <v>44973</v>
      </c>
      <c r="C981" s="1" t="n">
        <v>45643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8004-2023</t>
        </is>
      </c>
      <c r="B982" s="1" t="n">
        <v>44973</v>
      </c>
      <c r="C982" s="1" t="n">
        <v>45643</v>
      </c>
      <c r="D982" t="inlineStr">
        <is>
          <t>KALMAR LÄN</t>
        </is>
      </c>
      <c r="E982" t="inlineStr">
        <is>
          <t>NYBRO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8003-2023</t>
        </is>
      </c>
      <c r="B983" s="1" t="n">
        <v>44973</v>
      </c>
      <c r="C983" s="1" t="n">
        <v>45643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8069-2023</t>
        </is>
      </c>
      <c r="B984" s="1" t="n">
        <v>44974</v>
      </c>
      <c r="C984" s="1" t="n">
        <v>45643</v>
      </c>
      <c r="D984" t="inlineStr">
        <is>
          <t>KALMAR LÄN</t>
        </is>
      </c>
      <c r="E984" t="inlineStr">
        <is>
          <t>NYBRO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8103-2023</t>
        </is>
      </c>
      <c r="B985" s="1" t="n">
        <v>44974</v>
      </c>
      <c r="C985" s="1" t="n">
        <v>45643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8100-2023</t>
        </is>
      </c>
      <c r="B986" s="1" t="n">
        <v>44974</v>
      </c>
      <c r="C986" s="1" t="n">
        <v>45643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</v>
      </c>
      <c r="C987" s="1" t="n">
        <v>45643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8489-2023</t>
        </is>
      </c>
      <c r="B988" s="1" t="n">
        <v>44977</v>
      </c>
      <c r="C988" s="1" t="n">
        <v>45643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8888-2023</t>
        </is>
      </c>
      <c r="B989" s="1" t="n">
        <v>44979</v>
      </c>
      <c r="C989" s="1" t="n">
        <v>45643</v>
      </c>
      <c r="D989" t="inlineStr">
        <is>
          <t>KALMAR LÄN</t>
        </is>
      </c>
      <c r="E989" t="inlineStr">
        <is>
          <t>NYBRO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9153-2023</t>
        </is>
      </c>
      <c r="B990" s="1" t="n">
        <v>44980</v>
      </c>
      <c r="C990" s="1" t="n">
        <v>45643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9561-2023</t>
        </is>
      </c>
      <c r="B991" s="1" t="n">
        <v>44982</v>
      </c>
      <c r="C991" s="1" t="n">
        <v>45643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9580-2023</t>
        </is>
      </c>
      <c r="B992" s="1" t="n">
        <v>44982</v>
      </c>
      <c r="C992" s="1" t="n">
        <v>45643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9563-2023</t>
        </is>
      </c>
      <c r="B993" s="1" t="n">
        <v>44982</v>
      </c>
      <c r="C993" s="1" t="n">
        <v>45643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9581-2023</t>
        </is>
      </c>
      <c r="B994" s="1" t="n">
        <v>44982</v>
      </c>
      <c r="C994" s="1" t="n">
        <v>45643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9768-2023</t>
        </is>
      </c>
      <c r="B995" s="1" t="n">
        <v>44984</v>
      </c>
      <c r="C995" s="1" t="n">
        <v>45643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9942-2023</t>
        </is>
      </c>
      <c r="B996" s="1" t="n">
        <v>44985</v>
      </c>
      <c r="C996" s="1" t="n">
        <v>45643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10160-2023</t>
        </is>
      </c>
      <c r="B997" s="1" t="n">
        <v>44986</v>
      </c>
      <c r="C997" s="1" t="n">
        <v>45643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10167-2023</t>
        </is>
      </c>
      <c r="B998" s="1" t="n">
        <v>44986</v>
      </c>
      <c r="C998" s="1" t="n">
        <v>45643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10109-2023</t>
        </is>
      </c>
      <c r="B999" s="1" t="n">
        <v>44986</v>
      </c>
      <c r="C999" s="1" t="n">
        <v>45643</v>
      </c>
      <c r="D999" t="inlineStr">
        <is>
          <t>KALMAR LÄN</t>
        </is>
      </c>
      <c r="E999" t="inlineStr">
        <is>
          <t>NYBRO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10895-2023</t>
        </is>
      </c>
      <c r="B1000" s="1" t="n">
        <v>44991</v>
      </c>
      <c r="C1000" s="1" t="n">
        <v>45643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11155-2023</t>
        </is>
      </c>
      <c r="B1001" s="1" t="n">
        <v>44992</v>
      </c>
      <c r="C1001" s="1" t="n">
        <v>45643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11156-2023</t>
        </is>
      </c>
      <c r="B1002" s="1" t="n">
        <v>44992</v>
      </c>
      <c r="C1002" s="1" t="n">
        <v>45643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12407-2023</t>
        </is>
      </c>
      <c r="B1003" s="1" t="n">
        <v>44999</v>
      </c>
      <c r="C1003" s="1" t="n">
        <v>45643</v>
      </c>
      <c r="D1003" t="inlineStr">
        <is>
          <t>KALMAR LÄN</t>
        </is>
      </c>
      <c r="E1003" t="inlineStr">
        <is>
          <t>NYBRO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12410-2023</t>
        </is>
      </c>
      <c r="B1004" s="1" t="n">
        <v>44999</v>
      </c>
      <c r="C1004" s="1" t="n">
        <v>45643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12863-2023</t>
        </is>
      </c>
      <c r="B1005" s="1" t="n">
        <v>45001</v>
      </c>
      <c r="C1005" s="1" t="n">
        <v>45643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13646-2023</t>
        </is>
      </c>
      <c r="B1006" s="1" t="n">
        <v>45006</v>
      </c>
      <c r="C1006" s="1" t="n">
        <v>45643</v>
      </c>
      <c r="D1006" t="inlineStr">
        <is>
          <t>KALMAR LÄN</t>
        </is>
      </c>
      <c r="E1006" t="inlineStr">
        <is>
          <t>NYBRO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13674-2023</t>
        </is>
      </c>
      <c r="B1007" s="1" t="n">
        <v>45006</v>
      </c>
      <c r="C1007" s="1" t="n">
        <v>45643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13719-2023</t>
        </is>
      </c>
      <c r="B1008" s="1" t="n">
        <v>45007</v>
      </c>
      <c r="C1008" s="1" t="n">
        <v>45643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14300-2023</t>
        </is>
      </c>
      <c r="B1009" s="1" t="n">
        <v>45011</v>
      </c>
      <c r="C1009" s="1" t="n">
        <v>45643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14299-2023</t>
        </is>
      </c>
      <c r="B1010" s="1" t="n">
        <v>45011</v>
      </c>
      <c r="C1010" s="1" t="n">
        <v>45643</v>
      </c>
      <c r="D1010" t="inlineStr">
        <is>
          <t>KALMAR LÄN</t>
        </is>
      </c>
      <c r="E1010" t="inlineStr">
        <is>
          <t>NYBRO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14321-2023</t>
        </is>
      </c>
      <c r="B1011" s="1" t="n">
        <v>45012</v>
      </c>
      <c r="C1011" s="1" t="n">
        <v>45643</v>
      </c>
      <c r="D1011" t="inlineStr">
        <is>
          <t>KALMAR LÄN</t>
        </is>
      </c>
      <c r="E1011" t="inlineStr">
        <is>
          <t>NYBRO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14370-2023</t>
        </is>
      </c>
      <c r="B1012" s="1" t="n">
        <v>45012</v>
      </c>
      <c r="C1012" s="1" t="n">
        <v>45643</v>
      </c>
      <c r="D1012" t="inlineStr">
        <is>
          <t>KALMAR LÄN</t>
        </is>
      </c>
      <c r="E1012" t="inlineStr">
        <is>
          <t>NYBRO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14417-2023</t>
        </is>
      </c>
      <c r="B1013" s="1" t="n">
        <v>45012</v>
      </c>
      <c r="C1013" s="1" t="n">
        <v>45643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14377-2023</t>
        </is>
      </c>
      <c r="B1014" s="1" t="n">
        <v>45012</v>
      </c>
      <c r="C1014" s="1" t="n">
        <v>45643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14638-2023</t>
        </is>
      </c>
      <c r="B1015" s="1" t="n">
        <v>45013</v>
      </c>
      <c r="C1015" s="1" t="n">
        <v>45643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14586-2023</t>
        </is>
      </c>
      <c r="B1016" s="1" t="n">
        <v>45013</v>
      </c>
      <c r="C1016" s="1" t="n">
        <v>45643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15116-2023</t>
        </is>
      </c>
      <c r="B1017" s="1" t="n">
        <v>45016</v>
      </c>
      <c r="C1017" s="1" t="n">
        <v>45643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15281-2023</t>
        </is>
      </c>
      <c r="B1018" s="1" t="n">
        <v>45019</v>
      </c>
      <c r="C1018" s="1" t="n">
        <v>45643</v>
      </c>
      <c r="D1018" t="inlineStr">
        <is>
          <t>KALMAR LÄN</t>
        </is>
      </c>
      <c r="E1018" t="inlineStr">
        <is>
          <t>NYBRO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15349-2023</t>
        </is>
      </c>
      <c r="B1019" s="1" t="n">
        <v>45019</v>
      </c>
      <c r="C1019" s="1" t="n">
        <v>45643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15735-2023</t>
        </is>
      </c>
      <c r="B1020" s="1" t="n">
        <v>45021</v>
      </c>
      <c r="C1020" s="1" t="n">
        <v>45643</v>
      </c>
      <c r="D1020" t="inlineStr">
        <is>
          <t>KALMAR LÄN</t>
        </is>
      </c>
      <c r="E1020" t="inlineStr">
        <is>
          <t>NYBRO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15829-2023</t>
        </is>
      </c>
      <c r="B1021" s="1" t="n">
        <v>45022</v>
      </c>
      <c r="C1021" s="1" t="n">
        <v>45643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15898-2023</t>
        </is>
      </c>
      <c r="B1022" s="1" t="n">
        <v>45022</v>
      </c>
      <c r="C1022" s="1" t="n">
        <v>45643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15828-2023</t>
        </is>
      </c>
      <c r="B1023" s="1" t="n">
        <v>45022</v>
      </c>
      <c r="C1023" s="1" t="n">
        <v>45643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15830-2023</t>
        </is>
      </c>
      <c r="B1024" s="1" t="n">
        <v>45022</v>
      </c>
      <c r="C1024" s="1" t="n">
        <v>45643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15831-2023</t>
        </is>
      </c>
      <c r="B1025" s="1" t="n">
        <v>45022</v>
      </c>
      <c r="C1025" s="1" t="n">
        <v>45643</v>
      </c>
      <c r="D1025" t="inlineStr">
        <is>
          <t>KALMAR LÄN</t>
        </is>
      </c>
      <c r="E1025" t="inlineStr">
        <is>
          <t>NYBRO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16338-2023</t>
        </is>
      </c>
      <c r="B1026" s="1" t="n">
        <v>45028</v>
      </c>
      <c r="C1026" s="1" t="n">
        <v>45643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16296-2023</t>
        </is>
      </c>
      <c r="B1027" s="1" t="n">
        <v>45028</v>
      </c>
      <c r="C1027" s="1" t="n">
        <v>45643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17605-2023</t>
        </is>
      </c>
      <c r="B1028" s="1" t="n">
        <v>45035</v>
      </c>
      <c r="C1028" s="1" t="n">
        <v>45643</v>
      </c>
      <c r="D1028" t="inlineStr">
        <is>
          <t>KALMAR LÄN</t>
        </is>
      </c>
      <c r="E1028" t="inlineStr">
        <is>
          <t>NYBRO</t>
        </is>
      </c>
      <c r="G1028" t="n">
        <v>15.1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17749-2023</t>
        </is>
      </c>
      <c r="B1029" s="1" t="n">
        <v>45037</v>
      </c>
      <c r="C1029" s="1" t="n">
        <v>45643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18237-2023</t>
        </is>
      </c>
      <c r="B1030" s="1" t="n">
        <v>45041</v>
      </c>
      <c r="C1030" s="1" t="n">
        <v>45643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18400-2023</t>
        </is>
      </c>
      <c r="B1031" s="1" t="n">
        <v>45042</v>
      </c>
      <c r="C1031" s="1" t="n">
        <v>45643</v>
      </c>
      <c r="D1031" t="inlineStr">
        <is>
          <t>KALMAR LÄN</t>
        </is>
      </c>
      <c r="E1031" t="inlineStr">
        <is>
          <t>NYBRO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18416-2023</t>
        </is>
      </c>
      <c r="B1032" s="1" t="n">
        <v>45042</v>
      </c>
      <c r="C1032" s="1" t="n">
        <v>45643</v>
      </c>
      <c r="D1032" t="inlineStr">
        <is>
          <t>KALMAR LÄN</t>
        </is>
      </c>
      <c r="E1032" t="inlineStr">
        <is>
          <t>NYBRO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18402-2023</t>
        </is>
      </c>
      <c r="B1033" s="1" t="n">
        <v>45042</v>
      </c>
      <c r="C1033" s="1" t="n">
        <v>45643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18415-2023</t>
        </is>
      </c>
      <c r="B1034" s="1" t="n">
        <v>45042</v>
      </c>
      <c r="C1034" s="1" t="n">
        <v>45643</v>
      </c>
      <c r="D1034" t="inlineStr">
        <is>
          <t>KALMAR LÄN</t>
        </is>
      </c>
      <c r="E1034" t="inlineStr">
        <is>
          <t>NYBRO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18424-2023</t>
        </is>
      </c>
      <c r="B1035" s="1" t="n">
        <v>45042</v>
      </c>
      <c r="C1035" s="1" t="n">
        <v>45643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18412-2023</t>
        </is>
      </c>
      <c r="B1036" s="1" t="n">
        <v>45042</v>
      </c>
      <c r="C1036" s="1" t="n">
        <v>45643</v>
      </c>
      <c r="D1036" t="inlineStr">
        <is>
          <t>KALMAR LÄN</t>
        </is>
      </c>
      <c r="E1036" t="inlineStr">
        <is>
          <t>NYBRO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18418-2023</t>
        </is>
      </c>
      <c r="B1037" s="1" t="n">
        <v>45042</v>
      </c>
      <c r="C1037" s="1" t="n">
        <v>45643</v>
      </c>
      <c r="D1037" t="inlineStr">
        <is>
          <t>KALMAR LÄN</t>
        </is>
      </c>
      <c r="E1037" t="inlineStr">
        <is>
          <t>NYBRO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18567-2023</t>
        </is>
      </c>
      <c r="B1038" s="1" t="n">
        <v>45043</v>
      </c>
      <c r="C1038" s="1" t="n">
        <v>45643</v>
      </c>
      <c r="D1038" t="inlineStr">
        <is>
          <t>KALMAR LÄN</t>
        </is>
      </c>
      <c r="E1038" t="inlineStr">
        <is>
          <t>NYBRO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18748-2023</t>
        </is>
      </c>
      <c r="B1039" s="1" t="n">
        <v>45043</v>
      </c>
      <c r="C1039" s="1" t="n">
        <v>45643</v>
      </c>
      <c r="D1039" t="inlineStr">
        <is>
          <t>KALMAR LÄN</t>
        </is>
      </c>
      <c r="E1039" t="inlineStr">
        <is>
          <t>NYBRO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18566-2023</t>
        </is>
      </c>
      <c r="B1040" s="1" t="n">
        <v>45043</v>
      </c>
      <c r="C1040" s="1" t="n">
        <v>45643</v>
      </c>
      <c r="D1040" t="inlineStr">
        <is>
          <t>KALMAR LÄN</t>
        </is>
      </c>
      <c r="E1040" t="inlineStr">
        <is>
          <t>NYBRO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18571-2023</t>
        </is>
      </c>
      <c r="B1041" s="1" t="n">
        <v>45043</v>
      </c>
      <c r="C1041" s="1" t="n">
        <v>45643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18749-2023</t>
        </is>
      </c>
      <c r="B1042" s="1" t="n">
        <v>45043</v>
      </c>
      <c r="C1042" s="1" t="n">
        <v>45643</v>
      </c>
      <c r="D1042" t="inlineStr">
        <is>
          <t>KALMAR LÄN</t>
        </is>
      </c>
      <c r="E1042" t="inlineStr">
        <is>
          <t>NYBRO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18790-2023</t>
        </is>
      </c>
      <c r="B1043" s="1" t="n">
        <v>45044</v>
      </c>
      <c r="C1043" s="1" t="n">
        <v>45643</v>
      </c>
      <c r="D1043" t="inlineStr">
        <is>
          <t>KALMAR LÄN</t>
        </is>
      </c>
      <c r="E1043" t="inlineStr">
        <is>
          <t>NYBRO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19094-2023</t>
        </is>
      </c>
      <c r="B1044" s="1" t="n">
        <v>45048</v>
      </c>
      <c r="C1044" s="1" t="n">
        <v>45643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19092-2023</t>
        </is>
      </c>
      <c r="B1045" s="1" t="n">
        <v>45048</v>
      </c>
      <c r="C1045" s="1" t="n">
        <v>45643</v>
      </c>
      <c r="D1045" t="inlineStr">
        <is>
          <t>KALMAR LÄN</t>
        </is>
      </c>
      <c r="E1045" t="inlineStr">
        <is>
          <t>NYBRO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19524-2023</t>
        </is>
      </c>
      <c r="B1046" s="1" t="n">
        <v>45049</v>
      </c>
      <c r="C1046" s="1" t="n">
        <v>45643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19522-2023</t>
        </is>
      </c>
      <c r="B1047" s="1" t="n">
        <v>45049</v>
      </c>
      <c r="C1047" s="1" t="n">
        <v>45643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19523-2023</t>
        </is>
      </c>
      <c r="B1048" s="1" t="n">
        <v>45050</v>
      </c>
      <c r="C1048" s="1" t="n">
        <v>45643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19539-2023</t>
        </is>
      </c>
      <c r="B1049" s="1" t="n">
        <v>45050</v>
      </c>
      <c r="C1049" s="1" t="n">
        <v>45643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19649-2023</t>
        </is>
      </c>
      <c r="B1050" s="1" t="n">
        <v>45051</v>
      </c>
      <c r="C1050" s="1" t="n">
        <v>45643</v>
      </c>
      <c r="D1050" t="inlineStr">
        <is>
          <t>KALMAR LÄN</t>
        </is>
      </c>
      <c r="E1050" t="inlineStr">
        <is>
          <t>NYBRO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19788-2023</t>
        </is>
      </c>
      <c r="B1051" s="1" t="n">
        <v>45051</v>
      </c>
      <c r="C1051" s="1" t="n">
        <v>45643</v>
      </c>
      <c r="D1051" t="inlineStr">
        <is>
          <t>KALMAR LÄN</t>
        </is>
      </c>
      <c r="E1051" t="inlineStr">
        <is>
          <t>NYBRO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19967-2023</t>
        </is>
      </c>
      <c r="B1052" s="1" t="n">
        <v>45054</v>
      </c>
      <c r="C1052" s="1" t="n">
        <v>45643</v>
      </c>
      <c r="D1052" t="inlineStr">
        <is>
          <t>KALMAR LÄN</t>
        </is>
      </c>
      <c r="E1052" t="inlineStr">
        <is>
          <t>NYBRO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20112-2023</t>
        </is>
      </c>
      <c r="B1053" s="1" t="n">
        <v>45055</v>
      </c>
      <c r="C1053" s="1" t="n">
        <v>45643</v>
      </c>
      <c r="D1053" t="inlineStr">
        <is>
          <t>KALMAR LÄN</t>
        </is>
      </c>
      <c r="E1053" t="inlineStr">
        <is>
          <t>NYBRO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20386-2023</t>
        </is>
      </c>
      <c r="B1054" s="1" t="n">
        <v>45056</v>
      </c>
      <c r="C1054" s="1" t="n">
        <v>45643</v>
      </c>
      <c r="D1054" t="inlineStr">
        <is>
          <t>KALMAR LÄN</t>
        </is>
      </c>
      <c r="E1054" t="inlineStr">
        <is>
          <t>NYBRO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20434-2023</t>
        </is>
      </c>
      <c r="B1055" s="1" t="n">
        <v>45056</v>
      </c>
      <c r="C1055" s="1" t="n">
        <v>45643</v>
      </c>
      <c r="D1055" t="inlineStr">
        <is>
          <t>KALMAR LÄN</t>
        </is>
      </c>
      <c r="E1055" t="inlineStr">
        <is>
          <t>NYBRO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21175-2023</t>
        </is>
      </c>
      <c r="B1056" s="1" t="n">
        <v>45057</v>
      </c>
      <c r="C1056" s="1" t="n">
        <v>45643</v>
      </c>
      <c r="D1056" t="inlineStr">
        <is>
          <t>KALMAR LÄN</t>
        </is>
      </c>
      <c r="E1056" t="inlineStr">
        <is>
          <t>NYBRO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20565-2023</t>
        </is>
      </c>
      <c r="B1057" s="1" t="n">
        <v>45057</v>
      </c>
      <c r="C1057" s="1" t="n">
        <v>45643</v>
      </c>
      <c r="D1057" t="inlineStr">
        <is>
          <t>KALMAR LÄN</t>
        </is>
      </c>
      <c r="E1057" t="inlineStr">
        <is>
          <t>NYBRO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20571-2023</t>
        </is>
      </c>
      <c r="B1058" s="1" t="n">
        <v>45057</v>
      </c>
      <c r="C1058" s="1" t="n">
        <v>45643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21187-2023</t>
        </is>
      </c>
      <c r="B1059" s="1" t="n">
        <v>45057</v>
      </c>
      <c r="C1059" s="1" t="n">
        <v>45643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21180-2023</t>
        </is>
      </c>
      <c r="B1060" s="1" t="n">
        <v>45057</v>
      </c>
      <c r="C1060" s="1" t="n">
        <v>45643</v>
      </c>
      <c r="D1060" t="inlineStr">
        <is>
          <t>KALMAR LÄN</t>
        </is>
      </c>
      <c r="E1060" t="inlineStr">
        <is>
          <t>NYBRO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21433-2023</t>
        </is>
      </c>
      <c r="B1061" s="1" t="n">
        <v>45063</v>
      </c>
      <c r="C1061" s="1" t="n">
        <v>45643</v>
      </c>
      <c r="D1061" t="inlineStr">
        <is>
          <t>KALMAR LÄN</t>
        </is>
      </c>
      <c r="E1061" t="inlineStr">
        <is>
          <t>NYBRO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21613-2023</t>
        </is>
      </c>
      <c r="B1062" s="1" t="n">
        <v>45063</v>
      </c>
      <c r="C1062" s="1" t="n">
        <v>45643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21955-2023</t>
        </is>
      </c>
      <c r="B1063" s="1" t="n">
        <v>45068</v>
      </c>
      <c r="C1063" s="1" t="n">
        <v>45643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22171-2023</t>
        </is>
      </c>
      <c r="B1064" s="1" t="n">
        <v>45069</v>
      </c>
      <c r="C1064" s="1" t="n">
        <v>45643</v>
      </c>
      <c r="D1064" t="inlineStr">
        <is>
          <t>KALMAR LÄN</t>
        </is>
      </c>
      <c r="E1064" t="inlineStr">
        <is>
          <t>NYBRO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22208-2023</t>
        </is>
      </c>
      <c r="B1065" s="1" t="n">
        <v>45069</v>
      </c>
      <c r="C1065" s="1" t="n">
        <v>45643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22169-2023</t>
        </is>
      </c>
      <c r="B1066" s="1" t="n">
        <v>45069</v>
      </c>
      <c r="C1066" s="1" t="n">
        <v>45643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22059-2023</t>
        </is>
      </c>
      <c r="B1067" s="1" t="n">
        <v>45069</v>
      </c>
      <c r="C1067" s="1" t="n">
        <v>45643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22429-2023</t>
        </is>
      </c>
      <c r="B1068" s="1" t="n">
        <v>45070</v>
      </c>
      <c r="C1068" s="1" t="n">
        <v>45643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22424-2023</t>
        </is>
      </c>
      <c r="B1069" s="1" t="n">
        <v>45070</v>
      </c>
      <c r="C1069" s="1" t="n">
        <v>45643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22431-2023</t>
        </is>
      </c>
      <c r="B1070" s="1" t="n">
        <v>45070</v>
      </c>
      <c r="C1070" s="1" t="n">
        <v>45643</v>
      </c>
      <c r="D1070" t="inlineStr">
        <is>
          <t>KALMAR LÄN</t>
        </is>
      </c>
      <c r="E1070" t="inlineStr">
        <is>
          <t>NYBRO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22435-2023</t>
        </is>
      </c>
      <c r="B1071" s="1" t="n">
        <v>45070</v>
      </c>
      <c r="C1071" s="1" t="n">
        <v>45643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23255-2023</t>
        </is>
      </c>
      <c r="B1072" s="1" t="n">
        <v>45071</v>
      </c>
      <c r="C1072" s="1" t="n">
        <v>45643</v>
      </c>
      <c r="D1072" t="inlineStr">
        <is>
          <t>KALMAR LÄN</t>
        </is>
      </c>
      <c r="E1072" t="inlineStr">
        <is>
          <t>NYBRO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22761-2023</t>
        </is>
      </c>
      <c r="B1073" s="1" t="n">
        <v>45072</v>
      </c>
      <c r="C1073" s="1" t="n">
        <v>45643</v>
      </c>
      <c r="D1073" t="inlineStr">
        <is>
          <t>KALMAR LÄN</t>
        </is>
      </c>
      <c r="E1073" t="inlineStr">
        <is>
          <t>NYBRO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22877-2023</t>
        </is>
      </c>
      <c r="B1074" s="1" t="n">
        <v>45072</v>
      </c>
      <c r="C1074" s="1" t="n">
        <v>45643</v>
      </c>
      <c r="D1074" t="inlineStr">
        <is>
          <t>KALMAR LÄN</t>
        </is>
      </c>
      <c r="E1074" t="inlineStr">
        <is>
          <t>NYBRO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22812-2023</t>
        </is>
      </c>
      <c r="B1075" s="1" t="n">
        <v>45072</v>
      </c>
      <c r="C1075" s="1" t="n">
        <v>45643</v>
      </c>
      <c r="D1075" t="inlineStr">
        <is>
          <t>KALMAR LÄN</t>
        </is>
      </c>
      <c r="E1075" t="inlineStr">
        <is>
          <t>NYBRO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22873-2023</t>
        </is>
      </c>
      <c r="B1076" s="1" t="n">
        <v>45072</v>
      </c>
      <c r="C1076" s="1" t="n">
        <v>45643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23204-2023</t>
        </is>
      </c>
      <c r="B1077" s="1" t="n">
        <v>45075</v>
      </c>
      <c r="C1077" s="1" t="n">
        <v>45643</v>
      </c>
      <c r="D1077" t="inlineStr">
        <is>
          <t>KALMAR LÄN</t>
        </is>
      </c>
      <c r="E1077" t="inlineStr">
        <is>
          <t>NYBRO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23926-2023</t>
        </is>
      </c>
      <c r="B1078" s="1" t="n">
        <v>45075</v>
      </c>
      <c r="C1078" s="1" t="n">
        <v>45643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23933-2023</t>
        </is>
      </c>
      <c r="B1079" s="1" t="n">
        <v>45075</v>
      </c>
      <c r="C1079" s="1" t="n">
        <v>45643</v>
      </c>
      <c r="D1079" t="inlineStr">
        <is>
          <t>KALMAR LÄN</t>
        </is>
      </c>
      <c r="E1079" t="inlineStr">
        <is>
          <t>NYBRO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23577-2023</t>
        </is>
      </c>
      <c r="B1080" s="1" t="n">
        <v>45077</v>
      </c>
      <c r="C1080" s="1" t="n">
        <v>45643</v>
      </c>
      <c r="D1080" t="inlineStr">
        <is>
          <t>KALMAR LÄN</t>
        </is>
      </c>
      <c r="E1080" t="inlineStr">
        <is>
          <t>NYBRO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23682-2023</t>
        </is>
      </c>
      <c r="B1081" s="1" t="n">
        <v>45077</v>
      </c>
      <c r="C1081" s="1" t="n">
        <v>45643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23824-2023</t>
        </is>
      </c>
      <c r="B1082" s="1" t="n">
        <v>45078</v>
      </c>
      <c r="C1082" s="1" t="n">
        <v>45643</v>
      </c>
      <c r="D1082" t="inlineStr">
        <is>
          <t>KALMAR LÄN</t>
        </is>
      </c>
      <c r="E1082" t="inlineStr">
        <is>
          <t>NYBRO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23814-2023</t>
        </is>
      </c>
      <c r="B1083" s="1" t="n">
        <v>45078</v>
      </c>
      <c r="C1083" s="1" t="n">
        <v>45643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23818-2023</t>
        </is>
      </c>
      <c r="B1084" s="1" t="n">
        <v>45078</v>
      </c>
      <c r="C1084" s="1" t="n">
        <v>45643</v>
      </c>
      <c r="D1084" t="inlineStr">
        <is>
          <t>KALMAR LÄN</t>
        </is>
      </c>
      <c r="E1084" t="inlineStr">
        <is>
          <t>NYBRO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24183-2023</t>
        </is>
      </c>
      <c r="B1085" s="1" t="n">
        <v>45079</v>
      </c>
      <c r="C1085" s="1" t="n">
        <v>45643</v>
      </c>
      <c r="D1085" t="inlineStr">
        <is>
          <t>KALMAR LÄN</t>
        </is>
      </c>
      <c r="E1085" t="inlineStr">
        <is>
          <t>NYBRO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24188-2023</t>
        </is>
      </c>
      <c r="B1086" s="1" t="n">
        <v>45079</v>
      </c>
      <c r="C1086" s="1" t="n">
        <v>45643</v>
      </c>
      <c r="D1086" t="inlineStr">
        <is>
          <t>KALMAR LÄN</t>
        </is>
      </c>
      <c r="E1086" t="inlineStr">
        <is>
          <t>NYBRO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24111-2023</t>
        </is>
      </c>
      <c r="B1087" s="1" t="n">
        <v>45079</v>
      </c>
      <c r="C1087" s="1" t="n">
        <v>45643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24127-2023</t>
        </is>
      </c>
      <c r="B1088" s="1" t="n">
        <v>45079</v>
      </c>
      <c r="C1088" s="1" t="n">
        <v>45643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24398-2023</t>
        </is>
      </c>
      <c r="B1089" s="1" t="n">
        <v>45082</v>
      </c>
      <c r="C1089" s="1" t="n">
        <v>45643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24452-2023</t>
        </is>
      </c>
      <c r="B1090" s="1" t="n">
        <v>45082</v>
      </c>
      <c r="C1090" s="1" t="n">
        <v>45643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24689-2023</t>
        </is>
      </c>
      <c r="B1091" s="1" t="n">
        <v>45084</v>
      </c>
      <c r="C1091" s="1" t="n">
        <v>45643</v>
      </c>
      <c r="D1091" t="inlineStr">
        <is>
          <t>KALMAR LÄN</t>
        </is>
      </c>
      <c r="E1091" t="inlineStr">
        <is>
          <t>NYBRO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24941-2023</t>
        </is>
      </c>
      <c r="B1092" s="1" t="n">
        <v>45085</v>
      </c>
      <c r="C1092" s="1" t="n">
        <v>45643</v>
      </c>
      <c r="D1092" t="inlineStr">
        <is>
          <t>KALMAR LÄN</t>
        </is>
      </c>
      <c r="E1092" t="inlineStr">
        <is>
          <t>NYBRO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26237-2023</t>
        </is>
      </c>
      <c r="B1093" s="1" t="n">
        <v>45086</v>
      </c>
      <c r="C1093" s="1" t="n">
        <v>45643</v>
      </c>
      <c r="D1093" t="inlineStr">
        <is>
          <t>KALMAR LÄN</t>
        </is>
      </c>
      <c r="E1093" t="inlineStr">
        <is>
          <t>NYBRO</t>
        </is>
      </c>
      <c r="G1093" t="n">
        <v>26.3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25382-2023</t>
        </is>
      </c>
      <c r="B1094" s="1" t="n">
        <v>45089</v>
      </c>
      <c r="C1094" s="1" t="n">
        <v>45643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25472-2023</t>
        </is>
      </c>
      <c r="B1095" s="1" t="n">
        <v>45089</v>
      </c>
      <c r="C1095" s="1" t="n">
        <v>45643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25816-2023</t>
        </is>
      </c>
      <c r="B1096" s="1" t="n">
        <v>45090</v>
      </c>
      <c r="C1096" s="1" t="n">
        <v>45643</v>
      </c>
      <c r="D1096" t="inlineStr">
        <is>
          <t>KALMAR LÄN</t>
        </is>
      </c>
      <c r="E1096" t="inlineStr">
        <is>
          <t>NYBRO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25818-2023</t>
        </is>
      </c>
      <c r="B1097" s="1" t="n">
        <v>45090</v>
      </c>
      <c r="C1097" s="1" t="n">
        <v>45643</v>
      </c>
      <c r="D1097" t="inlineStr">
        <is>
          <t>KALMAR LÄN</t>
        </is>
      </c>
      <c r="E1097" t="inlineStr">
        <is>
          <t>NYBRO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25838-2023</t>
        </is>
      </c>
      <c r="B1098" s="1" t="n">
        <v>45090</v>
      </c>
      <c r="C1098" s="1" t="n">
        <v>45643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25798-2023</t>
        </is>
      </c>
      <c r="B1099" s="1" t="n">
        <v>45090</v>
      </c>
      <c r="C1099" s="1" t="n">
        <v>45643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26125-2023</t>
        </is>
      </c>
      <c r="B1100" s="1" t="n">
        <v>45091</v>
      </c>
      <c r="C1100" s="1" t="n">
        <v>45643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26139-2023</t>
        </is>
      </c>
      <c r="B1101" s="1" t="n">
        <v>45091</v>
      </c>
      <c r="C1101" s="1" t="n">
        <v>45643</v>
      </c>
      <c r="D1101" t="inlineStr">
        <is>
          <t>KALMAR LÄN</t>
        </is>
      </c>
      <c r="E1101" t="inlineStr">
        <is>
          <t>NYBRO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26135-2023</t>
        </is>
      </c>
      <c r="B1102" s="1" t="n">
        <v>45091</v>
      </c>
      <c r="C1102" s="1" t="n">
        <v>45643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26120-2023</t>
        </is>
      </c>
      <c r="B1103" s="1" t="n">
        <v>45091</v>
      </c>
      <c r="C1103" s="1" t="n">
        <v>45643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26129-2023</t>
        </is>
      </c>
      <c r="B1104" s="1" t="n">
        <v>45091</v>
      </c>
      <c r="C1104" s="1" t="n">
        <v>45643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26492-2023</t>
        </is>
      </c>
      <c r="B1105" s="1" t="n">
        <v>45092</v>
      </c>
      <c r="C1105" s="1" t="n">
        <v>45643</v>
      </c>
      <c r="D1105" t="inlineStr">
        <is>
          <t>KALMAR LÄN</t>
        </is>
      </c>
      <c r="E1105" t="inlineStr">
        <is>
          <t>NYBRO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26422-2023</t>
        </is>
      </c>
      <c r="B1106" s="1" t="n">
        <v>45092</v>
      </c>
      <c r="C1106" s="1" t="n">
        <v>45643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26426-2023</t>
        </is>
      </c>
      <c r="B1107" s="1" t="n">
        <v>45092</v>
      </c>
      <c r="C1107" s="1" t="n">
        <v>45643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26688-2023</t>
        </is>
      </c>
      <c r="B1108" s="1" t="n">
        <v>45093</v>
      </c>
      <c r="C1108" s="1" t="n">
        <v>45643</v>
      </c>
      <c r="D1108" t="inlineStr">
        <is>
          <t>KALMAR LÄN</t>
        </is>
      </c>
      <c r="E1108" t="inlineStr">
        <is>
          <t>NYBRO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45643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45643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45643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45643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45643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45643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45643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45643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45643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45643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45643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45643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45643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45643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45643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45643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45643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45643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45643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45643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45643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45643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45643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45643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45643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45643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45643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45643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45643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45643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45643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45643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45643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45643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45643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45643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45643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45643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45643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45643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45643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45643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45643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45643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45643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45643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45643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45643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45643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45643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45643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45643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45643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45643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45643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45643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45643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45643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45643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45643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45643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45643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45643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45643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45643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45643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45643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45643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45643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45643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45643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45643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45643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45643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45643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45643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45643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45643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45643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45643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45643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45643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45643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45643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45643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45643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45643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45643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45643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45643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45643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45643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45643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45643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45643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45643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45643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45643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45643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45643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45643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45643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45643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45643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45643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45643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45643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45643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45643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45643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45643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45643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45643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45643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45643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45643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45643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45643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45643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45643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45643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45643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45643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45643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45643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45643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45643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45643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45643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45643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45643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45643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45643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45643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45643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45643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45643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45643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45643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45643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45643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45643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45643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45643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45643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45643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45643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45643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45643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45643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45643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45643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45643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45643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45643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45643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45643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45643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45643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45643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45643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45643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45643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45643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45643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45643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45643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45643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45643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45643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45643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45643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45643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45643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45643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45643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45643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45643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45643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45643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45643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45643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45643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45643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45643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45643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45643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45643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45643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45643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45643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45643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45643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45643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45643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45643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45643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45643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45643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45643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45643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45643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45643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45643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45643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45643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45643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45643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45643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45643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45643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45643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45643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45643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45643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45643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45643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45643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45643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45643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45643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45643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45643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45643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45643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45643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45643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45643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45643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45643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45643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45643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45643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45643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45643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45643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45643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45643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45643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45643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45643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45643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45643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45643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45643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45643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45643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45643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45643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45643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45643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45643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45643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45643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45643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45643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45643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45643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45643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45643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45643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45643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45643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45643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45643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45643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45643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45643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45643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45643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45643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45643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45643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45643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45643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45643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45643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45643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45643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45643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45643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45643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45643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45643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45643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45643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45643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45643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45643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45643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45643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45643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45643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45643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45643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45643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45643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45643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45643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45643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45643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45643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45643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45643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45643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45643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45643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45643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45643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45643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45643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45643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45643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45643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45643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45643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45643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45643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45643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45643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45643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45643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45643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45643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45643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45643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45643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45643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45643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45643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45643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45643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45643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45643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45643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45643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45643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45643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45643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45643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45643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45643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45643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45643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45643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45643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45643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45643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45643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45643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45643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45643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45643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45643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45643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45643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45643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45643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45643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45643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45643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45643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45643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45643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45643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45643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45643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45643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45643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45643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45643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45643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45643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45643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45643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45643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45643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45643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45643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45643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45643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45643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45643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45643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45643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45643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45643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45643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45643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45643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45643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45643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45643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45643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45643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45643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45643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45643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45643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45643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45643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45643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45643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45643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45643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45643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45643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45643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45643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45643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45643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45643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45643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45643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45643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45643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45643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45643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45643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45643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45643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45643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45643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45643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45643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45643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45643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45643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45643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45643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45643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45643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45643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45643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45643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45643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45643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45643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45643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45643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45643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45643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45643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45643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45643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45643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45643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45643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45643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45643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45643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45643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45643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45643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45643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45643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45643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45643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45643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45643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45643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45643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45643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45643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45643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45643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45643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45643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45643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45643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45643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45643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45643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45643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45643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45643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45643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45643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45643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45643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45643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45643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45643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45643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45643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45643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45643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45643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45643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45643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45643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45643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45643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45643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45643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45643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45643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45643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45643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45643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45643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45643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45643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45643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45643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45643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45643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45643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45643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45643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45643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45643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45643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45643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45643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45643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45643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45643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45643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45643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45643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45643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45643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45643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45643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45643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45643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45643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45643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45643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45643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45643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45643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45643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45643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45643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45643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45643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45643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45643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45643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45643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45643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45643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45643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45643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45643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45643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45643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45643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45643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45643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45643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45643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45643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45643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45643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45643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45643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45643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45643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45643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45643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45643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45643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45643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45643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45643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45643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45643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45643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45643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45643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45643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45643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45643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45643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45643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45643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45643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45643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45643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45643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45643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45643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45643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45643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45643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45643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45643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45643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45643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45643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45643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45643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45643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45643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45643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45643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45643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45643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45643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45643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45643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45643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45643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45643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45643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45643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45643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45643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45643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45643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45643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45643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45643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45643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54245-2024</t>
        </is>
      </c>
      <c r="B1726" s="1" t="n">
        <v>45616</v>
      </c>
      <c r="C1726" s="1" t="n">
        <v>45643</v>
      </c>
      <c r="D1726" t="inlineStr">
        <is>
          <t>KALMAR LÄN</t>
        </is>
      </c>
      <c r="E1726" t="inlineStr">
        <is>
          <t>NYBRO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54249-2024</t>
        </is>
      </c>
      <c r="B1727" s="1" t="n">
        <v>45616</v>
      </c>
      <c r="C1727" s="1" t="n">
        <v>45643</v>
      </c>
      <c r="D1727" t="inlineStr">
        <is>
          <t>KALMAR LÄN</t>
        </is>
      </c>
      <c r="E1727" t="inlineStr">
        <is>
          <t>NYBRO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45643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45643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45643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45643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55304-2024</t>
        </is>
      </c>
      <c r="B1732" s="1" t="n">
        <v>45621</v>
      </c>
      <c r="C1732" s="1" t="n">
        <v>45643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45643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45643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45643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45643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45643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45643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45643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45643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58742-2024</t>
        </is>
      </c>
      <c r="B1741" s="1" t="n">
        <v>45635</v>
      </c>
      <c r="C1741" s="1" t="n">
        <v>45643</v>
      </c>
      <c r="D1741" t="inlineStr">
        <is>
          <t>KALMAR LÄN</t>
        </is>
      </c>
      <c r="E1741" t="inlineStr">
        <is>
          <t>NYBRO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58551-2024</t>
        </is>
      </c>
      <c r="B1742" s="1" t="n">
        <v>45635</v>
      </c>
      <c r="C1742" s="1" t="n">
        <v>45643</v>
      </c>
      <c r="D1742" t="inlineStr">
        <is>
          <t>KALMAR LÄN</t>
        </is>
      </c>
      <c r="E1742" t="inlineStr">
        <is>
          <t>NYBRO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45643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59207-2024</t>
        </is>
      </c>
      <c r="B1744" s="1" t="n">
        <v>45637</v>
      </c>
      <c r="C1744" s="1" t="n">
        <v>45643</v>
      </c>
      <c r="D1744" t="inlineStr">
        <is>
          <t>KALMAR LÄN</t>
        </is>
      </c>
      <c r="E1744" t="inlineStr">
        <is>
          <t>NYBRO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59191-2024</t>
        </is>
      </c>
      <c r="B1745" s="1" t="n">
        <v>45637</v>
      </c>
      <c r="C1745" s="1" t="n">
        <v>45643</v>
      </c>
      <c r="D1745" t="inlineStr">
        <is>
          <t>KALMAR LÄN</t>
        </is>
      </c>
      <c r="E1745" t="inlineStr">
        <is>
          <t>NYBRO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59210-2024</t>
        </is>
      </c>
      <c r="B1746" s="1" t="n">
        <v>45637</v>
      </c>
      <c r="C1746" s="1" t="n">
        <v>45643</v>
      </c>
      <c r="D1746" t="inlineStr">
        <is>
          <t>KALMAR LÄN</t>
        </is>
      </c>
      <c r="E1746" t="inlineStr">
        <is>
          <t>NYBRO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59299-2024</t>
        </is>
      </c>
      <c r="B1747" s="1" t="n">
        <v>45637</v>
      </c>
      <c r="C1747" s="1" t="n">
        <v>45643</v>
      </c>
      <c r="D1747" t="inlineStr">
        <is>
          <t>KALMAR LÄN</t>
        </is>
      </c>
      <c r="E1747" t="inlineStr">
        <is>
          <t>NYBRO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60007-2024</t>
        </is>
      </c>
      <c r="B1748" s="1" t="n">
        <v>45642</v>
      </c>
      <c r="C1748" s="1" t="n">
        <v>45643</v>
      </c>
      <c r="D1748" t="inlineStr">
        <is>
          <t>KALMAR LÄN</t>
        </is>
      </c>
      <c r="E1748" t="inlineStr">
        <is>
          <t>NYBRO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2024-12-17T15:16:23Z</dcterms:created>
  <dcterms:modified xmlns:dcterms="http://purl.org/dc/terms/" xmlns:xsi="http://www.w3.org/2001/XMLSchema-instance" xsi:type="dcterms:W3CDTF">2024-12-17T15:16:25Z</dcterms:modified>
</cp:coreProperties>
</file>