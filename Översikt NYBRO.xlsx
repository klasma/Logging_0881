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46248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46248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46248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46248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46248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46248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46248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46248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46248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46248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46248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46248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46248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46248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46248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46248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46248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46248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46248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46248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46248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46248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46248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46248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46248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46248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60746-2025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45999</v>
      </c>
      <c r="E29" s="1" t="n">
        <v>46248</v>
      </c>
      <c r="F29" t="inlineStr">
        <is>
          <t>KALMAR LÄN</t>
        </is>
      </c>
      <c r="G29" t="inlineStr">
        <is>
          <t>NYBRO</t>
        </is>
      </c>
      <c r="I29" t="n">
        <v>5.5</v>
      </c>
      <c r="J29" t="n">
        <v>0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0</v>
      </c>
      <c r="V29" s="2" t="inlineStr">
        <is>
          <t>Tallgångbagge
Hårig blombock
Mindre träfjäril
Stekelbock</t>
        </is>
      </c>
      <c r="W29">
        <f>HYPERLINK("https://klasma.github.io/Logging_0881/artfynd/A 60746-2025 artfynd.xlsx", "A 60746-2025")</f>
        <v/>
      </c>
      <c r="X29">
        <f>HYPERLINK("https://klasma.github.io/Logging_0881/kartor/A 60746-2025 karta.png", "A 60746-2025")</f>
        <v/>
      </c>
      <c r="Y29">
        <f>HYPERLINK("https://klasma.github.io/Logging_0881/kartor_geotiff/A 60746-2025 georefererad karta.tif", "A 60746-2025")</f>
        <v/>
      </c>
      <c r="AA29">
        <f>HYPERLINK("https://klasma.github.io/Logging_0881/klagomål/A 60746-2025 FSC-klagomål.docx", "A 60746-2025")</f>
        <v/>
      </c>
      <c r="AB29">
        <f>HYPERLINK("https://klasma.github.io/Logging_0881/klagomålsmail/A 60746-2025 FSC-klagomål mail.docx", "A 60746-2025")</f>
        <v/>
      </c>
      <c r="AC29">
        <f>HYPERLINK("https://klasma.github.io/Logging_0881/tillsyn/A 60746-2025 tillsynsbegäran.docx", "A 60746-2025")</f>
        <v/>
      </c>
      <c r="AD29">
        <f>HYPERLINK("https://klasma.github.io/Logging_0881/tillsynsmail/A 60746-2025 tillsynsbegäran mail.docx", "A 60746-2025")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46248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46248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46248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46248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46248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46248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3053-2024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45316</v>
      </c>
      <c r="E36" s="1" t="n">
        <v>46248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Mindre bastardsvärmare
Klubbsprötad bastardsvärmare
Slåtterfibbla</t>
        </is>
      </c>
      <c r="W36">
        <f>HYPERLINK("https://klasma.github.io/Logging_0881/artfynd/A 3053-2024 artfynd.xlsx", "A 3053-2024")</f>
        <v/>
      </c>
      <c r="X36">
        <f>HYPERLINK("https://klasma.github.io/Logging_0881/kartor/A 3053-2024 karta.png", "A 3053-2024")</f>
        <v/>
      </c>
      <c r="Y36">
        <f>HYPERLINK("https://klasma.github.io/Logging_0881/kartor_geotiff/A 3053-2024 georefererad karta.tif", "A 3053-2024")</f>
        <v/>
      </c>
      <c r="AA36">
        <f>HYPERLINK("https://klasma.github.io/Logging_0881/klagomål/A 3053-2024 FSC-klagomål.docx", "A 3053-2024")</f>
        <v/>
      </c>
      <c r="AB36">
        <f>HYPERLINK("https://klasma.github.io/Logging_0881/klagomålsmail/A 3053-2024 FSC-klagomål mail.docx", "A 3053-2024")</f>
        <v/>
      </c>
      <c r="AC36">
        <f>HYPERLINK("https://klasma.github.io/Logging_0881/tillsyn/A 3053-2024 tillsynsbegäran.docx", "A 3053-2024")</f>
        <v/>
      </c>
      <c r="AD36">
        <f>HYPERLINK("https://klasma.github.io/Logging_0881/tillsynsmail/A 3053-2024 tillsynsbegäran mail.docx", "A 3053-2024")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46248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46248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61894-2024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46248</v>
      </c>
      <c r="F39" t="inlineStr">
        <is>
          <t>KALMAR LÄN</t>
        </is>
      </c>
      <c r="G39" t="inlineStr">
        <is>
          <t>NYBRO</t>
        </is>
      </c>
      <c r="I39" t="n">
        <v>2.3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Blåmossa
Skogsknipprot
Spillkråka</t>
        </is>
      </c>
      <c r="W39">
        <f>HYPERLINK("https://klasma.github.io/Logging_0881/artfynd/A 61894-2024 artfynd.xlsx", "A 61894-2024")</f>
        <v/>
      </c>
      <c r="X39">
        <f>HYPERLINK("https://klasma.github.io/Logging_0881/kartor/A 61894-2024 karta.png", "A 61894-2024")</f>
        <v/>
      </c>
      <c r="Y39">
        <f>HYPERLINK("https://klasma.github.io/Logging_0881/kartor_geotiff/A 61894-2024 georefererad karta.tif", "A 61894-2024")</f>
        <v/>
      </c>
      <c r="AA39">
        <f>HYPERLINK("https://klasma.github.io/Logging_0881/klagomål/A 61894-2024 FSC-klagomål.docx", "A 61894-2024")</f>
        <v/>
      </c>
      <c r="AB39">
        <f>HYPERLINK("https://klasma.github.io/Logging_0881/klagomålsmail/A 61894-2024 FSC-klagomål mail.docx", "A 61894-2024")</f>
        <v/>
      </c>
      <c r="AC39">
        <f>HYPERLINK("https://klasma.github.io/Logging_0881/tillsyn/A 61894-2024 tillsynsbegäran.docx", "A 61894-2024")</f>
        <v/>
      </c>
      <c r="AD39">
        <f>HYPERLINK("https://klasma.github.io/Logging_0881/tillsynsmail/A 61894-2024 tillsynsbegäran mail.docx", "A 61894-2024")</f>
        <v/>
      </c>
      <c r="AE39">
        <f>HYPERLINK("https://klasma.github.io/Logging_0881/fåglar/A 61894-2024 prioriterade fågelarter.docx", "A 61894-2024")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46248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46248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A 39000-2025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45888</v>
      </c>
      <c r="E42" s="1" t="n">
        <v>46248</v>
      </c>
      <c r="F42" t="inlineStr">
        <is>
          <t>KALMAR LÄN</t>
        </is>
      </c>
      <c r="G42" t="inlineStr">
        <is>
          <t>NYBRO</t>
        </is>
      </c>
      <c r="I42" t="n">
        <v>1.7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Barbastell
Nordfladdermus
Gråskimlig fladdermus</t>
        </is>
      </c>
      <c r="W42">
        <f>HYPERLINK("https://klasma.github.io/Logging_0881/artfynd/A 39000-2025 artfynd.xlsx", "A 39000-2025")</f>
        <v/>
      </c>
      <c r="X42">
        <f>HYPERLINK("https://klasma.github.io/Logging_0881/kartor/A 39000-2025 karta.png", "A 39000-2025")</f>
        <v/>
      </c>
      <c r="Y42">
        <f>HYPERLINK("https://klasma.github.io/Logging_0881/kartor_geotiff/A 39000-2025 georefererad karta.tif", "A 39000-2025")</f>
        <v/>
      </c>
      <c r="AA42">
        <f>HYPERLINK("https://klasma.github.io/Logging_0881/klagomål/A 39000-2025 FSC-klagomål.docx", "A 39000-2025")</f>
        <v/>
      </c>
      <c r="AB42">
        <f>HYPERLINK("https://klasma.github.io/Logging_0881/klagomålsmail/A 39000-2025 FSC-klagomål mail.docx", "A 39000-2025")</f>
        <v/>
      </c>
      <c r="AC42">
        <f>HYPERLINK("https://klasma.github.io/Logging_0881/tillsyn/A 39000-2025 tillsynsbegäran.docx", "A 39000-2025")</f>
        <v/>
      </c>
      <c r="AD42">
        <f>HYPERLINK("https://klasma.github.io/Logging_0881/tillsynsmail/A 39000-2025 tillsynsbegäran mail.docx", "A 39000-2025")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46248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46248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46248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46248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46248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30121-2023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46248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4.9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Vanlig flatbagge
Grönsiska</t>
        </is>
      </c>
      <c r="W48">
        <f>HYPERLINK("https://klasma.github.io/Logging_0881/artfynd/A 30121-2023 artfynd.xlsx", "A 30121-2023")</f>
        <v/>
      </c>
      <c r="X48">
        <f>HYPERLINK("https://klasma.github.io/Logging_0881/kartor/A 30121-2023 karta.png", "A 30121-2023")</f>
        <v/>
      </c>
      <c r="Y48">
        <f>HYPERLINK("https://klasma.github.io/Logging_0881/kartor_geotiff/A 30121-2023 georefererad karta.tif", "A 30121-2023")</f>
        <v/>
      </c>
      <c r="AA48">
        <f>HYPERLINK("https://klasma.github.io/Logging_0881/klagomål/A 30121-2023 FSC-klagomål.docx", "A 30121-2023")</f>
        <v/>
      </c>
      <c r="AB48">
        <f>HYPERLINK("https://klasma.github.io/Logging_0881/klagomålsmail/A 30121-2023 FSC-klagomål mail.docx", "A 30121-2023")</f>
        <v/>
      </c>
      <c r="AC48">
        <f>HYPERLINK("https://klasma.github.io/Logging_0881/tillsyn/A 30121-2023 tillsynsbegäran.docx", "A 30121-2023")</f>
        <v/>
      </c>
      <c r="AD48">
        <f>HYPERLINK("https://klasma.github.io/Logging_0881/tillsynsmail/A 30121-2023 tillsynsbegäran mail.docx", "A 30121-2023")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46248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51406-2022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46248</v>
      </c>
      <c r="F50" t="inlineStr">
        <is>
          <t>KALMAR LÄN</t>
        </is>
      </c>
      <c r="G50" t="inlineStr">
        <is>
          <t>NYBRO</t>
        </is>
      </c>
      <c r="I50" t="n">
        <v>2.6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Nordfladdermus
Större brunfladdermus</t>
        </is>
      </c>
      <c r="W50">
        <f>HYPERLINK("https://klasma.github.io/Logging_0881/artfynd/A 51406-2022 artfynd.xlsx", "A 51406-2022")</f>
        <v/>
      </c>
      <c r="X50">
        <f>HYPERLINK("https://klasma.github.io/Logging_0881/kartor/A 51406-2022 karta.png", "A 51406-2022")</f>
        <v/>
      </c>
      <c r="Y50">
        <f>HYPERLINK("https://klasma.github.io/Logging_0881/kartor_geotiff/A 51406-2022 georefererad karta.tif", "A 51406-2022")</f>
        <v/>
      </c>
      <c r="AA50">
        <f>HYPERLINK("https://klasma.github.io/Logging_0881/klagomål/A 51406-2022 FSC-klagomål.docx", "A 51406-2022")</f>
        <v/>
      </c>
      <c r="AB50">
        <f>HYPERLINK("https://klasma.github.io/Logging_0881/klagomålsmail/A 51406-2022 FSC-klagomål mail.docx", "A 51406-2022")</f>
        <v/>
      </c>
      <c r="AC50">
        <f>HYPERLINK("https://klasma.github.io/Logging_0881/tillsyn/A 51406-2022 tillsynsbegäran.docx", "A 51406-2022")</f>
        <v/>
      </c>
      <c r="AD50">
        <f>HYPERLINK("https://klasma.github.io/Logging_0881/tillsynsmail/A 51406-2022 tillsynsbegäran mail.docx", "A 51406-2022")</f>
        <v/>
      </c>
    </row>
    <row r="51" ht="15" customHeight="1">
      <c r="A51" t="inlineStr">
        <is>
          <t>A 36825-2023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45154</v>
      </c>
      <c r="E51" s="1" t="n">
        <v>46248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20.3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Tjäder
Kungsfågel</t>
        </is>
      </c>
      <c r="W51">
        <f>HYPERLINK("https://klasma.github.io/Logging_0881/artfynd/A 36825-2023 artfynd.xlsx", "A 36825-2023")</f>
        <v/>
      </c>
      <c r="X51">
        <f>HYPERLINK("https://klasma.github.io/Logging_0881/kartor/A 36825-2023 karta.png", "A 36825-2023")</f>
        <v/>
      </c>
      <c r="Y51">
        <f>HYPERLINK("https://klasma.github.io/Logging_0881/kartor_geotiff/A 36825-2023 georefererad karta.tif", "A 36825-2023")</f>
        <v/>
      </c>
      <c r="AA51">
        <f>HYPERLINK("https://klasma.github.io/Logging_0881/klagomål/A 36825-2023 FSC-klagomål.docx", "A 36825-2023")</f>
        <v/>
      </c>
      <c r="AB51">
        <f>HYPERLINK("https://klasma.github.io/Logging_0881/klagomålsmail/A 36825-2023 FSC-klagomål mail.docx", "A 36825-2023")</f>
        <v/>
      </c>
      <c r="AC51">
        <f>HYPERLINK("https://klasma.github.io/Logging_0881/tillsyn/A 36825-2023 tillsynsbegäran.docx", "A 36825-2023")</f>
        <v/>
      </c>
      <c r="AD51">
        <f>HYPERLINK("https://klasma.github.io/Logging_0881/tillsynsmail/A 36825-2023 tillsynsbegäran mail.docx", "A 36825-2023")</f>
        <v/>
      </c>
      <c r="AE51">
        <f>HYPERLINK("https://klasma.github.io/Logging_0881/fåglar/A 36825-2023 prioriterade fågelarter.docx", "A 36825-2023")</f>
        <v/>
      </c>
    </row>
    <row r="52" ht="15" customHeight="1">
      <c r="A52" t="inlineStr">
        <is>
          <t>A 61771-2022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44917</v>
      </c>
      <c r="E52" s="1" t="n">
        <v>46248</v>
      </c>
      <c r="F52" t="inlineStr">
        <is>
          <t>KALMAR LÄN</t>
        </is>
      </c>
      <c r="G52" t="inlineStr">
        <is>
          <t>NYBRO</t>
        </is>
      </c>
      <c r="H52" t="inlineStr">
        <is>
          <t>Kommuner</t>
        </is>
      </c>
      <c r="I52" t="n">
        <v>10.4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Talltita
Kungsfågel</t>
        </is>
      </c>
      <c r="W52">
        <f>HYPERLINK("https://klasma.github.io/Logging_0881/artfynd/A 61771-2022 artfynd.xlsx", "A 61771-2022")</f>
        <v/>
      </c>
      <c r="X52">
        <f>HYPERLINK("https://klasma.github.io/Logging_0881/kartor/A 61771-2022 karta.png", "A 61771-2022")</f>
        <v/>
      </c>
      <c r="Y52">
        <f>HYPERLINK("https://klasma.github.io/Logging_0881/kartor_geotiff/A 61771-2022 georefererad karta.tif", "A 61771-2022")</f>
        <v/>
      </c>
      <c r="AA52">
        <f>HYPERLINK("https://klasma.github.io/Logging_0881/klagomål/A 61771-2022 FSC-klagomål.docx", "A 61771-2022")</f>
        <v/>
      </c>
      <c r="AB52">
        <f>HYPERLINK("https://klasma.github.io/Logging_0881/klagomålsmail/A 61771-2022 FSC-klagomål mail.docx", "A 61771-2022")</f>
        <v/>
      </c>
      <c r="AC52">
        <f>HYPERLINK("https://klasma.github.io/Logging_0881/tillsyn/A 61771-2022 tillsynsbegäran.docx", "A 61771-2022")</f>
        <v/>
      </c>
      <c r="AD52">
        <f>HYPERLINK("https://klasma.github.io/Logging_0881/tillsynsmail/A 61771-2022 tillsynsbegäran mail.docx", "A 61771-2022")</f>
        <v/>
      </c>
      <c r="AE52">
        <f>HYPERLINK("https://klasma.github.io/Logging_0881/fåglar/A 61771-2022 prioriterade fågelarter.docx", "A 61771-2022")</f>
        <v/>
      </c>
    </row>
    <row r="53" ht="15" customHeight="1">
      <c r="A53" t="inlineStr">
        <is>
          <t>A 1529-2023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46248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4.1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Gröngöling
Trana</t>
        </is>
      </c>
      <c r="W53">
        <f>HYPERLINK("https://klasma.github.io/Logging_0881/artfynd/A 1529-2023 artfynd.xlsx", "A 1529-2023")</f>
        <v/>
      </c>
      <c r="X53">
        <f>HYPERLINK("https://klasma.github.io/Logging_0881/kartor/A 1529-2023 karta.png", "A 1529-2023")</f>
        <v/>
      </c>
      <c r="Y53">
        <f>HYPERLINK("https://klasma.github.io/Logging_0881/kartor_geotiff/A 1529-2023 georefererad karta.tif", "A 1529-2023")</f>
        <v/>
      </c>
      <c r="AA53">
        <f>HYPERLINK("https://klasma.github.io/Logging_0881/klagomål/A 1529-2023 FSC-klagomål.docx", "A 1529-2023")</f>
        <v/>
      </c>
      <c r="AB53">
        <f>HYPERLINK("https://klasma.github.io/Logging_0881/klagomålsmail/A 1529-2023 FSC-klagomål mail.docx", "A 1529-2023")</f>
        <v/>
      </c>
      <c r="AC53">
        <f>HYPERLINK("https://klasma.github.io/Logging_0881/tillsyn/A 1529-2023 tillsynsbegäran.docx", "A 1529-2023")</f>
        <v/>
      </c>
      <c r="AD53">
        <f>HYPERLINK("https://klasma.github.io/Logging_0881/tillsynsmail/A 1529-2023 tillsynsbegäran mail.docx", "A 1529-2023")</f>
        <v/>
      </c>
      <c r="AE53">
        <f>HYPERLINK("https://klasma.github.io/Logging_0881/fåglar/A 1529-2023 prioriterade fågelarter.docx", "A 1529-2023")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46248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41164-2023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46248</v>
      </c>
      <c r="F55" t="inlineStr">
        <is>
          <t>KALMAR LÄN</t>
        </is>
      </c>
      <c r="G55" t="inlineStr">
        <is>
          <t>NYBRO</t>
        </is>
      </c>
      <c r="I55" t="n">
        <v>1.2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Tallticka</t>
        </is>
      </c>
      <c r="W55">
        <f>HYPERLINK("https://klasma.github.io/Logging_0881/artfynd/A 41164-2023 artfynd.xlsx", "A 41164-2023")</f>
        <v/>
      </c>
      <c r="X55">
        <f>HYPERLINK("https://klasma.github.io/Logging_0881/kartor/A 41164-2023 karta.png", "A 41164-2023")</f>
        <v/>
      </c>
      <c r="Y55">
        <f>HYPERLINK("https://klasma.github.io/Logging_0881/kartor_geotiff/A 41164-2023 georefererad karta.tif", "A 41164-2023")</f>
        <v/>
      </c>
      <c r="AA55">
        <f>HYPERLINK("https://klasma.github.io/Logging_0881/klagomål/A 41164-2023 FSC-klagomål.docx", "A 41164-2023")</f>
        <v/>
      </c>
      <c r="AB55">
        <f>HYPERLINK("https://klasma.github.io/Logging_0881/klagomålsmail/A 41164-2023 FSC-klagomål mail.docx", "A 41164-2023")</f>
        <v/>
      </c>
      <c r="AC55">
        <f>HYPERLINK("https://klasma.github.io/Logging_0881/tillsyn/A 41164-2023 tillsynsbegäran.docx", "A 41164-2023")</f>
        <v/>
      </c>
      <c r="AD55">
        <f>HYPERLINK("https://klasma.github.io/Logging_0881/tillsynsmail/A 41164-2023 tillsynsbegäran mail.docx", "A 41164-2023")</f>
        <v/>
      </c>
      <c r="AE55">
        <f>HYPERLINK("https://klasma.github.io/Logging_0881/fåglar/A 41164-2023 prioriterade fågelarter.docx", "A 41164-2023")</f>
        <v/>
      </c>
    </row>
    <row r="56" ht="15" customHeight="1">
      <c r="A56" t="inlineStr">
        <is>
          <t>A 28880-2023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46248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1.9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Mattlummer
Nattskärra</t>
        </is>
      </c>
      <c r="W56">
        <f>HYPERLINK("https://klasma.github.io/Logging_0881/artfynd/A 28880-2023 artfynd.xlsx", "A 28880-2023")</f>
        <v/>
      </c>
      <c r="X56">
        <f>HYPERLINK("https://klasma.github.io/Logging_0881/kartor/A 28880-2023 karta.png", "A 28880-2023")</f>
        <v/>
      </c>
      <c r="Y56">
        <f>HYPERLINK("https://klasma.github.io/Logging_0881/kartor_geotiff/A 28880-2023 georefererad karta.tif", "A 28880-2023")</f>
        <v/>
      </c>
      <c r="AA56">
        <f>HYPERLINK("https://klasma.github.io/Logging_0881/klagomål/A 28880-2023 FSC-klagomål.docx", "A 28880-2023")</f>
        <v/>
      </c>
      <c r="AB56">
        <f>HYPERLINK("https://klasma.github.io/Logging_0881/klagomålsmail/A 28880-2023 FSC-klagomål mail.docx", "A 28880-2023")</f>
        <v/>
      </c>
      <c r="AC56">
        <f>HYPERLINK("https://klasma.github.io/Logging_0881/tillsyn/A 28880-2023 tillsynsbegäran.docx", "A 28880-2023")</f>
        <v/>
      </c>
      <c r="AD56">
        <f>HYPERLINK("https://klasma.github.io/Logging_0881/tillsynsmail/A 28880-2023 tillsynsbegäran mail.docx", "A 28880-2023")</f>
        <v/>
      </c>
      <c r="AE56">
        <f>HYPERLINK("https://klasma.github.io/Logging_0881/fåglar/A 28880-2023 prioriterade fågelarter.docx", "A 28880-2023")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46248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9153-2023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46248</v>
      </c>
      <c r="F58" t="inlineStr">
        <is>
          <t>KALMAR LÄN</t>
        </is>
      </c>
      <c r="G58" t="inlineStr">
        <is>
          <t>NYBRO</t>
        </is>
      </c>
      <c r="I58" t="n">
        <v>2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Sandödla
Mindre hackspett</t>
        </is>
      </c>
      <c r="W58">
        <f>HYPERLINK("https://klasma.github.io/Logging_0881/artfynd/A 9153-2023 artfynd.xlsx", "A 9153-2023")</f>
        <v/>
      </c>
      <c r="X58">
        <f>HYPERLINK("https://klasma.github.io/Logging_0881/kartor/A 9153-2023 karta.png", "A 9153-2023")</f>
        <v/>
      </c>
      <c r="Y58">
        <f>HYPERLINK("https://klasma.github.io/Logging_0881/kartor_geotiff/A 9153-2023 georefererad karta.tif", "A 9153-2023")</f>
        <v/>
      </c>
      <c r="AA58">
        <f>HYPERLINK("https://klasma.github.io/Logging_0881/klagomål/A 9153-2023 FSC-klagomål.docx", "A 9153-2023")</f>
        <v/>
      </c>
      <c r="AB58">
        <f>HYPERLINK("https://klasma.github.io/Logging_0881/klagomålsmail/A 9153-2023 FSC-klagomål mail.docx", "A 9153-2023")</f>
        <v/>
      </c>
      <c r="AC58">
        <f>HYPERLINK("https://klasma.github.io/Logging_0881/tillsyn/A 9153-2023 tillsynsbegäran.docx", "A 9153-2023")</f>
        <v/>
      </c>
      <c r="AD58">
        <f>HYPERLINK("https://klasma.github.io/Logging_0881/tillsynsmail/A 9153-2023 tillsynsbegäran mail.docx", "A 9153-2023")</f>
        <v/>
      </c>
      <c r="AE58">
        <f>HYPERLINK("https://klasma.github.io/Logging_0881/fåglar/A 9153-2023 prioriterade fågelarter.docx", "A 9153-2023")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46248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33067-2022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46248</v>
      </c>
      <c r="F60" t="inlineStr">
        <is>
          <t>KALMAR LÄN</t>
        </is>
      </c>
      <c r="G60" t="inlineStr">
        <is>
          <t>NYBRO</t>
        </is>
      </c>
      <c r="I60" t="n">
        <v>14.1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Sommarfibbla
Tjäder</t>
        </is>
      </c>
      <c r="W60">
        <f>HYPERLINK("https://klasma.github.io/Logging_0881/artfynd/A 33067-2022 artfynd.xlsx", "A 33067-2022")</f>
        <v/>
      </c>
      <c r="X60">
        <f>HYPERLINK("https://klasma.github.io/Logging_0881/kartor/A 33067-2022 karta.png", "A 33067-2022")</f>
        <v/>
      </c>
      <c r="Y60">
        <f>HYPERLINK("https://klasma.github.io/Logging_0881/kartor_geotiff/A 33067-2022 georefererad karta.tif", "A 33067-2022")</f>
        <v/>
      </c>
      <c r="AA60">
        <f>HYPERLINK("https://klasma.github.io/Logging_0881/klagomål/A 33067-2022 FSC-klagomål.docx", "A 33067-2022")</f>
        <v/>
      </c>
      <c r="AB60">
        <f>HYPERLINK("https://klasma.github.io/Logging_0881/klagomålsmail/A 33067-2022 FSC-klagomål mail.docx", "A 33067-2022")</f>
        <v/>
      </c>
      <c r="AC60">
        <f>HYPERLINK("https://klasma.github.io/Logging_0881/tillsyn/A 33067-2022 tillsynsbegäran.docx", "A 33067-2022")</f>
        <v/>
      </c>
      <c r="AD60">
        <f>HYPERLINK("https://klasma.github.io/Logging_0881/tillsynsmail/A 33067-2022 tillsynsbegäran mail.docx", "A 33067-2022")</f>
        <v/>
      </c>
      <c r="AE60">
        <f>HYPERLINK("https://klasma.github.io/Logging_0881/fåglar/A 33067-2022 prioriterade fågelarter.docx", "A 33067-2022")</f>
        <v/>
      </c>
    </row>
    <row r="61" ht="15" customHeight="1">
      <c r="A61" t="inlineStr">
        <is>
          <t>A 28131-2025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46248</v>
      </c>
      <c r="F61" t="inlineStr">
        <is>
          <t>KALMAR LÄN</t>
        </is>
      </c>
      <c r="G61" t="inlineStr">
        <is>
          <t>NYBRO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Blåmossa
Spillkråka</t>
        </is>
      </c>
      <c r="W61">
        <f>HYPERLINK("https://klasma.github.io/Logging_0881/artfynd/A 28131-2025 artfynd.xlsx", "A 28131-2025")</f>
        <v/>
      </c>
      <c r="X61">
        <f>HYPERLINK("https://klasma.github.io/Logging_0881/kartor/A 28131-2025 karta.png", "A 28131-2025")</f>
        <v/>
      </c>
      <c r="Y61">
        <f>HYPERLINK("https://klasma.github.io/Logging_0881/kartor_geotiff/A 28131-2025 georefererad karta.tif", "A 28131-2025")</f>
        <v/>
      </c>
      <c r="AA61">
        <f>HYPERLINK("https://klasma.github.io/Logging_0881/klagomål/A 28131-2025 FSC-klagomål.docx", "A 28131-2025")</f>
        <v/>
      </c>
      <c r="AB61">
        <f>HYPERLINK("https://klasma.github.io/Logging_0881/klagomålsmail/A 28131-2025 FSC-klagomål mail.docx", "A 28131-2025")</f>
        <v/>
      </c>
      <c r="AC61">
        <f>HYPERLINK("https://klasma.github.io/Logging_0881/tillsyn/A 28131-2025 tillsynsbegäran.docx", "A 28131-2025")</f>
        <v/>
      </c>
      <c r="AD61">
        <f>HYPERLINK("https://klasma.github.io/Logging_0881/tillsynsmail/A 28131-2025 tillsynsbegäran mail.docx", "A 28131-2025")</f>
        <v/>
      </c>
      <c r="AE61">
        <f>HYPERLINK("https://klasma.github.io/Logging_0881/fåglar/A 28131-2025 prioriterade fågelarter.docx", "A 28131-2025")</f>
        <v/>
      </c>
    </row>
    <row r="62" ht="15" customHeight="1">
      <c r="A62" t="inlineStr">
        <is>
          <t>A 39038-2025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45888</v>
      </c>
      <c r="E62" s="1" t="n">
        <v>46248</v>
      </c>
      <c r="F62" t="inlineStr">
        <is>
          <t>KALMAR LÄN</t>
        </is>
      </c>
      <c r="G62" t="inlineStr">
        <is>
          <t>NYBRO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Talltita
Revlummer</t>
        </is>
      </c>
      <c r="W62">
        <f>HYPERLINK("https://klasma.github.io/Logging_0881/artfynd/A 39038-2025 artfynd.xlsx", "A 39038-2025")</f>
        <v/>
      </c>
      <c r="X62">
        <f>HYPERLINK("https://klasma.github.io/Logging_0881/kartor/A 39038-2025 karta.png", "A 39038-2025")</f>
        <v/>
      </c>
      <c r="Y62">
        <f>HYPERLINK("https://klasma.github.io/Logging_0881/kartor_geotiff/A 39038-2025 georefererad karta.tif", "A 39038-2025")</f>
        <v/>
      </c>
      <c r="AA62">
        <f>HYPERLINK("https://klasma.github.io/Logging_0881/klagomål/A 39038-2025 FSC-klagomål.docx", "A 39038-2025")</f>
        <v/>
      </c>
      <c r="AB62">
        <f>HYPERLINK("https://klasma.github.io/Logging_0881/klagomålsmail/A 39038-2025 FSC-klagomål mail.docx", "A 39038-2025")</f>
        <v/>
      </c>
      <c r="AC62">
        <f>HYPERLINK("https://klasma.github.io/Logging_0881/tillsyn/A 39038-2025 tillsynsbegäran.docx", "A 39038-2025")</f>
        <v/>
      </c>
      <c r="AD62">
        <f>HYPERLINK("https://klasma.github.io/Logging_0881/tillsynsmail/A 39038-2025 tillsynsbegäran mail.docx", "A 39038-2025")</f>
        <v/>
      </c>
      <c r="AE62">
        <f>HYPERLINK("https://klasma.github.io/Logging_0881/fåglar/A 39038-2025 prioriterade fågelarter.docx", "A 39038-2025")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46248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35002-2025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45850</v>
      </c>
      <c r="E64" s="1" t="n">
        <v>46248</v>
      </c>
      <c r="F64" t="inlineStr">
        <is>
          <t>KALMAR LÄN</t>
        </is>
      </c>
      <c r="G64" t="inlineStr">
        <is>
          <t>NYBRO</t>
        </is>
      </c>
      <c r="I64" t="n">
        <v>1.9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Knärot
Blomkålssvamp</t>
        </is>
      </c>
      <c r="W64">
        <f>HYPERLINK("https://klasma.github.io/Logging_0881/artfynd/A 35002-2025 artfynd.xlsx", "A 35002-2025")</f>
        <v/>
      </c>
      <c r="X64">
        <f>HYPERLINK("https://klasma.github.io/Logging_0881/kartor/A 35002-2025 karta.png", "A 35002-2025")</f>
        <v/>
      </c>
      <c r="Y64">
        <f>HYPERLINK("https://klasma.github.io/Logging_0881/kartor_geotiff/A 35002-2025 georefererad karta.tif", "A 35002-2025")</f>
        <v/>
      </c>
      <c r="Z64">
        <f>HYPERLINK("https://klasma.github.io/Logging_0881/knärot/A 35002-2025 karta knärot.png", "A 35002-2025")</f>
        <v/>
      </c>
      <c r="AA64">
        <f>HYPERLINK("https://klasma.github.io/Logging_0881/klagomål/A 35002-2025 FSC-klagomål.docx", "A 35002-2025")</f>
        <v/>
      </c>
      <c r="AB64">
        <f>HYPERLINK("https://klasma.github.io/Logging_0881/klagomålsmail/A 35002-2025 FSC-klagomål mail.docx", "A 35002-2025")</f>
        <v/>
      </c>
      <c r="AC64">
        <f>HYPERLINK("https://klasma.github.io/Logging_0881/tillsyn/A 35002-2025 tillsynsbegäran.docx", "A 35002-2025")</f>
        <v/>
      </c>
      <c r="AD64">
        <f>HYPERLINK("https://klasma.github.io/Logging_0881/tillsynsmail/A 35002-2025 tillsynsbegäran mail.docx", "A 35002-2025")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46248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46248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7041-2026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46248</v>
      </c>
      <c r="F67" t="inlineStr">
        <is>
          <t>KALMAR LÄN</t>
        </is>
      </c>
      <c r="G67" t="inlineStr">
        <is>
          <t>NYBRO</t>
        </is>
      </c>
      <c r="I67" t="n">
        <v>5.8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Kornig nållav
Vanlig flatbagge</t>
        </is>
      </c>
      <c r="W67">
        <f>HYPERLINK("https://klasma.github.io/Logging_0881/artfynd/A 7041-2026 artfynd.xlsx", "A 7041-2026")</f>
        <v/>
      </c>
      <c r="X67">
        <f>HYPERLINK("https://klasma.github.io/Logging_0881/kartor/A 7041-2026 karta.png", "A 7041-2026")</f>
        <v/>
      </c>
      <c r="Y67">
        <f>HYPERLINK("https://klasma.github.io/Logging_0881/kartor_geotiff/A 7041-2026 georefererad karta.tif", "A 7041-2026")</f>
        <v/>
      </c>
      <c r="AA67">
        <f>HYPERLINK("https://klasma.github.io/Logging_0881/klagomål/A 7041-2026 FSC-klagomål.docx", "A 7041-2026")</f>
        <v/>
      </c>
      <c r="AB67">
        <f>HYPERLINK("https://klasma.github.io/Logging_0881/klagomålsmail/A 7041-2026 FSC-klagomål mail.docx", "A 7041-2026")</f>
        <v/>
      </c>
      <c r="AC67">
        <f>HYPERLINK("https://klasma.github.io/Logging_0881/tillsyn/A 7041-2026 tillsynsbegäran.docx", "A 7041-2026")</f>
        <v/>
      </c>
      <c r="AD67">
        <f>HYPERLINK("https://klasma.github.io/Logging_0881/tillsynsmail/A 7041-2026 tillsynsbegäran mail.docx", "A 7041-2026")</f>
        <v/>
      </c>
    </row>
    <row r="68" ht="15" customHeight="1">
      <c r="A68" t="inlineStr">
        <is>
          <t>A 63006-2025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46248</v>
      </c>
      <c r="F68" t="inlineStr">
        <is>
          <t>KALMAR LÄN</t>
        </is>
      </c>
      <c r="G68" t="inlineStr">
        <is>
          <t>NYBRO</t>
        </is>
      </c>
      <c r="I68" t="n">
        <v>6.8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Bronshjon
Mindre märgborre</t>
        </is>
      </c>
      <c r="W68">
        <f>HYPERLINK("https://klasma.github.io/Logging_0881/artfynd/A 63006-2025 artfynd.xlsx", "A 63006-2025")</f>
        <v/>
      </c>
      <c r="X68">
        <f>HYPERLINK("https://klasma.github.io/Logging_0881/kartor/A 63006-2025 karta.png", "A 63006-2025")</f>
        <v/>
      </c>
      <c r="Y68">
        <f>HYPERLINK("https://klasma.github.io/Logging_0881/kartor_geotiff/A 63006-2025 georefererad karta.tif", "A 63006-2025")</f>
        <v/>
      </c>
      <c r="AA68">
        <f>HYPERLINK("https://klasma.github.io/Logging_0881/klagomål/A 63006-2025 FSC-klagomål.docx", "A 63006-2025")</f>
        <v/>
      </c>
      <c r="AB68">
        <f>HYPERLINK("https://klasma.github.io/Logging_0881/klagomålsmail/A 63006-2025 FSC-klagomål mail.docx", "A 63006-2025")</f>
        <v/>
      </c>
      <c r="AC68">
        <f>HYPERLINK("https://klasma.github.io/Logging_0881/tillsyn/A 63006-2025 tillsynsbegäran.docx", "A 63006-2025")</f>
        <v/>
      </c>
      <c r="AD68">
        <f>HYPERLINK("https://klasma.github.io/Logging_0881/tillsynsmail/A 63006-2025 tillsynsbegäran mail.docx", "A 63006-2025")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46248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46248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659-2022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44595</v>
      </c>
      <c r="E71" s="1" t="n">
        <v>46248</v>
      </c>
      <c r="F71" t="inlineStr">
        <is>
          <t>KALMAR LÄN</t>
        </is>
      </c>
      <c r="G71" t="inlineStr">
        <is>
          <t>NYBRO</t>
        </is>
      </c>
      <c r="I71" t="n">
        <v>22.5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Svart skogssnigel
Ängskovall</t>
        </is>
      </c>
      <c r="W71">
        <f>HYPERLINK("https://klasma.github.io/Logging_0881/artfynd/S 659-2022 artfynd.xlsx", "S 659-2022")</f>
        <v/>
      </c>
      <c r="X71">
        <f>HYPERLINK("https://klasma.github.io/Logging_0881/kartor/S 659-2022 karta.png", "S 659-2022")</f>
        <v/>
      </c>
      <c r="Y71">
        <f>HYPERLINK("https://klasma.github.io/Logging_0881/kartor_geotiff/S 659-2022 georefererad karta.tif", "S 659-2022")</f>
        <v/>
      </c>
      <c r="AA71">
        <f>HYPERLINK("https://klasma.github.io/Logging_0881/klagomål/S 659-2022 FSC-klagomål.docx", "S 659-2022")</f>
        <v/>
      </c>
      <c r="AB71">
        <f>HYPERLINK("https://klasma.github.io/Logging_0881/klagomålsmail/S 659-2022 FSC-klagomål mail.docx", "S 659-2022")</f>
        <v/>
      </c>
      <c r="AC71">
        <f>HYPERLINK("https://klasma.github.io/Logging_0881/tillsyn/S 659-2022 tillsynsbegäran.docx", "S 659-2022")</f>
        <v/>
      </c>
      <c r="AD71">
        <f>HYPERLINK("https://klasma.github.io/Logging_0881/tillsynsmail/S 659-2022 tillsynsbegäran mail.docx", "S 659-2022")</f>
        <v/>
      </c>
    </row>
    <row r="72" ht="15" customHeight="1">
      <c r="A72" t="inlineStr">
        <is>
          <t>S 988-2022</t>
        </is>
      </c>
      <c r="B72" t="inlineStr">
        <is>
          <t>samrådsanmälan</t>
        </is>
      </c>
      <c r="C72" t="inlineStr">
        <is>
          <t>Askåterföring</t>
        </is>
      </c>
      <c r="D72" s="1" t="n">
        <v>44607</v>
      </c>
      <c r="E72" s="1" t="n">
        <v>46248</v>
      </c>
      <c r="F72" t="inlineStr">
        <is>
          <t>KALMAR LÄN</t>
        </is>
      </c>
      <c r="G72" t="inlineStr">
        <is>
          <t>NYBRO</t>
        </is>
      </c>
      <c r="H72" t="inlineStr">
        <is>
          <t>Sveaskog</t>
        </is>
      </c>
      <c r="I72" t="n">
        <v>488.6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Cryptophagus cylindrellus
Kolsvart trädbasbagge</t>
        </is>
      </c>
      <c r="W72">
        <f>HYPERLINK("https://klasma.github.io/Logging_0881/artfynd/S 988-2022 artfynd.xlsx", "S 988-2022")</f>
        <v/>
      </c>
      <c r="X72">
        <f>HYPERLINK("https://klasma.github.io/Logging_0881/kartor/S 988-2022 karta.png", "S 988-2022")</f>
        <v/>
      </c>
      <c r="Y72">
        <f>HYPERLINK("https://klasma.github.io/Logging_0881/kartor_geotiff/S 988-2022 georefererad karta.tif", "S 988-2022")</f>
        <v/>
      </c>
      <c r="AA72">
        <f>HYPERLINK("https://klasma.github.io/Logging_0881/klagomål/S 988-2022 FSC-klagomål.docx", "S 988-2022")</f>
        <v/>
      </c>
      <c r="AB72">
        <f>HYPERLINK("https://klasma.github.io/Logging_0881/klagomålsmail/S 988-2022 FSC-klagomål mail.docx", "S 988-2022")</f>
        <v/>
      </c>
      <c r="AC72">
        <f>HYPERLINK("https://klasma.github.io/Logging_0881/tillsyn/S 988-2022 tillsynsbegäran.docx", "S 988-2022")</f>
        <v/>
      </c>
      <c r="AD72">
        <f>HYPERLINK("https://klasma.github.io/Logging_0881/tillsynsmail/S 988-2022 tillsynsbegäran mail.docx", "S 988-2022")</f>
        <v/>
      </c>
    </row>
    <row r="73" ht="15" customHeight="1">
      <c r="A73" t="inlineStr">
        <is>
          <t>S 5958-2022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44860</v>
      </c>
      <c r="E73" s="1" t="n">
        <v>46248</v>
      </c>
      <c r="F73" t="inlineStr">
        <is>
          <t>KALMAR LÄN</t>
        </is>
      </c>
      <c r="G73" t="inlineStr">
        <is>
          <t>NYBRO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9</v>
      </c>
      <c r="U73" t="n">
        <v>0</v>
      </c>
      <c r="V73" s="2" t="inlineStr">
        <is>
          <t>Ask
Huggorm</t>
        </is>
      </c>
      <c r="W73">
        <f>HYPERLINK("https://klasma.github.io/Logging_0881/artfynd/S 5958-2022 artfynd.xlsx", "S 5958-2022")</f>
        <v/>
      </c>
      <c r="X73">
        <f>HYPERLINK("https://klasma.github.io/Logging_0881/kartor/S 5958-2022 karta.png", "S 5958-2022")</f>
        <v/>
      </c>
      <c r="Y73">
        <f>HYPERLINK("https://klasma.github.io/Logging_0881/kartor_geotiff/S 5958-2022 georefererad karta.tif", "S 5958-2022")</f>
        <v/>
      </c>
      <c r="AA73">
        <f>HYPERLINK("https://klasma.github.io/Logging_0881/klagomål/S 5958-2022 FSC-klagomål.docx", "S 5958-2022")</f>
        <v/>
      </c>
      <c r="AB73">
        <f>HYPERLINK("https://klasma.github.io/Logging_0881/klagomålsmail/S 5958-2022 FSC-klagomål mail.docx", "S 5958-2022")</f>
        <v/>
      </c>
      <c r="AC73">
        <f>HYPERLINK("https://klasma.github.io/Logging_0881/tillsyn/S 5958-2022 tillsynsbegäran.docx", "S 5958-2022")</f>
        <v/>
      </c>
      <c r="AD73">
        <f>HYPERLINK("https://klasma.github.io/Logging_0881/tillsynsmail/S 5958-2022 tillsynsbegäran mail.docx", "S 5958-2022")</f>
        <v/>
      </c>
    </row>
    <row r="74" ht="15" customHeight="1">
      <c r="A74" t="inlineStr">
        <is>
          <t>S 1776-2025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45813</v>
      </c>
      <c r="E74" s="1" t="n">
        <v>46248</v>
      </c>
      <c r="F74" t="inlineStr">
        <is>
          <t>KALMAR LÄN</t>
        </is>
      </c>
      <c r="G74" t="inlineStr">
        <is>
          <t>NYBRO</t>
        </is>
      </c>
      <c r="I74" t="n">
        <v>42.7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Loppstarr
Blåmossa</t>
        </is>
      </c>
      <c r="W74">
        <f>HYPERLINK("https://klasma.github.io/Logging_0881/artfynd/S 1776-2025 artfynd.xlsx", "S 1776-2025")</f>
        <v/>
      </c>
      <c r="X74">
        <f>HYPERLINK("https://klasma.github.io/Logging_0881/kartor/S 1776-2025 karta.png", "S 1776-2025")</f>
        <v/>
      </c>
      <c r="Y74">
        <f>HYPERLINK("https://klasma.github.io/Logging_0881/kartor_geotiff/S 1776-2025 georefererad karta.tif", "S 1776-2025")</f>
        <v/>
      </c>
      <c r="AA74">
        <f>HYPERLINK("https://klasma.github.io/Logging_0881/klagomål/S 1776-2025 FSC-klagomål.docx", "S 1776-2025")</f>
        <v/>
      </c>
      <c r="AB74">
        <f>HYPERLINK("https://klasma.github.io/Logging_0881/klagomålsmail/S 1776-2025 FSC-klagomål mail.docx", "S 1776-2025")</f>
        <v/>
      </c>
      <c r="AC74">
        <f>HYPERLINK("https://klasma.github.io/Logging_0881/tillsyn/S 1776-2025 tillsynsbegäran.docx", "S 1776-2025")</f>
        <v/>
      </c>
      <c r="AD74">
        <f>HYPERLINK("https://klasma.github.io/Logging_0881/tillsynsmail/S 1776-2025 tillsynsbegäran mail.docx", "S 1776-2025")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46248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46248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46526-2021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46248</v>
      </c>
      <c r="F77" t="inlineStr">
        <is>
          <t>KALMAR LÄN</t>
        </is>
      </c>
      <c r="G77" t="inlineStr">
        <is>
          <t>NYBRO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Ask</t>
        </is>
      </c>
      <c r="W77">
        <f>HYPERLINK("https://klasma.github.io/Logging_0881/artfynd/A 46526-2021 artfynd.xlsx", "A 46526-2021")</f>
        <v/>
      </c>
      <c r="X77">
        <f>HYPERLINK("https://klasma.github.io/Logging_0881/kartor/A 46526-2021 karta.png", "A 46526-2021")</f>
        <v/>
      </c>
      <c r="Y77">
        <f>HYPERLINK("https://klasma.github.io/Logging_0881/kartor_geotiff/A 46526-2021 georefererad karta.tif", "A 46526-2021")</f>
        <v/>
      </c>
      <c r="AA77">
        <f>HYPERLINK("https://klasma.github.io/Logging_0881/klagomål/A 46526-2021 FSC-klagomål.docx", "A 46526-2021")</f>
        <v/>
      </c>
      <c r="AB77">
        <f>HYPERLINK("https://klasma.github.io/Logging_0881/klagomålsmail/A 46526-2021 FSC-klagomål mail.docx", "A 46526-2021")</f>
        <v/>
      </c>
      <c r="AC77">
        <f>HYPERLINK("https://klasma.github.io/Logging_0881/tillsyn/A 46526-2021 tillsynsbegäran.docx", "A 46526-2021")</f>
        <v/>
      </c>
      <c r="AD77">
        <f>HYPERLINK("https://klasma.github.io/Logging_0881/tillsynsmail/A 46526-2021 tillsynsbegäran mail.docx", "A 46526-2021")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46248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13690-2022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44648</v>
      </c>
      <c r="E79" s="1" t="n">
        <v>46248</v>
      </c>
      <c r="F79" t="inlineStr">
        <is>
          <t>KALMAR LÄN</t>
        </is>
      </c>
      <c r="G79" t="inlineStr">
        <is>
          <t>NYBRO</t>
        </is>
      </c>
      <c r="H79" t="inlineStr">
        <is>
          <t>Kommuner</t>
        </is>
      </c>
      <c r="I79" t="n">
        <v>8.300000000000001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7</v>
      </c>
      <c r="U79" t="n">
        <v>7</v>
      </c>
      <c r="V79" s="2" t="inlineStr">
        <is>
          <t>Knärot</t>
        </is>
      </c>
      <c r="W79">
        <f>HYPERLINK("https://klasma.github.io/Logging_0881/artfynd/A 13690-2022 artfynd.xlsx", "A 13690-2022")</f>
        <v/>
      </c>
      <c r="X79">
        <f>HYPERLINK("https://klasma.github.io/Logging_0881/kartor/A 13690-2022 karta.png", "A 13690-2022")</f>
        <v/>
      </c>
      <c r="Y79">
        <f>HYPERLINK("https://klasma.github.io/Logging_0881/kartor_geotiff/A 13690-2022 georefererad karta.tif", "A 13690-2022")</f>
        <v/>
      </c>
      <c r="Z79">
        <f>HYPERLINK("https://klasma.github.io/Logging_0881/knärot/A 13690-2022 karta knärot.png", "A 13690-2022")</f>
        <v/>
      </c>
      <c r="AA79">
        <f>HYPERLINK("https://klasma.github.io/Logging_0881/klagomål/A 13690-2022 FSC-klagomål.docx", "A 13690-2022")</f>
        <v/>
      </c>
      <c r="AB79">
        <f>HYPERLINK("https://klasma.github.io/Logging_0881/klagomålsmail/A 13690-2022 FSC-klagomål mail.docx", "A 13690-2022")</f>
        <v/>
      </c>
      <c r="AC79">
        <f>HYPERLINK("https://klasma.github.io/Logging_0881/tillsyn/A 13690-2022 tillsynsbegäran.docx", "A 13690-2022")</f>
        <v/>
      </c>
      <c r="AD79">
        <f>HYPERLINK("https://klasma.github.io/Logging_0881/tillsynsmail/A 13690-2022 tillsynsbegäran mail.docx", "A 13690-2022")</f>
        <v/>
      </c>
    </row>
    <row r="80" ht="15" customHeight="1">
      <c r="A80" t="inlineStr">
        <is>
          <t>A 47582-2021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46248</v>
      </c>
      <c r="F80" t="inlineStr">
        <is>
          <t>KALMAR LÄN</t>
        </is>
      </c>
      <c r="G80" t="inlineStr">
        <is>
          <t>NYBRO</t>
        </is>
      </c>
      <c r="I80" t="n">
        <v>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Kungsfågel</t>
        </is>
      </c>
      <c r="W80">
        <f>HYPERLINK("https://klasma.github.io/Logging_0881/artfynd/A 47582-2021 artfynd.xlsx", "A 47582-2021")</f>
        <v/>
      </c>
      <c r="X80">
        <f>HYPERLINK("https://klasma.github.io/Logging_0881/kartor/A 47582-2021 karta.png", "A 47582-2021")</f>
        <v/>
      </c>
      <c r="Y80">
        <f>HYPERLINK("https://klasma.github.io/Logging_0881/kartor_geotiff/A 47582-2021 georefererad karta.tif", "A 47582-2021")</f>
        <v/>
      </c>
      <c r="AA80">
        <f>HYPERLINK("https://klasma.github.io/Logging_0881/klagomål/A 47582-2021 FSC-klagomål.docx", "A 47582-2021")</f>
        <v/>
      </c>
      <c r="AB80">
        <f>HYPERLINK("https://klasma.github.io/Logging_0881/klagomålsmail/A 47582-2021 FSC-klagomål mail.docx", "A 47582-2021")</f>
        <v/>
      </c>
      <c r="AC80">
        <f>HYPERLINK("https://klasma.github.io/Logging_0881/tillsyn/A 47582-2021 tillsynsbegäran.docx", "A 47582-2021")</f>
        <v/>
      </c>
      <c r="AD80">
        <f>HYPERLINK("https://klasma.github.io/Logging_0881/tillsynsmail/A 47582-2021 tillsynsbegäran mail.docx", "A 47582-2021")</f>
        <v/>
      </c>
    </row>
    <row r="81" ht="15" customHeight="1">
      <c r="A81" t="inlineStr">
        <is>
          <t>A 54314-2022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46248</v>
      </c>
      <c r="F81" t="inlineStr">
        <is>
          <t>KALMAR LÄN</t>
        </is>
      </c>
      <c r="G81" t="inlineStr">
        <is>
          <t>NYBRO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6</v>
      </c>
      <c r="U81" t="n">
        <v>0</v>
      </c>
      <c r="V81" s="2" t="inlineStr">
        <is>
          <t>Ask</t>
        </is>
      </c>
      <c r="W81">
        <f>HYPERLINK("https://klasma.github.io/Logging_0881/artfynd/A 54314-2022 artfynd.xlsx", "A 54314-2022")</f>
        <v/>
      </c>
      <c r="X81">
        <f>HYPERLINK("https://klasma.github.io/Logging_0881/kartor/A 54314-2022 karta.png", "A 54314-2022")</f>
        <v/>
      </c>
      <c r="Y81">
        <f>HYPERLINK("https://klasma.github.io/Logging_0881/kartor_geotiff/A 54314-2022 georefererad karta.tif", "A 54314-2022")</f>
        <v/>
      </c>
      <c r="AA81">
        <f>HYPERLINK("https://klasma.github.io/Logging_0881/klagomål/A 54314-2022 FSC-klagomål.docx", "A 54314-2022")</f>
        <v/>
      </c>
      <c r="AB81">
        <f>HYPERLINK("https://klasma.github.io/Logging_0881/klagomålsmail/A 54314-2022 FSC-klagomål mail.docx", "A 54314-2022")</f>
        <v/>
      </c>
      <c r="AC81">
        <f>HYPERLINK("https://klasma.github.io/Logging_0881/tillsyn/A 54314-2022 tillsynsbegäran.docx", "A 54314-2022")</f>
        <v/>
      </c>
      <c r="AD81">
        <f>HYPERLINK("https://klasma.github.io/Logging_0881/tillsynsmail/A 54314-2022 tillsynsbegäran mail.docx", "A 54314-2022")</f>
        <v/>
      </c>
    </row>
    <row r="82" ht="15" customHeight="1">
      <c r="A82" t="inlineStr">
        <is>
          <t>A 61140-2022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46248</v>
      </c>
      <c r="F82" t="inlineStr">
        <is>
          <t>KALMAR LÄN</t>
        </is>
      </c>
      <c r="G82" t="inlineStr">
        <is>
          <t>NYBRO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HYPERLINK("https://klasma.github.io/Logging_0881/artfynd/A 61140-2022 artfynd.xlsx", "A 61140-2022")</f>
        <v/>
      </c>
      <c r="X82">
        <f>HYPERLINK("https://klasma.github.io/Logging_0881/kartor/A 61140-2022 karta.png", "A 61140-2022")</f>
        <v/>
      </c>
      <c r="Y82">
        <f>HYPERLINK("https://klasma.github.io/Logging_0881/kartor_geotiff/A 61140-2022 georefererad karta.tif", "A 61140-2022")</f>
        <v/>
      </c>
      <c r="AA82">
        <f>HYPERLINK("https://klasma.github.io/Logging_0881/klagomål/A 61140-2022 FSC-klagomål.docx", "A 61140-2022")</f>
        <v/>
      </c>
      <c r="AB82">
        <f>HYPERLINK("https://klasma.github.io/Logging_0881/klagomålsmail/A 61140-2022 FSC-klagomål mail.docx", "A 61140-2022")</f>
        <v/>
      </c>
      <c r="AC82">
        <f>HYPERLINK("https://klasma.github.io/Logging_0881/tillsyn/A 61140-2022 tillsynsbegäran.docx", "A 61140-2022")</f>
        <v/>
      </c>
      <c r="AD82">
        <f>HYPERLINK("https://klasma.github.io/Logging_0881/tillsynsmail/A 61140-2022 tillsynsbegäran mail.docx", "A 61140-2022")</f>
        <v/>
      </c>
      <c r="AE82">
        <f>HYPERLINK("https://klasma.github.io/Logging_0881/fåglar/A 61140-2022 prioriterade fågelarter.docx", "A 61140-2022")</f>
        <v/>
      </c>
    </row>
    <row r="83" ht="15" customHeight="1">
      <c r="A83" t="inlineStr">
        <is>
          <t>A 37016-2023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46248</v>
      </c>
      <c r="F83" t="inlineStr">
        <is>
          <t>KALMAR LÄN</t>
        </is>
      </c>
      <c r="G83" t="inlineStr">
        <is>
          <t>NYBRO</t>
        </is>
      </c>
      <c r="I83" t="n">
        <v>6.4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HYPERLINK("https://klasma.github.io/Logging_0881/artfynd/A 37016-2023 artfynd.xlsx", "A 37016-2023")</f>
        <v/>
      </c>
      <c r="X83">
        <f>HYPERLINK("https://klasma.github.io/Logging_0881/kartor/A 37016-2023 karta.png", "A 37016-2023")</f>
        <v/>
      </c>
      <c r="Y83">
        <f>HYPERLINK("https://klasma.github.io/Logging_0881/kartor_geotiff/A 37016-2023 georefererad karta.tif", "A 37016-2023")</f>
        <v/>
      </c>
      <c r="AA83">
        <f>HYPERLINK("https://klasma.github.io/Logging_0881/klagomål/A 37016-2023 FSC-klagomål.docx", "A 37016-2023")</f>
        <v/>
      </c>
      <c r="AB83">
        <f>HYPERLINK("https://klasma.github.io/Logging_0881/klagomålsmail/A 37016-2023 FSC-klagomål mail.docx", "A 37016-2023")</f>
        <v/>
      </c>
      <c r="AC83">
        <f>HYPERLINK("https://klasma.github.io/Logging_0881/tillsyn/A 37016-2023 tillsynsbegäran.docx", "A 37016-2023")</f>
        <v/>
      </c>
      <c r="AD83">
        <f>HYPERLINK("https://klasma.github.io/Logging_0881/tillsynsmail/A 37016-2023 tillsynsbegäran mail.docx", "A 37016-2023")</f>
        <v/>
      </c>
    </row>
    <row r="84" ht="15" customHeight="1">
      <c r="A84" t="inlineStr">
        <is>
          <t>A 50008-2023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46248</v>
      </c>
      <c r="F84" t="inlineStr">
        <is>
          <t>KALMAR LÄN</t>
        </is>
      </c>
      <c r="G84" t="inlineStr">
        <is>
          <t>NYBRO</t>
        </is>
      </c>
      <c r="I84" t="n">
        <v>2.1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HYPERLINK("https://klasma.github.io/Logging_0881/artfynd/A 50008-2023 artfynd.xlsx", "A 50008-2023")</f>
        <v/>
      </c>
      <c r="X84">
        <f>HYPERLINK("https://klasma.github.io/Logging_0881/kartor/A 50008-2023 karta.png", "A 50008-2023")</f>
        <v/>
      </c>
      <c r="Y84">
        <f>HYPERLINK("https://klasma.github.io/Logging_0881/kartor_geotiff/A 50008-2023 georefererad karta.tif", "A 50008-2023")</f>
        <v/>
      </c>
      <c r="AA84">
        <f>HYPERLINK("https://klasma.github.io/Logging_0881/klagomål/A 50008-2023 FSC-klagomål.docx", "A 50008-2023")</f>
        <v/>
      </c>
      <c r="AB84">
        <f>HYPERLINK("https://klasma.github.io/Logging_0881/klagomålsmail/A 50008-2023 FSC-klagomål mail.docx", "A 50008-2023")</f>
        <v/>
      </c>
      <c r="AC84">
        <f>HYPERLINK("https://klasma.github.io/Logging_0881/tillsyn/A 50008-2023 tillsynsbegäran.docx", "A 50008-2023")</f>
        <v/>
      </c>
      <c r="AD84">
        <f>HYPERLINK("https://klasma.github.io/Logging_0881/tillsynsmail/A 50008-2023 tillsynsbegäran mail.docx", "A 50008-2023")</f>
        <v/>
      </c>
    </row>
    <row r="85" ht="15" customHeight="1">
      <c r="A85" t="inlineStr">
        <is>
          <t>A 6676-2023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46248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Etternässla</t>
        </is>
      </c>
      <c r="W85">
        <f>HYPERLINK("https://klasma.github.io/Logging_0881/artfynd/A 6676-2023 artfynd.xlsx", "A 6676-2023")</f>
        <v/>
      </c>
      <c r="X85">
        <f>HYPERLINK("https://klasma.github.io/Logging_0881/kartor/A 6676-2023 karta.png", "A 6676-2023")</f>
        <v/>
      </c>
      <c r="Y85">
        <f>HYPERLINK("https://klasma.github.io/Logging_0881/kartor_geotiff/A 6676-2023 georefererad karta.tif", "A 6676-2023")</f>
        <v/>
      </c>
      <c r="AA85">
        <f>HYPERLINK("https://klasma.github.io/Logging_0881/klagomål/A 6676-2023 FSC-klagomål.docx", "A 6676-2023")</f>
        <v/>
      </c>
      <c r="AB85">
        <f>HYPERLINK("https://klasma.github.io/Logging_0881/klagomålsmail/A 6676-2023 FSC-klagomål mail.docx", "A 6676-2023")</f>
        <v/>
      </c>
      <c r="AC85">
        <f>HYPERLINK("https://klasma.github.io/Logging_0881/tillsyn/A 6676-2023 tillsynsbegäran.docx", "A 6676-2023")</f>
        <v/>
      </c>
      <c r="AD85">
        <f>HYPERLINK("https://klasma.github.io/Logging_0881/tillsynsmail/A 6676-2023 tillsynsbegäran mail.docx", "A 6676-2023")</f>
        <v/>
      </c>
    </row>
    <row r="86" ht="15" customHeight="1">
      <c r="A86" t="inlineStr">
        <is>
          <t>A 16715-2025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46248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Större brunfladdermus</t>
        </is>
      </c>
      <c r="W86">
        <f>HYPERLINK("https://klasma.github.io/Logging_0881/artfynd/A 16715-2025 artfynd.xlsx", "A 16715-2025")</f>
        <v/>
      </c>
      <c r="X86">
        <f>HYPERLINK("https://klasma.github.io/Logging_0881/kartor/A 16715-2025 karta.png", "A 16715-2025")</f>
        <v/>
      </c>
      <c r="Y86">
        <f>HYPERLINK("https://klasma.github.io/Logging_0881/kartor_geotiff/A 16715-2025 georefererad karta.tif", "A 16715-2025")</f>
        <v/>
      </c>
      <c r="AA86">
        <f>HYPERLINK("https://klasma.github.io/Logging_0881/klagomål/A 16715-2025 FSC-klagomål.docx", "A 16715-2025")</f>
        <v/>
      </c>
      <c r="AB86">
        <f>HYPERLINK("https://klasma.github.io/Logging_0881/klagomålsmail/A 16715-2025 FSC-klagomål mail.docx", "A 16715-2025")</f>
        <v/>
      </c>
      <c r="AC86">
        <f>HYPERLINK("https://klasma.github.io/Logging_0881/tillsyn/A 16715-2025 tillsynsbegäran.docx", "A 16715-2025")</f>
        <v/>
      </c>
      <c r="AD86">
        <f>HYPERLINK("https://klasma.github.io/Logging_0881/tillsynsmail/A 16715-2025 tillsynsbegäran mail.docx", "A 16715-2025")</f>
        <v/>
      </c>
    </row>
    <row r="87" ht="15" customHeight="1">
      <c r="A87" t="inlineStr">
        <is>
          <t>A 61809-2024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46248</v>
      </c>
      <c r="F87" t="inlineStr">
        <is>
          <t>KALMAR LÄN</t>
        </is>
      </c>
      <c r="G87" t="inlineStr">
        <is>
          <t>NYBRO</t>
        </is>
      </c>
      <c r="I87" t="n">
        <v>15.8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61809-2024 artfynd.xlsx", "A 61809-2024")</f>
        <v/>
      </c>
      <c r="X87">
        <f>HYPERLINK("https://klasma.github.io/Logging_0881/kartor/A 61809-2024 karta.png", "A 61809-2024")</f>
        <v/>
      </c>
      <c r="Y87">
        <f>HYPERLINK("https://klasma.github.io/Logging_0881/kartor_geotiff/A 61809-2024 georefererad karta.tif", "A 61809-2024")</f>
        <v/>
      </c>
      <c r="AA87">
        <f>HYPERLINK("https://klasma.github.io/Logging_0881/klagomål/A 61809-2024 FSC-klagomål.docx", "A 61809-2024")</f>
        <v/>
      </c>
      <c r="AB87">
        <f>HYPERLINK("https://klasma.github.io/Logging_0881/klagomålsmail/A 61809-2024 FSC-klagomål mail.docx", "A 61809-2024")</f>
        <v/>
      </c>
      <c r="AC87">
        <f>HYPERLINK("https://klasma.github.io/Logging_0881/tillsyn/A 61809-2024 tillsynsbegäran.docx", "A 61809-2024")</f>
        <v/>
      </c>
      <c r="AD87">
        <f>HYPERLINK("https://klasma.github.io/Logging_0881/tillsynsmail/A 61809-2024 tillsynsbegäran mail.docx", "A 61809-2024")</f>
        <v/>
      </c>
      <c r="AE87">
        <f>HYPERLINK("https://klasma.github.io/Logging_0881/fåglar/A 61809-2024 prioriterade fågelarter.docx", "A 61809-2024")</f>
        <v/>
      </c>
    </row>
    <row r="88" ht="15" customHeight="1">
      <c r="A88" t="inlineStr">
        <is>
          <t>A 30510-2023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46248</v>
      </c>
      <c r="F88" t="inlineStr">
        <is>
          <t>KALMAR LÄN</t>
        </is>
      </c>
      <c r="G88" t="inlineStr">
        <is>
          <t>NYBRO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HYPERLINK("https://klasma.github.io/Logging_0881/artfynd/A 30510-2023 artfynd.xlsx", "A 30510-2023")</f>
        <v/>
      </c>
      <c r="X88">
        <f>HYPERLINK("https://klasma.github.io/Logging_0881/kartor/A 30510-2023 karta.png", "A 30510-2023")</f>
        <v/>
      </c>
      <c r="Y88">
        <f>HYPERLINK("https://klasma.github.io/Logging_0881/kartor_geotiff/A 30510-2023 georefererad karta.tif", "A 30510-2023")</f>
        <v/>
      </c>
      <c r="AA88">
        <f>HYPERLINK("https://klasma.github.io/Logging_0881/klagomål/A 30510-2023 FSC-klagomål.docx", "A 30510-2023")</f>
        <v/>
      </c>
      <c r="AB88">
        <f>HYPERLINK("https://klasma.github.io/Logging_0881/klagomålsmail/A 30510-2023 FSC-klagomål mail.docx", "A 30510-2023")</f>
        <v/>
      </c>
      <c r="AC88">
        <f>HYPERLINK("https://klasma.github.io/Logging_0881/tillsyn/A 30510-2023 tillsynsbegäran.docx", "A 30510-2023")</f>
        <v/>
      </c>
      <c r="AD88">
        <f>HYPERLINK("https://klasma.github.io/Logging_0881/tillsynsmail/A 30510-2023 tillsynsbegäran mail.docx", "A 30510-2023")</f>
        <v/>
      </c>
      <c r="AE88">
        <f>HYPERLINK("https://klasma.github.io/Logging_0881/fåglar/A 30510-2023 prioriterade fågelarter.docx", "A 30510-2023")</f>
        <v/>
      </c>
    </row>
    <row r="89" ht="15" customHeight="1">
      <c r="A89" t="inlineStr">
        <is>
          <t>A 17741-2025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45758</v>
      </c>
      <c r="E89" s="1" t="n">
        <v>46248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Tårkragskivling</t>
        </is>
      </c>
      <c r="W89">
        <f>HYPERLINK("https://klasma.github.io/Logging_0881/artfynd/A 17741-2025 artfynd.xlsx", "A 17741-2025")</f>
        <v/>
      </c>
      <c r="X89">
        <f>HYPERLINK("https://klasma.github.io/Logging_0881/kartor/A 17741-2025 karta.png", "A 17741-2025")</f>
        <v/>
      </c>
      <c r="Y89">
        <f>HYPERLINK("https://klasma.github.io/Logging_0881/kartor_geotiff/A 17741-2025 georefererad karta.tif", "A 17741-2025")</f>
        <v/>
      </c>
      <c r="AA89">
        <f>HYPERLINK("https://klasma.github.io/Logging_0881/klagomål/A 17741-2025 FSC-klagomål.docx", "A 17741-2025")</f>
        <v/>
      </c>
      <c r="AB89">
        <f>HYPERLINK("https://klasma.github.io/Logging_0881/klagomålsmail/A 17741-2025 FSC-klagomål mail.docx", "A 17741-2025")</f>
        <v/>
      </c>
      <c r="AC89">
        <f>HYPERLINK("https://klasma.github.io/Logging_0881/tillsyn/A 17741-2025 tillsynsbegäran.docx", "A 17741-2025")</f>
        <v/>
      </c>
      <c r="AD89">
        <f>HYPERLINK("https://klasma.github.io/Logging_0881/tillsynsmail/A 17741-2025 tillsynsbegäran mail.docx", "A 17741-2025")</f>
        <v/>
      </c>
    </row>
    <row r="90" ht="15" customHeight="1">
      <c r="A90" t="inlineStr">
        <is>
          <t>A 38265-2024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46248</v>
      </c>
      <c r="F90" t="inlineStr">
        <is>
          <t>KALMAR LÄN</t>
        </is>
      </c>
      <c r="G90" t="inlineStr">
        <is>
          <t>NYBRO</t>
        </is>
      </c>
      <c r="I90" t="n">
        <v>4.2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Mindre bastardsvärmare</t>
        </is>
      </c>
      <c r="W90">
        <f>HYPERLINK("https://klasma.github.io/Logging_0881/artfynd/A 38265-2024 artfynd.xlsx", "A 38265-2024")</f>
        <v/>
      </c>
      <c r="X90">
        <f>HYPERLINK("https://klasma.github.io/Logging_0881/kartor/A 38265-2024 karta.png", "A 38265-2024")</f>
        <v/>
      </c>
      <c r="Y90">
        <f>HYPERLINK("https://klasma.github.io/Logging_0881/kartor_geotiff/A 38265-2024 georefererad karta.tif", "A 38265-2024")</f>
        <v/>
      </c>
      <c r="AA90">
        <f>HYPERLINK("https://klasma.github.io/Logging_0881/klagomål/A 38265-2024 FSC-klagomål.docx", "A 38265-2024")</f>
        <v/>
      </c>
      <c r="AB90">
        <f>HYPERLINK("https://klasma.github.io/Logging_0881/klagomålsmail/A 38265-2024 FSC-klagomål mail.docx", "A 38265-2024")</f>
        <v/>
      </c>
      <c r="AC90">
        <f>HYPERLINK("https://klasma.github.io/Logging_0881/tillsyn/A 38265-2024 tillsynsbegäran.docx", "A 38265-2024")</f>
        <v/>
      </c>
      <c r="AD90">
        <f>HYPERLINK("https://klasma.github.io/Logging_0881/tillsynsmail/A 38265-2024 tillsynsbegäran mail.docx", "A 38265-2024")</f>
        <v/>
      </c>
    </row>
    <row r="91" ht="15" customHeight="1">
      <c r="A91" t="inlineStr">
        <is>
          <t>A 61790-2022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46248</v>
      </c>
      <c r="F91" t="inlineStr">
        <is>
          <t>KALMAR LÄN</t>
        </is>
      </c>
      <c r="G91" t="inlineStr">
        <is>
          <t>NYBRO</t>
        </is>
      </c>
      <c r="H91" t="inlineStr">
        <is>
          <t>Kommuner</t>
        </is>
      </c>
      <c r="I91" t="n">
        <v>3.7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HYPERLINK("https://klasma.github.io/Logging_0881/artfynd/A 61790-2022 artfynd.xlsx", "A 61790-2022")</f>
        <v/>
      </c>
      <c r="X91">
        <f>HYPERLINK("https://klasma.github.io/Logging_0881/kartor/A 61790-2022 karta.png", "A 61790-2022")</f>
        <v/>
      </c>
      <c r="Y91">
        <f>HYPERLINK("https://klasma.github.io/Logging_0881/kartor_geotiff/A 61790-2022 georefererad karta.tif", "A 61790-2022")</f>
        <v/>
      </c>
      <c r="AA91">
        <f>HYPERLINK("https://klasma.github.io/Logging_0881/klagomål/A 61790-2022 FSC-klagomål.docx", "A 61790-2022")</f>
        <v/>
      </c>
      <c r="AB91">
        <f>HYPERLINK("https://klasma.github.io/Logging_0881/klagomålsmail/A 61790-2022 FSC-klagomål mail.docx", "A 61790-2022")</f>
        <v/>
      </c>
      <c r="AC91">
        <f>HYPERLINK("https://klasma.github.io/Logging_0881/tillsyn/A 61790-2022 tillsynsbegäran.docx", "A 61790-2022")</f>
        <v/>
      </c>
      <c r="AD91">
        <f>HYPERLINK("https://klasma.github.io/Logging_0881/tillsynsmail/A 61790-2022 tillsynsbegäran mail.docx", "A 61790-2022")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46248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31861-2023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46248</v>
      </c>
      <c r="F93" t="inlineStr">
        <is>
          <t>KALMAR LÄN</t>
        </is>
      </c>
      <c r="G93" t="inlineStr">
        <is>
          <t>NYBRO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HYPERLINK("https://klasma.github.io/Logging_0881/artfynd/A 31861-2023 artfynd.xlsx", "A 31861-2023")</f>
        <v/>
      </c>
      <c r="X93">
        <f>HYPERLINK("https://klasma.github.io/Logging_0881/kartor/A 31861-2023 karta.png", "A 31861-2023")</f>
        <v/>
      </c>
      <c r="Y93">
        <f>HYPERLINK("https://klasma.github.io/Logging_0881/kartor_geotiff/A 31861-2023 georefererad karta.tif", "A 31861-2023")</f>
        <v/>
      </c>
      <c r="AA93">
        <f>HYPERLINK("https://klasma.github.io/Logging_0881/klagomål/A 31861-2023 FSC-klagomål.docx", "A 31861-2023")</f>
        <v/>
      </c>
      <c r="AB93">
        <f>HYPERLINK("https://klasma.github.io/Logging_0881/klagomålsmail/A 31861-2023 FSC-klagomål mail.docx", "A 31861-2023")</f>
        <v/>
      </c>
      <c r="AC93">
        <f>HYPERLINK("https://klasma.github.io/Logging_0881/tillsyn/A 31861-2023 tillsynsbegäran.docx", "A 31861-2023")</f>
        <v/>
      </c>
      <c r="AD93">
        <f>HYPERLINK("https://klasma.github.io/Logging_0881/tillsynsmail/A 31861-2023 tillsynsbegäran mail.docx", "A 31861-2023")</f>
        <v/>
      </c>
    </row>
    <row r="94" ht="15" customHeight="1">
      <c r="A94" t="inlineStr">
        <is>
          <t>A 3726-2023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44951</v>
      </c>
      <c r="E94" s="1" t="n">
        <v>46248</v>
      </c>
      <c r="F94" t="inlineStr">
        <is>
          <t>KALMAR LÄN</t>
        </is>
      </c>
      <c r="G94" t="inlineStr">
        <is>
          <t>NYBRO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HYPERLINK("https://klasma.github.io/Logging_0881/artfynd/A 3726-2023 artfynd.xlsx", "A 3726-2023")</f>
        <v/>
      </c>
      <c r="X94">
        <f>HYPERLINK("https://klasma.github.io/Logging_0881/kartor/A 3726-2023 karta.png", "A 3726-2023")</f>
        <v/>
      </c>
      <c r="Y94">
        <f>HYPERLINK("https://klasma.github.io/Logging_0881/kartor_geotiff/A 3726-2023 georefererad karta.tif", "A 3726-2023")</f>
        <v/>
      </c>
      <c r="AA94">
        <f>HYPERLINK("https://klasma.github.io/Logging_0881/klagomål/A 3726-2023 FSC-klagomål.docx", "A 3726-2023")</f>
        <v/>
      </c>
      <c r="AB94">
        <f>HYPERLINK("https://klasma.github.io/Logging_0881/klagomålsmail/A 3726-2023 FSC-klagomål mail.docx", "A 3726-2023")</f>
        <v/>
      </c>
      <c r="AC94">
        <f>HYPERLINK("https://klasma.github.io/Logging_0881/tillsyn/A 3726-2023 tillsynsbegäran.docx", "A 3726-2023")</f>
        <v/>
      </c>
      <c r="AD94">
        <f>HYPERLINK("https://klasma.github.io/Logging_0881/tillsynsmail/A 3726-2023 tillsynsbegäran mail.docx", "A 3726-2023")</f>
        <v/>
      </c>
    </row>
    <row r="95" ht="15" customHeight="1">
      <c r="A95" t="inlineStr">
        <is>
          <t>A 64315-2023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45279</v>
      </c>
      <c r="E95" s="1" t="n">
        <v>46248</v>
      </c>
      <c r="F95" t="inlineStr">
        <is>
          <t>KALMAR LÄN</t>
        </is>
      </c>
      <c r="G95" t="inlineStr">
        <is>
          <t>NYBRO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HYPERLINK("https://klasma.github.io/Logging_0881/artfynd/A 64315-2023 artfynd.xlsx", "A 64315-2023")</f>
        <v/>
      </c>
      <c r="X95">
        <f>HYPERLINK("https://klasma.github.io/Logging_0881/kartor/A 64315-2023 karta.png", "A 64315-2023")</f>
        <v/>
      </c>
      <c r="Y95">
        <f>HYPERLINK("https://klasma.github.io/Logging_0881/kartor_geotiff/A 64315-2023 georefererad karta.tif", "A 64315-2023")</f>
        <v/>
      </c>
      <c r="AA95">
        <f>HYPERLINK("https://klasma.github.io/Logging_0881/klagomål/A 64315-2023 FSC-klagomål.docx", "A 64315-2023")</f>
        <v/>
      </c>
      <c r="AB95">
        <f>HYPERLINK("https://klasma.github.io/Logging_0881/klagomålsmail/A 64315-2023 FSC-klagomål mail.docx", "A 64315-2023")</f>
        <v/>
      </c>
      <c r="AC95">
        <f>HYPERLINK("https://klasma.github.io/Logging_0881/tillsyn/A 64315-2023 tillsynsbegäran.docx", "A 64315-2023")</f>
        <v/>
      </c>
      <c r="AD95">
        <f>HYPERLINK("https://klasma.github.io/Logging_0881/tillsynsmail/A 64315-2023 tillsynsbegäran mail.docx", "A 64315-2023")</f>
        <v/>
      </c>
    </row>
    <row r="96" ht="15" customHeight="1">
      <c r="A96" t="inlineStr">
        <is>
          <t>A 22171-2023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46248</v>
      </c>
      <c r="F96" t="inlineStr">
        <is>
          <t>KALMAR LÄN</t>
        </is>
      </c>
      <c r="G96" t="inlineStr">
        <is>
          <t>NYBRO</t>
        </is>
      </c>
      <c r="I96" t="n">
        <v>3.6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Blåmossa</t>
        </is>
      </c>
      <c r="W96">
        <f>HYPERLINK("https://klasma.github.io/Logging_0881/artfynd/A 22171-2023 artfynd.xlsx", "A 22171-2023")</f>
        <v/>
      </c>
      <c r="X96">
        <f>HYPERLINK("https://klasma.github.io/Logging_0881/kartor/A 22171-2023 karta.png", "A 22171-2023")</f>
        <v/>
      </c>
      <c r="Y96">
        <f>HYPERLINK("https://klasma.github.io/Logging_0881/kartor_geotiff/A 22171-2023 georefererad karta.tif", "A 22171-2023")</f>
        <v/>
      </c>
      <c r="AA96">
        <f>HYPERLINK("https://klasma.github.io/Logging_0881/klagomål/A 22171-2023 FSC-klagomål.docx", "A 22171-2023")</f>
        <v/>
      </c>
      <c r="AB96">
        <f>HYPERLINK("https://klasma.github.io/Logging_0881/klagomålsmail/A 22171-2023 FSC-klagomål mail.docx", "A 22171-2023")</f>
        <v/>
      </c>
      <c r="AC96">
        <f>HYPERLINK("https://klasma.github.io/Logging_0881/tillsyn/A 22171-2023 tillsynsbegäran.docx", "A 22171-2023")</f>
        <v/>
      </c>
      <c r="AD96">
        <f>HYPERLINK("https://klasma.github.io/Logging_0881/tillsynsmail/A 22171-2023 tillsynsbegäran mail.docx", "A 22171-2023")</f>
        <v/>
      </c>
    </row>
    <row r="97" ht="15" customHeight="1">
      <c r="A97" t="inlineStr">
        <is>
          <t>A 22952-2024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45449</v>
      </c>
      <c r="E97" s="1" t="n">
        <v>46248</v>
      </c>
      <c r="F97" t="inlineStr">
        <is>
          <t>KALMAR LÄN</t>
        </is>
      </c>
      <c r="G97" t="inlineStr">
        <is>
          <t>NYBRO</t>
        </is>
      </c>
      <c r="I97" t="n">
        <v>14.1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Revlummer</t>
        </is>
      </c>
      <c r="W97">
        <f>HYPERLINK("https://klasma.github.io/Logging_0881/artfynd/A 22952-2024 artfynd.xlsx", "A 22952-2024")</f>
        <v/>
      </c>
      <c r="X97">
        <f>HYPERLINK("https://klasma.github.io/Logging_0881/kartor/A 22952-2024 karta.png", "A 22952-2024")</f>
        <v/>
      </c>
      <c r="Y97">
        <f>HYPERLINK("https://klasma.github.io/Logging_0881/kartor_geotiff/A 22952-2024 georefererad karta.tif", "A 22952-2024")</f>
        <v/>
      </c>
      <c r="AA97">
        <f>HYPERLINK("https://klasma.github.io/Logging_0881/klagomål/A 22952-2024 FSC-klagomål.docx", "A 22952-2024")</f>
        <v/>
      </c>
      <c r="AB97">
        <f>HYPERLINK("https://klasma.github.io/Logging_0881/klagomålsmail/A 22952-2024 FSC-klagomål mail.docx", "A 22952-2024")</f>
        <v/>
      </c>
      <c r="AC97">
        <f>HYPERLINK("https://klasma.github.io/Logging_0881/tillsyn/A 22952-2024 tillsynsbegäran.docx", "A 22952-2024")</f>
        <v/>
      </c>
      <c r="AD97">
        <f>HYPERLINK("https://klasma.github.io/Logging_0881/tillsynsmail/A 22952-2024 tillsynsbegäran mail.docx", "A 22952-2024")</f>
        <v/>
      </c>
    </row>
    <row r="98" ht="15" customHeight="1">
      <c r="A98" t="inlineStr">
        <is>
          <t>A 27346-2023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46248</v>
      </c>
      <c r="F98" t="inlineStr">
        <is>
          <t>KALMAR LÄN</t>
        </is>
      </c>
      <c r="G98" t="inlineStr">
        <is>
          <t>NYBRO</t>
        </is>
      </c>
      <c r="I98" t="n">
        <v>1.2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HYPERLINK("https://klasma.github.io/Logging_0881/artfynd/A 27346-2023 artfynd.xlsx", "A 27346-2023")</f>
        <v/>
      </c>
      <c r="X98">
        <f>HYPERLINK("https://klasma.github.io/Logging_0881/kartor/A 27346-2023 karta.png", "A 27346-2023")</f>
        <v/>
      </c>
      <c r="Y98">
        <f>HYPERLINK("https://klasma.github.io/Logging_0881/kartor_geotiff/A 27346-2023 georefererad karta.tif", "A 27346-2023")</f>
        <v/>
      </c>
      <c r="AA98">
        <f>HYPERLINK("https://klasma.github.io/Logging_0881/klagomål/A 27346-2023 FSC-klagomål.docx", "A 27346-2023")</f>
        <v/>
      </c>
      <c r="AB98">
        <f>HYPERLINK("https://klasma.github.io/Logging_0881/klagomålsmail/A 27346-2023 FSC-klagomål mail.docx", "A 27346-2023")</f>
        <v/>
      </c>
      <c r="AC98">
        <f>HYPERLINK("https://klasma.github.io/Logging_0881/tillsyn/A 27346-2023 tillsynsbegäran.docx", "A 27346-2023")</f>
        <v/>
      </c>
      <c r="AD98">
        <f>HYPERLINK("https://klasma.github.io/Logging_0881/tillsynsmail/A 27346-2023 tillsynsbegäran mail.docx", "A 27346-2023")</f>
        <v/>
      </c>
    </row>
    <row r="99" ht="15" customHeight="1">
      <c r="A99" t="inlineStr">
        <is>
          <t>A 35388-2022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44798</v>
      </c>
      <c r="E99" s="1" t="n">
        <v>46248</v>
      </c>
      <c r="F99" t="inlineStr">
        <is>
          <t>KALMAR LÄN</t>
        </is>
      </c>
      <c r="G99" t="inlineStr">
        <is>
          <t>NYBRO</t>
        </is>
      </c>
      <c r="I99" t="n">
        <v>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Motaggsvamp</t>
        </is>
      </c>
      <c r="W99">
        <f>HYPERLINK("https://klasma.github.io/Logging_0881/artfynd/A 35388-2022 artfynd.xlsx", "A 35388-2022")</f>
        <v/>
      </c>
      <c r="X99">
        <f>HYPERLINK("https://klasma.github.io/Logging_0881/kartor/A 35388-2022 karta.png", "A 35388-2022")</f>
        <v/>
      </c>
      <c r="Y99">
        <f>HYPERLINK("https://klasma.github.io/Logging_0881/kartor_geotiff/A 35388-2022 georefererad karta.tif", "A 35388-2022")</f>
        <v/>
      </c>
      <c r="AA99">
        <f>HYPERLINK("https://klasma.github.io/Logging_0881/klagomål/A 35388-2022 FSC-klagomål.docx", "A 35388-2022")</f>
        <v/>
      </c>
      <c r="AB99">
        <f>HYPERLINK("https://klasma.github.io/Logging_0881/klagomålsmail/A 35388-2022 FSC-klagomål mail.docx", "A 35388-2022")</f>
        <v/>
      </c>
      <c r="AC99">
        <f>HYPERLINK("https://klasma.github.io/Logging_0881/tillsyn/A 35388-2022 tillsynsbegäran.docx", "A 35388-2022")</f>
        <v/>
      </c>
      <c r="AD99">
        <f>HYPERLINK("https://klasma.github.io/Logging_0881/tillsynsmail/A 35388-2022 tillsynsbegäran mail.docx", "A 35388-2022")</f>
        <v/>
      </c>
    </row>
    <row r="100" ht="15" customHeight="1">
      <c r="A100" t="inlineStr">
        <is>
          <t>A 12323-2025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46248</v>
      </c>
      <c r="F100" t="inlineStr">
        <is>
          <t>KALMAR LÄN</t>
        </is>
      </c>
      <c r="G100" t="inlineStr">
        <is>
          <t>NYBRO</t>
        </is>
      </c>
      <c r="I100" t="n">
        <v>14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HYPERLINK("https://klasma.github.io/Logging_0881/artfynd/A 12323-2025 artfynd.xlsx", "A 12323-2025")</f>
        <v/>
      </c>
      <c r="X100">
        <f>HYPERLINK("https://klasma.github.io/Logging_0881/kartor/A 12323-2025 karta.png", "A 12323-2025")</f>
        <v/>
      </c>
      <c r="Y100">
        <f>HYPERLINK("https://klasma.github.io/Logging_0881/kartor_geotiff/A 12323-2025 georefererad karta.tif", "A 12323-2025")</f>
        <v/>
      </c>
      <c r="AA100">
        <f>HYPERLINK("https://klasma.github.io/Logging_0881/klagomål/A 12323-2025 FSC-klagomål.docx", "A 12323-2025")</f>
        <v/>
      </c>
      <c r="AB100">
        <f>HYPERLINK("https://klasma.github.io/Logging_0881/klagomålsmail/A 12323-2025 FSC-klagomål mail.docx", "A 12323-2025")</f>
        <v/>
      </c>
      <c r="AC100">
        <f>HYPERLINK("https://klasma.github.io/Logging_0881/tillsyn/A 12323-2025 tillsynsbegäran.docx", "A 12323-2025")</f>
        <v/>
      </c>
      <c r="AD100">
        <f>HYPERLINK("https://klasma.github.io/Logging_0881/tillsynsmail/A 12323-2025 tillsynsbegäran mail.docx", "A 12323-2025")</f>
        <v/>
      </c>
      <c r="AE100">
        <f>HYPERLINK("https://klasma.github.io/Logging_0881/fåglar/A 12323-2025 prioriterade fågelarter.docx", "A 12323-2025")</f>
        <v/>
      </c>
    </row>
    <row r="101" ht="15" customHeight="1">
      <c r="A101" t="inlineStr">
        <is>
          <t>A 41228-2025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46248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t="n">
        <v>3</v>
      </c>
      <c r="V101" s="2" t="inlineStr">
        <is>
          <t>Talltita</t>
        </is>
      </c>
      <c r="W101">
        <f>HYPERLINK("https://klasma.github.io/Logging_0881/artfynd/A 41228-2025 artfynd.xlsx", "A 41228-2025")</f>
        <v/>
      </c>
      <c r="X101">
        <f>HYPERLINK("https://klasma.github.io/Logging_0881/kartor/A 41228-2025 karta.png", "A 41228-2025")</f>
        <v/>
      </c>
      <c r="Y101">
        <f>HYPERLINK("https://klasma.github.io/Logging_0881/kartor_geotiff/A 41228-2025 georefererad karta.tif", "A 41228-2025")</f>
        <v/>
      </c>
      <c r="AA101">
        <f>HYPERLINK("https://klasma.github.io/Logging_0881/klagomål/A 41228-2025 FSC-klagomål.docx", "A 41228-2025")</f>
        <v/>
      </c>
      <c r="AB101">
        <f>HYPERLINK("https://klasma.github.io/Logging_0881/klagomålsmail/A 41228-2025 FSC-klagomål mail.docx", "A 41228-2025")</f>
        <v/>
      </c>
      <c r="AC101">
        <f>HYPERLINK("https://klasma.github.io/Logging_0881/tillsyn/A 41228-2025 tillsynsbegäran.docx", "A 41228-2025")</f>
        <v/>
      </c>
      <c r="AD101">
        <f>HYPERLINK("https://klasma.github.io/Logging_0881/tillsynsmail/A 41228-2025 tillsynsbegäran mail.docx", "A 41228-2025")</f>
        <v/>
      </c>
      <c r="AE101">
        <f>HYPERLINK("https://klasma.github.io/Logging_0881/fåglar/A 41228-2025 prioriterade fågelarter.docx", "A 41228-2025")</f>
        <v/>
      </c>
    </row>
    <row r="102" ht="15" customHeight="1">
      <c r="A102" t="inlineStr">
        <is>
          <t>A 54216-2024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46248</v>
      </c>
      <c r="F102" t="inlineStr">
        <is>
          <t>KALMAR LÄN</t>
        </is>
      </c>
      <c r="G102" t="inlineStr">
        <is>
          <t>NYBRO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HYPERLINK("https://klasma.github.io/Logging_0881/artfynd/A 54216-2024 artfynd.xlsx", "A 54216-2024")</f>
        <v/>
      </c>
      <c r="X102">
        <f>HYPERLINK("https://klasma.github.io/Logging_0881/kartor/A 54216-2024 karta.png", "A 54216-2024")</f>
        <v/>
      </c>
      <c r="Y102">
        <f>HYPERLINK("https://klasma.github.io/Logging_0881/kartor_geotiff/A 54216-2024 georefererad karta.tif", "A 54216-2024")</f>
        <v/>
      </c>
      <c r="AA102">
        <f>HYPERLINK("https://klasma.github.io/Logging_0881/klagomål/A 54216-2024 FSC-klagomål.docx", "A 54216-2024")</f>
        <v/>
      </c>
      <c r="AB102">
        <f>HYPERLINK("https://klasma.github.io/Logging_0881/klagomålsmail/A 54216-2024 FSC-klagomål mail.docx", "A 54216-2024")</f>
        <v/>
      </c>
      <c r="AC102">
        <f>HYPERLINK("https://klasma.github.io/Logging_0881/tillsyn/A 54216-2024 tillsynsbegäran.docx", "A 54216-2024")</f>
        <v/>
      </c>
      <c r="AD102">
        <f>HYPERLINK("https://klasma.github.io/Logging_0881/tillsynsmail/A 54216-2024 tillsynsbegäran mail.docx", "A 54216-2024")</f>
        <v/>
      </c>
      <c r="AE102">
        <f>HYPERLINK("https://klasma.github.io/Logging_0881/fåglar/A 54216-2024 prioriterade fågelarter.docx", "A 54216-2024")</f>
        <v/>
      </c>
    </row>
    <row r="103" ht="15" customHeight="1">
      <c r="A103" t="inlineStr">
        <is>
          <t>A 1717-2024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45307</v>
      </c>
      <c r="E103" s="1" t="n">
        <v>46248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HYPERLINK("https://klasma.github.io/Logging_0881/artfynd/A 1717-2024 artfynd.xlsx", "A 1717-2024")</f>
        <v/>
      </c>
      <c r="X103">
        <f>HYPERLINK("https://klasma.github.io/Logging_0881/kartor/A 1717-2024 karta.png", "A 1717-2024")</f>
        <v/>
      </c>
      <c r="Y103">
        <f>HYPERLINK("https://klasma.github.io/Logging_0881/kartor_geotiff/A 1717-2024 georefererad karta.tif", "A 1717-2024")</f>
        <v/>
      </c>
      <c r="AA103">
        <f>HYPERLINK("https://klasma.github.io/Logging_0881/klagomål/A 1717-2024 FSC-klagomål.docx", "A 1717-2024")</f>
        <v/>
      </c>
      <c r="AB103">
        <f>HYPERLINK("https://klasma.github.io/Logging_0881/klagomålsmail/A 1717-2024 FSC-klagomål mail.docx", "A 1717-2024")</f>
        <v/>
      </c>
      <c r="AC103">
        <f>HYPERLINK("https://klasma.github.io/Logging_0881/tillsyn/A 1717-2024 tillsynsbegäran.docx", "A 1717-2024")</f>
        <v/>
      </c>
      <c r="AD103">
        <f>HYPERLINK("https://klasma.github.io/Logging_0881/tillsynsmail/A 1717-2024 tillsynsbegäran mail.docx", "A 1717-2024")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46248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Ljungögontröst</t>
        </is>
      </c>
      <c r="W104">
        <f>HYPERLINK("https://klasma.github.io/Logging_0881/artfynd/A 20647-2026 artfynd.xlsx", "A 20647-2026")</f>
        <v/>
      </c>
      <c r="X104">
        <f>HYPERLINK("https://klasma.github.io/Logging_0881/kartor/A 20647-2026 karta.png", "A 20647-2026")</f>
        <v/>
      </c>
      <c r="Y104">
        <f>HYPERLINK("https://klasma.github.io/Logging_0881/kartor_geotiff/A 20647-2026 georefererad karta.tif", "A 20647-2026")</f>
        <v/>
      </c>
      <c r="AA104">
        <f>HYPERLINK("https://klasma.github.io/Logging_0881/klagomål/A 20647-2026 FSC-klagomål.docx", "A 20647-2026")</f>
        <v/>
      </c>
      <c r="AB104">
        <f>HYPERLINK("https://klasma.github.io/Logging_0881/klagomålsmail/A 20647-2026 FSC-klagomål mail.docx", "A 20647-2026")</f>
        <v/>
      </c>
      <c r="AC104">
        <f>HYPERLINK("https://klasma.github.io/Logging_0881/tillsyn/A 20647-2026 tillsynsbegäran.docx", "A 20647-2026")</f>
        <v/>
      </c>
      <c r="AD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37621-2024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46248</v>
      </c>
      <c r="F105" t="inlineStr">
        <is>
          <t>KALMAR LÄN</t>
        </is>
      </c>
      <c r="G105" t="inlineStr">
        <is>
          <t>NYBRO</t>
        </is>
      </c>
      <c r="I105" t="n">
        <v>4.1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Blåmossa</t>
        </is>
      </c>
      <c r="W105">
        <f>HYPERLINK("https://klasma.github.io/Logging_0881/artfynd/A 37621-2024 artfynd.xlsx", "A 37621-2024")</f>
        <v/>
      </c>
      <c r="X105">
        <f>HYPERLINK("https://klasma.github.io/Logging_0881/kartor/A 37621-2024 karta.png", "A 37621-2024")</f>
        <v/>
      </c>
      <c r="Y105">
        <f>HYPERLINK("https://klasma.github.io/Logging_0881/kartor_geotiff/A 37621-2024 georefererad karta.tif", "A 37621-2024")</f>
        <v/>
      </c>
      <c r="AA105">
        <f>HYPERLINK("https://klasma.github.io/Logging_0881/klagomål/A 37621-2024 FSC-klagomål.docx", "A 37621-2024")</f>
        <v/>
      </c>
      <c r="AB105">
        <f>HYPERLINK("https://klasma.github.io/Logging_0881/klagomålsmail/A 37621-2024 FSC-klagomål mail.docx", "A 37621-2024")</f>
        <v/>
      </c>
      <c r="AC105">
        <f>HYPERLINK("https://klasma.github.io/Logging_0881/tillsyn/A 37621-2024 tillsynsbegäran.docx", "A 37621-2024")</f>
        <v/>
      </c>
      <c r="AD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46248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Talltita</t>
        </is>
      </c>
      <c r="W106">
        <f>HYPERLINK("https://klasma.github.io/Logging_0881/artfynd/A 22097-2026 artfynd.xlsx", "A 22097-2026")</f>
        <v/>
      </c>
      <c r="X106">
        <f>HYPERLINK("https://klasma.github.io/Logging_0881/kartor/A 22097-2026 karta.png", "A 22097-2026")</f>
        <v/>
      </c>
      <c r="Y106">
        <f>HYPERLINK("https://klasma.github.io/Logging_0881/kartor_geotiff/A 22097-2026 georefererad karta.tif", "A 22097-2026")</f>
        <v/>
      </c>
      <c r="AA106">
        <f>HYPERLINK("https://klasma.github.io/Logging_0881/klagomål/A 22097-2026 FSC-klagomål.docx", "A 22097-2026")</f>
        <v/>
      </c>
      <c r="AB106">
        <f>HYPERLINK("https://klasma.github.io/Logging_0881/klagomålsmail/A 22097-2026 FSC-klagomål mail.docx", "A 22097-2026")</f>
        <v/>
      </c>
      <c r="AC106">
        <f>HYPERLINK("https://klasma.github.io/Logging_0881/tillsyn/A 22097-2026 tillsynsbegäran.docx", "A 22097-2026")</f>
        <v/>
      </c>
      <c r="AD106">
        <f>HYPERLINK("https://klasma.github.io/Logging_0881/tillsynsmail/A 22097-2026 tillsynsbegäran mail.docx", "A 22097-2026")</f>
        <v/>
      </c>
      <c r="AE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46248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Talltita</t>
        </is>
      </c>
      <c r="W107">
        <f>HYPERLINK("https://klasma.github.io/Logging_0881/artfynd/A 22089-2026 artfynd.xlsx", "A 22089-2026")</f>
        <v/>
      </c>
      <c r="X107">
        <f>HYPERLINK("https://klasma.github.io/Logging_0881/kartor/A 22089-2026 karta.png", "A 22089-2026")</f>
        <v/>
      </c>
      <c r="Y107">
        <f>HYPERLINK("https://klasma.github.io/Logging_0881/kartor_geotiff/A 22089-2026 georefererad karta.tif", "A 22089-2026")</f>
        <v/>
      </c>
      <c r="AA107">
        <f>HYPERLINK("https://klasma.github.io/Logging_0881/klagomål/A 22089-2026 FSC-klagomål.docx", "A 22089-2026")</f>
        <v/>
      </c>
      <c r="AB107">
        <f>HYPERLINK("https://klasma.github.io/Logging_0881/klagomålsmail/A 22089-2026 FSC-klagomål mail.docx", "A 22089-2026")</f>
        <v/>
      </c>
      <c r="AC107">
        <f>HYPERLINK("https://klasma.github.io/Logging_0881/tillsyn/A 22089-2026 tillsynsbegäran.docx", "A 22089-2026")</f>
        <v/>
      </c>
      <c r="AD107">
        <f>HYPERLINK("https://klasma.github.io/Logging_0881/tillsynsmail/A 22089-2026 tillsynsbegäran mail.docx", "A 22089-2026")</f>
        <v/>
      </c>
      <c r="AE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46248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6931-2025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46248</v>
      </c>
      <c r="F109" t="inlineStr">
        <is>
          <t>KALMAR LÄN</t>
        </is>
      </c>
      <c r="G109" t="inlineStr">
        <is>
          <t>NYBRO</t>
        </is>
      </c>
      <c r="I109" t="n">
        <v>2.7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Grönpyrola</t>
        </is>
      </c>
      <c r="W109">
        <f>HYPERLINK("https://klasma.github.io/Logging_0881/artfynd/A 6931-2025 artfynd.xlsx", "A 6931-2025")</f>
        <v/>
      </c>
      <c r="X109">
        <f>HYPERLINK("https://klasma.github.io/Logging_0881/kartor/A 6931-2025 karta.png", "A 6931-2025")</f>
        <v/>
      </c>
      <c r="Y109">
        <f>HYPERLINK("https://klasma.github.io/Logging_0881/kartor_geotiff/A 6931-2025 georefererad karta.tif", "A 6931-2025")</f>
        <v/>
      </c>
      <c r="AA109">
        <f>HYPERLINK("https://klasma.github.io/Logging_0881/klagomål/A 6931-2025 FSC-klagomål.docx", "A 6931-2025")</f>
        <v/>
      </c>
      <c r="AB109">
        <f>HYPERLINK("https://klasma.github.io/Logging_0881/klagomålsmail/A 6931-2025 FSC-klagomål mail.docx", "A 6931-2025")</f>
        <v/>
      </c>
      <c r="AC109">
        <f>HYPERLINK("https://klasma.github.io/Logging_0881/tillsyn/A 6931-2025 tillsynsbegäran.docx", "A 6931-2025")</f>
        <v/>
      </c>
      <c r="AD109">
        <f>HYPERLINK("https://klasma.github.io/Logging_0881/tillsynsmail/A 6931-2025 tillsynsbegäran mail.docx", "A 6931-2025")</f>
        <v/>
      </c>
    </row>
    <row r="110" ht="15" customHeight="1">
      <c r="A110" t="inlineStr">
        <is>
          <t>A 22086-2026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46248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2.6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Talltita</t>
        </is>
      </c>
      <c r="W110">
        <f>HYPERLINK("https://klasma.github.io/Logging_0881/artfynd/A 22086-2026 artfynd.xlsx", "A 22086-2026")</f>
        <v/>
      </c>
      <c r="X110">
        <f>HYPERLINK("https://klasma.github.io/Logging_0881/kartor/A 22086-2026 karta.png", "A 22086-2026")</f>
        <v/>
      </c>
      <c r="Y110">
        <f>HYPERLINK("https://klasma.github.io/Logging_0881/kartor_geotiff/A 22086-2026 georefererad karta.tif", "A 22086-2026")</f>
        <v/>
      </c>
      <c r="AA110">
        <f>HYPERLINK("https://klasma.github.io/Logging_0881/klagomål/A 22086-2026 FSC-klagomål.docx", "A 22086-2026")</f>
        <v/>
      </c>
      <c r="AB110">
        <f>HYPERLINK("https://klasma.github.io/Logging_0881/klagomålsmail/A 22086-2026 FSC-klagomål mail.docx", "A 22086-2026")</f>
        <v/>
      </c>
      <c r="AC110">
        <f>HYPERLINK("https://klasma.github.io/Logging_0881/tillsyn/A 22086-2026 tillsynsbegäran.docx", "A 22086-2026")</f>
        <v/>
      </c>
      <c r="AD110">
        <f>HYPERLINK("https://klasma.github.io/Logging_0881/tillsynsmail/A 22086-2026 tillsynsbegäran mail.docx", "A 22086-2026")</f>
        <v/>
      </c>
      <c r="AE110">
        <f>HYPERLINK("https://klasma.github.io/Logging_0881/fåglar/A 22086-2026 prioriterade fågelarter.docx", "A 22086-2026")</f>
        <v/>
      </c>
    </row>
    <row r="111" ht="15" customHeight="1">
      <c r="A111" t="inlineStr">
        <is>
          <t>A 60036-2022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46248</v>
      </c>
      <c r="F111" t="inlineStr">
        <is>
          <t>KALMAR LÄN</t>
        </is>
      </c>
      <c r="G111" t="inlineStr">
        <is>
          <t>NYBRO</t>
        </is>
      </c>
      <c r="I111" t="n">
        <v>8.699999999999999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13</v>
      </c>
      <c r="U111" t="n">
        <v>0</v>
      </c>
      <c r="V111" s="2" t="inlineStr">
        <is>
          <t>Knärot</t>
        </is>
      </c>
      <c r="W111">
        <f>HYPERLINK("https://klasma.github.io/Logging_0881/artfynd/A 60036-2022 artfynd.xlsx", "A 60036-2022")</f>
        <v/>
      </c>
      <c r="X111">
        <f>HYPERLINK("https://klasma.github.io/Logging_0881/kartor/A 60036-2022 karta.png", "A 60036-2022")</f>
        <v/>
      </c>
      <c r="Y111">
        <f>HYPERLINK("https://klasma.github.io/Logging_0881/kartor_geotiff/A 60036-2022 georefererad karta.tif", "A 60036-2022")</f>
        <v/>
      </c>
      <c r="Z111">
        <f>HYPERLINK("https://klasma.github.io/Logging_0881/knärot/A 60036-2022 karta knärot.png", "A 60036-2022")</f>
        <v/>
      </c>
      <c r="AA111">
        <f>HYPERLINK("https://klasma.github.io/Logging_0881/klagomål/A 60036-2022 FSC-klagomål.docx", "A 60036-2022")</f>
        <v/>
      </c>
      <c r="AB111">
        <f>HYPERLINK("https://klasma.github.io/Logging_0881/klagomålsmail/A 60036-2022 FSC-klagomål mail.docx", "A 60036-2022")</f>
        <v/>
      </c>
      <c r="AC111">
        <f>HYPERLINK("https://klasma.github.io/Logging_0881/tillsyn/A 60036-2022 tillsynsbegäran.docx", "A 60036-2022")</f>
        <v/>
      </c>
      <c r="AD111">
        <f>HYPERLINK("https://klasma.github.io/Logging_0881/tillsynsmail/A 60036-2022 tillsynsbegäran mail.docx", "A 60036-2022")</f>
        <v/>
      </c>
    </row>
    <row r="112" ht="15" customHeight="1">
      <c r="A112" t="inlineStr">
        <is>
          <t>A 38798-2024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46248</v>
      </c>
      <c r="F112" t="inlineStr">
        <is>
          <t>KALMAR LÄN</t>
        </is>
      </c>
      <c r="G112" t="inlineStr">
        <is>
          <t>NYBRO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Nattskärra</t>
        </is>
      </c>
      <c r="W112">
        <f>HYPERLINK("https://klasma.github.io/Logging_0881/artfynd/A 38798-2024 artfynd.xlsx", "A 38798-2024")</f>
        <v/>
      </c>
      <c r="X112">
        <f>HYPERLINK("https://klasma.github.io/Logging_0881/kartor/A 38798-2024 karta.png", "A 38798-2024")</f>
        <v/>
      </c>
      <c r="Y112">
        <f>HYPERLINK("https://klasma.github.io/Logging_0881/kartor_geotiff/A 38798-2024 georefererad karta.tif", "A 38798-2024")</f>
        <v/>
      </c>
      <c r="AA112">
        <f>HYPERLINK("https://klasma.github.io/Logging_0881/klagomål/A 38798-2024 FSC-klagomål.docx", "A 38798-2024")</f>
        <v/>
      </c>
      <c r="AB112">
        <f>HYPERLINK("https://klasma.github.io/Logging_0881/klagomålsmail/A 38798-2024 FSC-klagomål mail.docx", "A 38798-2024")</f>
        <v/>
      </c>
      <c r="AC112">
        <f>HYPERLINK("https://klasma.github.io/Logging_0881/tillsyn/A 38798-2024 tillsynsbegäran.docx", "A 38798-2024")</f>
        <v/>
      </c>
      <c r="AD112">
        <f>HYPERLINK("https://klasma.github.io/Logging_0881/tillsynsmail/A 38798-2024 tillsynsbegäran mail.docx", "A 38798-2024")</f>
        <v/>
      </c>
      <c r="AE112">
        <f>HYPERLINK("https://klasma.github.io/Logging_0881/fåglar/A 38798-2024 prioriterade fågelarter.docx", "A 38798-2024")</f>
        <v/>
      </c>
    </row>
    <row r="113" ht="15" customHeight="1">
      <c r="A113" t="inlineStr">
        <is>
          <t>A 24315-2026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46248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8.5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HYPERLINK("https://klasma.github.io/Logging_0881/artfynd/A 24315-2026 artfynd.xlsx", "A 24315-2026")</f>
        <v/>
      </c>
      <c r="X113">
        <f>HYPERLINK("https://klasma.github.io/Logging_0881/kartor/A 24315-2026 karta.png", "A 24315-2026")</f>
        <v/>
      </c>
      <c r="Y113">
        <f>HYPERLINK("https://klasma.github.io/Logging_0881/kartor_geotiff/A 24315-2026 georefererad karta.tif", "A 24315-2026")</f>
        <v/>
      </c>
      <c r="AA113">
        <f>HYPERLINK("https://klasma.github.io/Logging_0881/klagomål/A 24315-2026 FSC-klagomål.docx", "A 24315-2026")</f>
        <v/>
      </c>
      <c r="AB113">
        <f>HYPERLINK("https://klasma.github.io/Logging_0881/klagomålsmail/A 24315-2026 FSC-klagomål mail.docx", "A 24315-2026")</f>
        <v/>
      </c>
      <c r="AC113">
        <f>HYPERLINK("https://klasma.github.io/Logging_0881/tillsyn/A 24315-2026 tillsynsbegäran.docx", "A 24315-2026")</f>
        <v/>
      </c>
      <c r="AD113">
        <f>HYPERLINK("https://klasma.github.io/Logging_0881/tillsynsmail/A 24315-2026 tillsynsbegäran mail.docx", "A 24315-2026")</f>
        <v/>
      </c>
    </row>
    <row r="114" ht="15" customHeight="1">
      <c r="A114" t="inlineStr">
        <is>
          <t>A 49782-2025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46248</v>
      </c>
      <c r="F114" t="inlineStr">
        <is>
          <t>KALMAR LÄN</t>
        </is>
      </c>
      <c r="G114" t="inlineStr">
        <is>
          <t>NYBRO</t>
        </is>
      </c>
      <c r="I114" t="n">
        <v>5.9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Röd glada</t>
        </is>
      </c>
      <c r="W114">
        <f>HYPERLINK("https://klasma.github.io/Logging_0881/artfynd/A 49782-2025 artfynd.xlsx", "A 49782-2025")</f>
        <v/>
      </c>
      <c r="X114">
        <f>HYPERLINK("https://klasma.github.io/Logging_0881/kartor/A 49782-2025 karta.png", "A 49782-2025")</f>
        <v/>
      </c>
      <c r="Y114">
        <f>HYPERLINK("https://klasma.github.io/Logging_0881/kartor_geotiff/A 49782-2025 georefererad karta.tif", "A 49782-2025")</f>
        <v/>
      </c>
      <c r="AA114">
        <f>HYPERLINK("https://klasma.github.io/Logging_0881/klagomål/A 49782-2025 FSC-klagomål.docx", "A 49782-2025")</f>
        <v/>
      </c>
      <c r="AB114">
        <f>HYPERLINK("https://klasma.github.io/Logging_0881/klagomålsmail/A 49782-2025 FSC-klagomål mail.docx", "A 49782-2025")</f>
        <v/>
      </c>
      <c r="AC114">
        <f>HYPERLINK("https://klasma.github.io/Logging_0881/tillsyn/A 49782-2025 tillsynsbegäran.docx", "A 49782-2025")</f>
        <v/>
      </c>
      <c r="AD114">
        <f>HYPERLINK("https://klasma.github.io/Logging_0881/tillsynsmail/A 49782-2025 tillsynsbegäran mail.docx", "A 49782-2025")</f>
        <v/>
      </c>
      <c r="AE114">
        <f>HYPERLINK("https://klasma.github.io/Logging_0881/fåglar/A 49782-2025 prioriterade fågelarter.docx", "A 49782-2025")</f>
        <v/>
      </c>
    </row>
    <row r="115" ht="15" customHeight="1">
      <c r="A115" t="inlineStr">
        <is>
          <t>A 26463-2026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46183</v>
      </c>
      <c r="E115" s="1" t="n">
        <v>46248</v>
      </c>
      <c r="F115" t="inlineStr">
        <is>
          <t>KALMAR LÄN</t>
        </is>
      </c>
      <c r="G115" t="inlineStr">
        <is>
          <t>NYBRO</t>
        </is>
      </c>
      <c r="I115" t="n">
        <v>2.7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5</v>
      </c>
      <c r="U115" t="n">
        <v>0</v>
      </c>
      <c r="V115" s="2" t="inlineStr">
        <is>
          <t>Blåmossa</t>
        </is>
      </c>
      <c r="W115">
        <f>HYPERLINK("https://klasma.github.io/Logging_0881/artfynd/A 26463-2026 artfynd.xlsx", "A 26463-2026")</f>
        <v/>
      </c>
      <c r="X115">
        <f>HYPERLINK("https://klasma.github.io/Logging_0881/kartor/A 26463-2026 karta.png", "A 26463-2026")</f>
        <v/>
      </c>
      <c r="Y115">
        <f>HYPERLINK("https://klasma.github.io/Logging_0881/kartor_geotiff/A 26463-2026 georefererad karta.tif", "A 26463-2026")</f>
        <v/>
      </c>
      <c r="AA115">
        <f>HYPERLINK("https://klasma.github.io/Logging_0881/klagomål/A 26463-2026 FSC-klagomål.docx", "A 26463-2026")</f>
        <v/>
      </c>
      <c r="AB115">
        <f>HYPERLINK("https://klasma.github.io/Logging_0881/klagomålsmail/A 26463-2026 FSC-klagomål mail.docx", "A 26463-2026")</f>
        <v/>
      </c>
      <c r="AC115">
        <f>HYPERLINK("https://klasma.github.io/Logging_0881/tillsyn/A 26463-2026 tillsynsbegäran.docx", "A 26463-2026")</f>
        <v/>
      </c>
      <c r="AD115">
        <f>HYPERLINK("https://klasma.github.io/Logging_0881/tillsynsmail/A 26463-2026 tillsynsbegäran mail.docx", "A 26463-2026")</f>
        <v/>
      </c>
    </row>
    <row r="116" ht="15" customHeight="1">
      <c r="A116" t="inlineStr">
        <is>
          <t>A 31773-2026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46230</v>
      </c>
      <c r="E116" s="1" t="n">
        <v>46248</v>
      </c>
      <c r="F116" t="inlineStr">
        <is>
          <t>KALMAR LÄN</t>
        </is>
      </c>
      <c r="G116" t="inlineStr">
        <is>
          <t>NYBRO</t>
        </is>
      </c>
      <c r="I116" t="n">
        <v>1.1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Blompraktbagge</t>
        </is>
      </c>
      <c r="W116">
        <f>HYPERLINK("https://klasma.github.io/Logging_0881/artfynd/A 31773-2026 artfynd.xlsx", "A 31773-2026")</f>
        <v/>
      </c>
      <c r="X116">
        <f>HYPERLINK("https://klasma.github.io/Logging_0881/kartor/A 31773-2026 karta.png", "A 31773-2026")</f>
        <v/>
      </c>
      <c r="Y116">
        <f>HYPERLINK("https://klasma.github.io/Logging_0881/kartor_geotiff/A 31773-2026 georefererad karta.tif", "A 31773-2026")</f>
        <v/>
      </c>
      <c r="AA116">
        <f>HYPERLINK("https://klasma.github.io/Logging_0881/klagomål/A 31773-2026 FSC-klagomål.docx", "A 31773-2026")</f>
        <v/>
      </c>
      <c r="AB116">
        <f>HYPERLINK("https://klasma.github.io/Logging_0881/klagomålsmail/A 31773-2026 FSC-klagomål mail.docx", "A 31773-2026")</f>
        <v/>
      </c>
      <c r="AC116">
        <f>HYPERLINK("https://klasma.github.io/Logging_0881/tillsyn/A 31773-2026 tillsynsbegäran.docx", "A 31773-2026")</f>
        <v/>
      </c>
      <c r="AD116">
        <f>HYPERLINK("https://klasma.github.io/Logging_0881/tillsynsmail/A 31773-2026 tillsynsbegäran mail.docx", "A 31773-2026")</f>
        <v/>
      </c>
    </row>
    <row r="117" ht="15" customHeight="1">
      <c r="A117" t="inlineStr">
        <is>
          <t>A 27669-2026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46248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Blomkålssvamp</t>
        </is>
      </c>
      <c r="W117">
        <f>HYPERLINK("https://klasma.github.io/Logging_0881/artfynd/A 27669-2026 artfynd.xlsx", "A 27669-2026")</f>
        <v/>
      </c>
      <c r="X117">
        <f>HYPERLINK("https://klasma.github.io/Logging_0881/kartor/A 27669-2026 karta.png", "A 27669-2026")</f>
        <v/>
      </c>
      <c r="Y117">
        <f>HYPERLINK("https://klasma.github.io/Logging_0881/kartor_geotiff/A 27669-2026 georefererad karta.tif", "A 27669-2026")</f>
        <v/>
      </c>
      <c r="AA117">
        <f>HYPERLINK("https://klasma.github.io/Logging_0881/klagomål/A 27669-2026 FSC-klagomål.docx", "A 27669-2026")</f>
        <v/>
      </c>
      <c r="AB117">
        <f>HYPERLINK("https://klasma.github.io/Logging_0881/klagomålsmail/A 27669-2026 FSC-klagomål mail.docx", "A 27669-2026")</f>
        <v/>
      </c>
      <c r="AC117">
        <f>HYPERLINK("https://klasma.github.io/Logging_0881/tillsyn/A 27669-2026 tillsynsbegäran.docx", "A 27669-2026")</f>
        <v/>
      </c>
      <c r="AD117">
        <f>HYPERLINK("https://klasma.github.io/Logging_0881/tillsynsmail/A 27669-2026 tillsynsbegäran mail.docx", "A 27669-2026")</f>
        <v/>
      </c>
    </row>
    <row r="118" ht="15" customHeight="1">
      <c r="A118" t="inlineStr">
        <is>
          <t>A 61617-2025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46248</v>
      </c>
      <c r="F118" t="inlineStr">
        <is>
          <t>KALMAR LÄN</t>
        </is>
      </c>
      <c r="G118" t="inlineStr">
        <is>
          <t>NYBRO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Orangefläckig brunbagge</t>
        </is>
      </c>
      <c r="W118">
        <f>HYPERLINK("https://klasma.github.io/Logging_0881/artfynd/A 61617-2025 artfynd.xlsx", "A 61617-2025")</f>
        <v/>
      </c>
      <c r="X118">
        <f>HYPERLINK("https://klasma.github.io/Logging_0881/kartor/A 61617-2025 karta.png", "A 61617-2025")</f>
        <v/>
      </c>
      <c r="Y118">
        <f>HYPERLINK("https://klasma.github.io/Logging_0881/kartor_geotiff/A 61617-2025 georefererad karta.tif", "A 61617-2025")</f>
        <v/>
      </c>
      <c r="AA118">
        <f>HYPERLINK("https://klasma.github.io/Logging_0881/klagomål/A 61617-2025 FSC-klagomål.docx", "A 61617-2025")</f>
        <v/>
      </c>
      <c r="AB118">
        <f>HYPERLINK("https://klasma.github.io/Logging_0881/klagomålsmail/A 61617-2025 FSC-klagomål mail.docx", "A 61617-2025")</f>
        <v/>
      </c>
      <c r="AC118">
        <f>HYPERLINK("https://klasma.github.io/Logging_0881/tillsyn/A 61617-2025 tillsynsbegäran.docx", "A 61617-2025")</f>
        <v/>
      </c>
      <c r="AD118">
        <f>HYPERLINK("https://klasma.github.io/Logging_0881/tillsynsmail/A 61617-2025 tillsynsbegäran mail.docx", "A 61617-2025")</f>
        <v/>
      </c>
    </row>
    <row r="119" ht="15" customHeight="1">
      <c r="A119" t="inlineStr">
        <is>
          <t>A 61613-2025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46248</v>
      </c>
      <c r="F119" t="inlineStr">
        <is>
          <t>KALMAR LÄN</t>
        </is>
      </c>
      <c r="G119" t="inlineStr">
        <is>
          <t>NYBRO</t>
        </is>
      </c>
      <c r="I119" t="n">
        <v>12.2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Nattskärra</t>
        </is>
      </c>
      <c r="W119">
        <f>HYPERLINK("https://klasma.github.io/Logging_0881/artfynd/A 61613-2025 artfynd.xlsx", "A 61613-2025")</f>
        <v/>
      </c>
      <c r="X119">
        <f>HYPERLINK("https://klasma.github.io/Logging_0881/kartor/A 61613-2025 karta.png", "A 61613-2025")</f>
        <v/>
      </c>
      <c r="Y119">
        <f>HYPERLINK("https://klasma.github.io/Logging_0881/kartor_geotiff/A 61613-2025 georefererad karta.tif", "A 61613-2025")</f>
        <v/>
      </c>
      <c r="AA119">
        <f>HYPERLINK("https://klasma.github.io/Logging_0881/klagomål/A 61613-2025 FSC-klagomål.docx", "A 61613-2025")</f>
        <v/>
      </c>
      <c r="AB119">
        <f>HYPERLINK("https://klasma.github.io/Logging_0881/klagomålsmail/A 61613-2025 FSC-klagomål mail.docx", "A 61613-2025")</f>
        <v/>
      </c>
      <c r="AC119">
        <f>HYPERLINK("https://klasma.github.io/Logging_0881/tillsyn/A 61613-2025 tillsynsbegäran.docx", "A 61613-2025")</f>
        <v/>
      </c>
      <c r="AD119">
        <f>HYPERLINK("https://klasma.github.io/Logging_0881/tillsynsmail/A 61613-2025 tillsynsbegäran mail.docx", "A 61613-2025")</f>
        <v/>
      </c>
      <c r="AE119">
        <f>HYPERLINK("https://klasma.github.io/Logging_0881/fåglar/A 61613-2025 prioriterade fågelarter.docx", "A 61613-2025")</f>
        <v/>
      </c>
    </row>
    <row r="120" ht="15" customHeight="1">
      <c r="A120" t="inlineStr">
        <is>
          <t>A 7038-2026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46248</v>
      </c>
      <c r="F120" t="inlineStr">
        <is>
          <t>KALMAR LÄN</t>
        </is>
      </c>
      <c r="G120" t="inlineStr">
        <is>
          <t>NYBRO</t>
        </is>
      </c>
      <c r="I120" t="n">
        <v>0.5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flatbagge</t>
        </is>
      </c>
      <c r="W120">
        <f>HYPERLINK("https://klasma.github.io/Logging_0881/artfynd/A 7038-2026 artfynd.xlsx", "A 7038-2026")</f>
        <v/>
      </c>
      <c r="X120">
        <f>HYPERLINK("https://klasma.github.io/Logging_0881/kartor/A 7038-2026 karta.png", "A 7038-2026")</f>
        <v/>
      </c>
      <c r="Y120">
        <f>HYPERLINK("https://klasma.github.io/Logging_0881/kartor_geotiff/A 7038-2026 georefererad karta.tif", "A 7038-2026")</f>
        <v/>
      </c>
      <c r="AA120">
        <f>HYPERLINK("https://klasma.github.io/Logging_0881/klagomål/A 7038-2026 FSC-klagomål.docx", "A 7038-2026")</f>
        <v/>
      </c>
      <c r="AB120">
        <f>HYPERLINK("https://klasma.github.io/Logging_0881/klagomålsmail/A 7038-2026 FSC-klagomål mail.docx", "A 7038-2026")</f>
        <v/>
      </c>
      <c r="AC120">
        <f>HYPERLINK("https://klasma.github.io/Logging_0881/tillsyn/A 7038-2026 tillsynsbegäran.docx", "A 7038-2026")</f>
        <v/>
      </c>
      <c r="AD120">
        <f>HYPERLINK("https://klasma.github.io/Logging_0881/tillsynsmail/A 7038-2026 tillsynsbegäran mail.docx", "A 7038-2026")</f>
        <v/>
      </c>
    </row>
    <row r="121" ht="15" customHeight="1">
      <c r="A121" t="inlineStr">
        <is>
          <t>A 13412-2026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46248</v>
      </c>
      <c r="F121" t="inlineStr">
        <is>
          <t>KALMAR LÄN</t>
        </is>
      </c>
      <c r="G121" t="inlineStr">
        <is>
          <t>NYBRO</t>
        </is>
      </c>
      <c r="I121" t="n">
        <v>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HYPERLINK("https://klasma.github.io/Logging_0881/artfynd/A 13412-2026 artfynd.xlsx", "A 13412-2026")</f>
        <v/>
      </c>
      <c r="X121">
        <f>HYPERLINK("https://klasma.github.io/Logging_0881/kartor/A 13412-2026 karta.png", "A 13412-2026")</f>
        <v/>
      </c>
      <c r="Y121">
        <f>HYPERLINK("https://klasma.github.io/Logging_0881/kartor_geotiff/A 13412-2026 georefererad karta.tif", "A 13412-2026")</f>
        <v/>
      </c>
      <c r="AA121">
        <f>HYPERLINK("https://klasma.github.io/Logging_0881/klagomål/A 13412-2026 FSC-klagomål.docx", "A 13412-2026")</f>
        <v/>
      </c>
      <c r="AB121">
        <f>HYPERLINK("https://klasma.github.io/Logging_0881/klagomålsmail/A 13412-2026 FSC-klagomål mail.docx", "A 13412-2026")</f>
        <v/>
      </c>
      <c r="AC121">
        <f>HYPERLINK("https://klasma.github.io/Logging_0881/tillsyn/A 13412-2026 tillsynsbegäran.docx", "A 13412-2026")</f>
        <v/>
      </c>
      <c r="AD121">
        <f>HYPERLINK("https://klasma.github.io/Logging_0881/tillsynsmail/A 13412-2026 tillsynsbegäran mail.docx", "A 13412-2026")</f>
        <v/>
      </c>
    </row>
    <row r="122" ht="15" customHeight="1">
      <c r="A122" t="inlineStr">
        <is>
          <t>A 16161-2026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46109</v>
      </c>
      <c r="E122" s="1" t="n">
        <v>46248</v>
      </c>
      <c r="F122" t="inlineStr">
        <is>
          <t>KALMAR LÄN</t>
        </is>
      </c>
      <c r="G122" t="inlineStr">
        <is>
          <t>NYBRO</t>
        </is>
      </c>
      <c r="I122" t="n">
        <v>6.1</v>
      </c>
      <c r="J122" t="n">
        <v>1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Mosippa</t>
        </is>
      </c>
      <c r="W122">
        <f>HYPERLINK("https://klasma.github.io/Logging_0881/artfynd/A 16161-2026 artfynd.xlsx", "A 16161-2026")</f>
        <v/>
      </c>
      <c r="X122">
        <f>HYPERLINK("https://klasma.github.io/Logging_0881/kartor/A 16161-2026 karta.png", "A 16161-2026")</f>
        <v/>
      </c>
      <c r="Y122">
        <f>HYPERLINK("https://klasma.github.io/Logging_0881/kartor_geotiff/A 16161-2026 georefererad karta.tif", "A 16161-2026")</f>
        <v/>
      </c>
      <c r="AA122">
        <f>HYPERLINK("https://klasma.github.io/Logging_0881/klagomål/A 16161-2026 FSC-klagomål.docx", "A 16161-2026")</f>
        <v/>
      </c>
      <c r="AB122">
        <f>HYPERLINK("https://klasma.github.io/Logging_0881/klagomålsmail/A 16161-2026 FSC-klagomål mail.docx", "A 16161-2026")</f>
        <v/>
      </c>
      <c r="AC122">
        <f>HYPERLINK("https://klasma.github.io/Logging_0881/tillsyn/A 16161-2026 tillsynsbegäran.docx", "A 16161-2026")</f>
        <v/>
      </c>
      <c r="AD122">
        <f>HYPERLINK("https://klasma.github.io/Logging_0881/tillsynsmail/A 16161-2026 tillsynsbegäran mail.docx", "A 16161-2026")</f>
        <v/>
      </c>
    </row>
    <row r="123" ht="15" customHeight="1">
      <c r="A123" t="inlineStr">
        <is>
          <t>A 18402-2026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46126</v>
      </c>
      <c r="E123" s="1" t="n">
        <v>46248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13.2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HYPERLINK("https://klasma.github.io/Logging_0881/artfynd/A 18402-2026 artfynd.xlsx", "A 18402-2026")</f>
        <v/>
      </c>
      <c r="X123">
        <f>HYPERLINK("https://klasma.github.io/Logging_0881/kartor/A 18402-2026 karta.png", "A 18402-2026")</f>
        <v/>
      </c>
      <c r="Y123">
        <f>HYPERLINK("https://klasma.github.io/Logging_0881/kartor_geotiff/A 18402-2026 georefererad karta.tif", "A 18402-2026")</f>
        <v/>
      </c>
      <c r="AA123">
        <f>HYPERLINK("https://klasma.github.io/Logging_0881/klagomål/A 18402-2026 FSC-klagomål.docx", "A 18402-2026")</f>
        <v/>
      </c>
      <c r="AB123">
        <f>HYPERLINK("https://klasma.github.io/Logging_0881/klagomålsmail/A 18402-2026 FSC-klagomål mail.docx", "A 18402-2026")</f>
        <v/>
      </c>
      <c r="AC123">
        <f>HYPERLINK("https://klasma.github.io/Logging_0881/tillsyn/A 18402-2026 tillsynsbegäran.docx", "A 18402-2026")</f>
        <v/>
      </c>
      <c r="AD123">
        <f>HYPERLINK("https://klasma.github.io/Logging_0881/tillsynsmail/A 18402-2026 tillsynsbegäran mail.docx", "A 18402-2026")</f>
        <v/>
      </c>
      <c r="AE123">
        <f>HYPERLINK("https://klasma.github.io/Logging_0881/fåglar/A 18402-2026 prioriterade fågelarter.docx", "A 18402-2026")</f>
        <v/>
      </c>
    </row>
    <row r="124" ht="15" customHeight="1">
      <c r="A124" t="inlineStr">
        <is>
          <t>A 6061-2025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45695</v>
      </c>
      <c r="E124" s="1" t="n">
        <v>46248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Purpurknipprot</t>
        </is>
      </c>
      <c r="W124">
        <f>HYPERLINK("https://klasma.github.io/Logging_0881/artfynd/A 6061-2025 artfynd.xlsx", "A 6061-2025")</f>
        <v/>
      </c>
      <c r="X124">
        <f>HYPERLINK("https://klasma.github.io/Logging_0881/kartor/A 6061-2025 karta.png", "A 6061-2025")</f>
        <v/>
      </c>
      <c r="Y124">
        <f>HYPERLINK("https://klasma.github.io/Logging_0881/kartor_geotiff/A 6061-2025 georefererad karta.tif", "A 6061-2025")</f>
        <v/>
      </c>
      <c r="AA124">
        <f>HYPERLINK("https://klasma.github.io/Logging_0881/klagomål/A 6061-2025 FSC-klagomål.docx", "A 6061-2025")</f>
        <v/>
      </c>
      <c r="AB124">
        <f>HYPERLINK("https://klasma.github.io/Logging_0881/klagomålsmail/A 6061-2025 FSC-klagomål mail.docx", "A 6061-2025")</f>
        <v/>
      </c>
      <c r="AC124">
        <f>HYPERLINK("https://klasma.github.io/Logging_0881/tillsyn/A 6061-2025 tillsynsbegäran.docx", "A 6061-2025")</f>
        <v/>
      </c>
      <c r="AD124">
        <f>HYPERLINK("https://klasma.github.io/Logging_0881/tillsynsmail/A 6061-2025 tillsynsbegäran mail.docx", "A 6061-2025")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46248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46248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46248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46248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46248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46248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46248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46248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46248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46248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46248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46248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46248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46248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46248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46248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46248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46248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46248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46248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46248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46248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46248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46248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44870</v>
      </c>
      <c r="E149" s="1" t="n">
        <v>46248</v>
      </c>
      <c r="F149" t="inlineStr">
        <is>
          <t>KALMAR LÄN</t>
        </is>
      </c>
      <c r="G149" t="inlineStr">
        <is>
          <t>NYBRO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46248</v>
      </c>
      <c r="F150" t="inlineStr">
        <is>
          <t>KALMAR LÄN</t>
        </is>
      </c>
      <c r="G150" t="inlineStr">
        <is>
          <t>NYBRO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48217-2021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46248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46248</v>
      </c>
      <c r="F152" t="inlineStr">
        <is>
          <t>KALMAR LÄN</t>
        </is>
      </c>
      <c r="G152" t="inlineStr">
        <is>
          <t>NYBRO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44771</v>
      </c>
      <c r="E153" s="1" t="n">
        <v>46248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44831</v>
      </c>
      <c r="E154" s="1" t="n">
        <v>46248</v>
      </c>
      <c r="F154" t="inlineStr">
        <is>
          <t>KALMAR LÄN</t>
        </is>
      </c>
      <c r="G154" t="inlineStr">
        <is>
          <t>NYBRO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46248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46248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46248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44493</v>
      </c>
      <c r="E158" s="1" t="n">
        <v>46248</v>
      </c>
      <c r="F158" t="inlineStr">
        <is>
          <t>KALMAR LÄN</t>
        </is>
      </c>
      <c r="G158" t="inlineStr">
        <is>
          <t>NYBRO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58575-2021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44488</v>
      </c>
      <c r="E159" s="1" t="n">
        <v>46248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46248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44566</v>
      </c>
      <c r="E161" s="1" t="n">
        <v>46248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46248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44833</v>
      </c>
      <c r="E163" s="1" t="n">
        <v>46248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46248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46248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44617</v>
      </c>
      <c r="E166" s="1" t="n">
        <v>46248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46248</v>
      </c>
      <c r="F167" t="inlineStr">
        <is>
          <t>KALMAR LÄN</t>
        </is>
      </c>
      <c r="G167" t="inlineStr">
        <is>
          <t>NYBRO</t>
        </is>
      </c>
      <c r="H167" t="inlineStr">
        <is>
          <t>Kyrkan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73474-2021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46248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46248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46248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46248</v>
      </c>
      <c r="F171" t="inlineStr">
        <is>
          <t>KALMAR LÄN</t>
        </is>
      </c>
      <c r="G171" t="inlineStr">
        <is>
          <t>NYBRO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53198-2021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44468</v>
      </c>
      <c r="E172" s="1" t="n">
        <v>46248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46248</v>
      </c>
      <c r="F173" t="inlineStr">
        <is>
          <t>KALMAR LÄN</t>
        </is>
      </c>
      <c r="G173" t="inlineStr">
        <is>
          <t>NYBRO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46248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46248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46248</v>
      </c>
      <c r="F176" t="inlineStr">
        <is>
          <t>KALMAR LÄN</t>
        </is>
      </c>
      <c r="G176" t="inlineStr">
        <is>
          <t>NYBRO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44624</v>
      </c>
      <c r="E177" s="1" t="n">
        <v>46248</v>
      </c>
      <c r="F177" t="inlineStr">
        <is>
          <t>KALMAR LÄN</t>
        </is>
      </c>
      <c r="G177" t="inlineStr">
        <is>
          <t>NYBRO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46248</v>
      </c>
      <c r="F178" t="inlineStr">
        <is>
          <t>KALMAR LÄN</t>
        </is>
      </c>
      <c r="G178" t="inlineStr">
        <is>
          <t>NYBRO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46248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46248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48219-2021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44449</v>
      </c>
      <c r="E181" s="1" t="n">
        <v>46248</v>
      </c>
      <c r="F181" t="inlineStr">
        <is>
          <t>KALMAR LÄN</t>
        </is>
      </c>
      <c r="G181" t="inlineStr">
        <is>
          <t>NYBRO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44594</v>
      </c>
      <c r="E182" s="1" t="n">
        <v>46248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44629</v>
      </c>
      <c r="E183" s="1" t="n">
        <v>46248</v>
      </c>
      <c r="F183" t="inlineStr">
        <is>
          <t>KALMAR LÄN</t>
        </is>
      </c>
      <c r="G183" t="inlineStr">
        <is>
          <t>NYBRO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59684-2021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44494</v>
      </c>
      <c r="E184" s="1" t="n">
        <v>46248</v>
      </c>
      <c r="F184" t="inlineStr">
        <is>
          <t>KALMAR LÄN</t>
        </is>
      </c>
      <c r="G184" t="inlineStr">
        <is>
          <t>NYBRO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46248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46248</v>
      </c>
      <c r="F186" t="inlineStr">
        <is>
          <t>KALMAR LÄN</t>
        </is>
      </c>
      <c r="G186" t="inlineStr">
        <is>
          <t>NYBRO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68074-2021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44526</v>
      </c>
      <c r="E187" s="1" t="n">
        <v>46248</v>
      </c>
      <c r="F187" t="inlineStr">
        <is>
          <t>KALMAR LÄN</t>
        </is>
      </c>
      <c r="G187" t="inlineStr">
        <is>
          <t>NYBRO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46248</v>
      </c>
      <c r="F188" t="inlineStr">
        <is>
          <t>KALMAR LÄN</t>
        </is>
      </c>
      <c r="G188" t="inlineStr">
        <is>
          <t>NYBRO</t>
        </is>
      </c>
      <c r="H188" t="inlineStr">
        <is>
          <t>Kommuner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44819</v>
      </c>
      <c r="E189" s="1" t="n">
        <v>46248</v>
      </c>
      <c r="F189" t="inlineStr">
        <is>
          <t>KALMAR LÄN</t>
        </is>
      </c>
      <c r="G189" t="inlineStr">
        <is>
          <t>NYBRO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46248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11828-2022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44634</v>
      </c>
      <c r="E191" s="1" t="n">
        <v>46248</v>
      </c>
      <c r="F191" t="inlineStr">
        <is>
          <t>KALMAR LÄN</t>
        </is>
      </c>
      <c r="G191" t="inlineStr">
        <is>
          <t>NYBRO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45054</v>
      </c>
      <c r="E192" s="1" t="n">
        <v>46248</v>
      </c>
      <c r="F192" t="inlineStr">
        <is>
          <t>KALMAR LÄN</t>
        </is>
      </c>
      <c r="G192" t="inlineStr">
        <is>
          <t>NYBRO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46248</v>
      </c>
      <c r="F193" t="inlineStr">
        <is>
          <t>KALMAR LÄN</t>
        </is>
      </c>
      <c r="G193" t="inlineStr">
        <is>
          <t>NYBRO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44727</v>
      </c>
      <c r="E194" s="1" t="n">
        <v>46248</v>
      </c>
      <c r="F194" t="inlineStr">
        <is>
          <t>KALMAR LÄN</t>
        </is>
      </c>
      <c r="G194" t="inlineStr">
        <is>
          <t>NYBRO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46248</v>
      </c>
      <c r="F195" t="inlineStr">
        <is>
          <t>KALMAR LÄN</t>
        </is>
      </c>
      <c r="G195" t="inlineStr">
        <is>
          <t>NYBRO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45606</v>
      </c>
      <c r="E196" s="1" t="n">
        <v>46248</v>
      </c>
      <c r="F196" t="inlineStr">
        <is>
          <t>KALMAR LÄN</t>
        </is>
      </c>
      <c r="G196" t="inlineStr">
        <is>
          <t>NYBRO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46248</v>
      </c>
      <c r="F197" t="inlineStr">
        <is>
          <t>KALMAR LÄN</t>
        </is>
      </c>
      <c r="G197" t="inlineStr">
        <is>
          <t>NYBRO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46248</v>
      </c>
      <c r="F198" t="inlineStr">
        <is>
          <t>KALMAR LÄN</t>
        </is>
      </c>
      <c r="G198" t="inlineStr">
        <is>
          <t>NYBRO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46248</v>
      </c>
      <c r="F199" t="inlineStr">
        <is>
          <t>KALMAR LÄN</t>
        </is>
      </c>
      <c r="G199" t="inlineStr">
        <is>
          <t>NYBRO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46248</v>
      </c>
      <c r="F200" t="inlineStr">
        <is>
          <t>KALMAR LÄN</t>
        </is>
      </c>
      <c r="G200" t="inlineStr">
        <is>
          <t>NYBRO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46248</v>
      </c>
      <c r="F201" t="inlineStr">
        <is>
          <t>KALMAR LÄN</t>
        </is>
      </c>
      <c r="G201" t="inlineStr">
        <is>
          <t>NYBRO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46248</v>
      </c>
      <c r="F202" t="inlineStr">
        <is>
          <t>KALMAR LÄN</t>
        </is>
      </c>
      <c r="G202" t="inlineStr">
        <is>
          <t>NYBRO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46248</v>
      </c>
      <c r="F203" t="inlineStr">
        <is>
          <t>KALMAR LÄN</t>
        </is>
      </c>
      <c r="G203" t="inlineStr">
        <is>
          <t>NYBRO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73297-2021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46248</v>
      </c>
      <c r="F204" t="inlineStr">
        <is>
          <t>KALMAR LÄN</t>
        </is>
      </c>
      <c r="G204" t="inlineStr">
        <is>
          <t>NYBRO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46248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46248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46248</v>
      </c>
      <c r="F207" t="inlineStr">
        <is>
          <t>KALMAR LÄN</t>
        </is>
      </c>
      <c r="G207" t="inlineStr">
        <is>
          <t>NYBRO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72166-2021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44544</v>
      </c>
      <c r="E208" s="1" t="n">
        <v>46248</v>
      </c>
      <c r="F208" t="inlineStr">
        <is>
          <t>KALMAR LÄN</t>
        </is>
      </c>
      <c r="G208" t="inlineStr">
        <is>
          <t>NYBRO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46248</v>
      </c>
      <c r="F209" t="inlineStr">
        <is>
          <t>KALMAR LÄN</t>
        </is>
      </c>
      <c r="G209" t="inlineStr">
        <is>
          <t>NYBRO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44933</v>
      </c>
      <c r="E210" s="1" t="n">
        <v>46248</v>
      </c>
      <c r="F210" t="inlineStr">
        <is>
          <t>KALMAR LÄN</t>
        </is>
      </c>
      <c r="G210" t="inlineStr">
        <is>
          <t>NYBRO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44985</v>
      </c>
      <c r="E211" s="1" t="n">
        <v>46248</v>
      </c>
      <c r="F211" t="inlineStr">
        <is>
          <t>KALMAR LÄN</t>
        </is>
      </c>
      <c r="G211" t="inlineStr">
        <is>
          <t>NYBRO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21388-2024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45440</v>
      </c>
      <c r="E212" s="1" t="n">
        <v>46248</v>
      </c>
      <c r="F212" t="inlineStr">
        <is>
          <t>KALMAR LÄN</t>
        </is>
      </c>
      <c r="G212" t="inlineStr">
        <is>
          <t>NYBRO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46248</v>
      </c>
      <c r="F213" t="inlineStr">
        <is>
          <t>KALMAR LÄN</t>
        </is>
      </c>
      <c r="G213" t="inlineStr">
        <is>
          <t>NYBRO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45082</v>
      </c>
      <c r="E214" s="1" t="n">
        <v>46248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46248</v>
      </c>
      <c r="F215" t="inlineStr">
        <is>
          <t>KALMAR LÄN</t>
        </is>
      </c>
      <c r="G215" t="inlineStr">
        <is>
          <t>NYBRO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46248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46248</v>
      </c>
      <c r="F217" t="inlineStr">
        <is>
          <t>KALMAR LÄN</t>
        </is>
      </c>
      <c r="G217" t="inlineStr">
        <is>
          <t>NYBRO</t>
        </is>
      </c>
      <c r="H217" t="inlineStr">
        <is>
          <t>Kommuner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45217</v>
      </c>
      <c r="E218" s="1" t="n">
        <v>46248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45145</v>
      </c>
      <c r="E219" s="1" t="n">
        <v>46248</v>
      </c>
      <c r="F219" t="inlineStr">
        <is>
          <t>KALMAR LÄN</t>
        </is>
      </c>
      <c r="G219" t="inlineStr">
        <is>
          <t>NYBRO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46248</v>
      </c>
      <c r="F220" t="inlineStr">
        <is>
          <t>KALMAR LÄN</t>
        </is>
      </c>
      <c r="G220" t="inlineStr">
        <is>
          <t>NYBRO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46248</v>
      </c>
      <c r="F221" t="inlineStr">
        <is>
          <t>KALMAR LÄN</t>
        </is>
      </c>
      <c r="G221" t="inlineStr">
        <is>
          <t>NYBRO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46248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46248</v>
      </c>
      <c r="F223" t="inlineStr">
        <is>
          <t>KALMAR LÄN</t>
        </is>
      </c>
      <c r="G223" t="inlineStr">
        <is>
          <t>NYBRO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46248</v>
      </c>
      <c r="F224" t="inlineStr">
        <is>
          <t>KALMAR LÄN</t>
        </is>
      </c>
      <c r="G224" t="inlineStr">
        <is>
          <t>NYBRO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44819</v>
      </c>
      <c r="E225" s="1" t="n">
        <v>46248</v>
      </c>
      <c r="F225" t="inlineStr">
        <is>
          <t>KALMAR LÄN</t>
        </is>
      </c>
      <c r="G225" t="inlineStr">
        <is>
          <t>NYBRO</t>
        </is>
      </c>
      <c r="H225" t="inlineStr">
        <is>
          <t>Kommuner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19244-2022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44692</v>
      </c>
      <c r="E226" s="1" t="n">
        <v>46248</v>
      </c>
      <c r="F226" t="inlineStr">
        <is>
          <t>KALMAR LÄN</t>
        </is>
      </c>
      <c r="G226" t="inlineStr">
        <is>
          <t>NYBRO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46248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46248</v>
      </c>
      <c r="F228" t="inlineStr">
        <is>
          <t>KALMAR LÄN</t>
        </is>
      </c>
      <c r="G228" t="inlineStr">
        <is>
          <t>NYBRO</t>
        </is>
      </c>
      <c r="H228" t="inlineStr">
        <is>
          <t>Kyrkan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44528</v>
      </c>
      <c r="E229" s="1" t="n">
        <v>46248</v>
      </c>
      <c r="F229" t="inlineStr">
        <is>
          <t>KALMAR LÄN</t>
        </is>
      </c>
      <c r="G229" t="inlineStr">
        <is>
          <t>NYBRO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44841</v>
      </c>
      <c r="E230" s="1" t="n">
        <v>46248</v>
      </c>
      <c r="F230" t="inlineStr">
        <is>
          <t>KALMAR LÄN</t>
        </is>
      </c>
      <c r="G230" t="inlineStr">
        <is>
          <t>NYBRO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46248</v>
      </c>
      <c r="F231" t="inlineStr">
        <is>
          <t>KALMAR LÄN</t>
        </is>
      </c>
      <c r="G231" t="inlineStr">
        <is>
          <t>NYBRO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46248</v>
      </c>
      <c r="F232" t="inlineStr">
        <is>
          <t>KALMAR LÄN</t>
        </is>
      </c>
      <c r="G232" t="inlineStr">
        <is>
          <t>NYBRO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45394</v>
      </c>
      <c r="E233" s="1" t="n">
        <v>46248</v>
      </c>
      <c r="F233" t="inlineStr">
        <is>
          <t>KALMAR LÄN</t>
        </is>
      </c>
      <c r="G233" t="inlineStr">
        <is>
          <t>NYBRO</t>
        </is>
      </c>
      <c r="H233" t="inlineStr">
        <is>
          <t>Kommuner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46248</v>
      </c>
      <c r="F234" t="inlineStr">
        <is>
          <t>KALMAR LÄN</t>
        </is>
      </c>
      <c r="G234" t="inlineStr">
        <is>
          <t>NYBRO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46248</v>
      </c>
      <c r="F235" t="inlineStr">
        <is>
          <t>KALMAR LÄN</t>
        </is>
      </c>
      <c r="G235" t="inlineStr">
        <is>
          <t>NYBRO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54512-2023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45233</v>
      </c>
      <c r="E236" s="1" t="n">
        <v>46248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46248</v>
      </c>
      <c r="F237" t="inlineStr">
        <is>
          <t>KALMAR LÄN</t>
        </is>
      </c>
      <c r="G237" t="inlineStr">
        <is>
          <t>NYBRO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46248</v>
      </c>
      <c r="F238" t="inlineStr">
        <is>
          <t>KALMAR LÄN</t>
        </is>
      </c>
      <c r="G238" t="inlineStr">
        <is>
          <t>NYBRO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46248</v>
      </c>
      <c r="F239" t="inlineStr">
        <is>
          <t>KALMAR LÄN</t>
        </is>
      </c>
      <c r="G239" t="inlineStr">
        <is>
          <t>NYBRO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46248</v>
      </c>
      <c r="F240" t="inlineStr">
        <is>
          <t>KALMAR LÄN</t>
        </is>
      </c>
      <c r="G240" t="inlineStr">
        <is>
          <t>NYBRO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46248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45072</v>
      </c>
      <c r="E242" s="1" t="n">
        <v>46248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45022</v>
      </c>
      <c r="E243" s="1" t="n">
        <v>46248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26893-2024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45470</v>
      </c>
      <c r="E244" s="1" t="n">
        <v>46248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45763</v>
      </c>
      <c r="E245" s="1" t="n">
        <v>46248</v>
      </c>
      <c r="F245" t="inlineStr">
        <is>
          <t>KALMAR LÄN</t>
        </is>
      </c>
      <c r="G245" t="inlineStr">
        <is>
          <t>NYBRO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44959</v>
      </c>
      <c r="E246" s="1" t="n">
        <v>46248</v>
      </c>
      <c r="F246" t="inlineStr">
        <is>
          <t>KALMAR LÄN</t>
        </is>
      </c>
      <c r="G246" t="inlineStr">
        <is>
          <t>NYBRO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46248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46248</v>
      </c>
      <c r="F248" t="inlineStr">
        <is>
          <t>KALMAR LÄN</t>
        </is>
      </c>
      <c r="G248" t="inlineStr">
        <is>
          <t>NYBRO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45021</v>
      </c>
      <c r="E249" s="1" t="n">
        <v>46248</v>
      </c>
      <c r="F249" t="inlineStr">
        <is>
          <t>KALMAR LÄN</t>
        </is>
      </c>
      <c r="G249" t="inlineStr">
        <is>
          <t>NYBRO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46248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44839</v>
      </c>
      <c r="E251" s="1" t="n">
        <v>46248</v>
      </c>
      <c r="F251" t="inlineStr">
        <is>
          <t>KALMAR LÄN</t>
        </is>
      </c>
      <c r="G251" t="inlineStr">
        <is>
          <t>NYBRO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46248</v>
      </c>
      <c r="F252" t="inlineStr">
        <is>
          <t>KALMAR LÄN</t>
        </is>
      </c>
      <c r="G252" t="inlineStr">
        <is>
          <t>NYBRO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45369</v>
      </c>
      <c r="E253" s="1" t="n">
        <v>46248</v>
      </c>
      <c r="F253" t="inlineStr">
        <is>
          <t>KALMAR LÄN</t>
        </is>
      </c>
      <c r="G253" t="inlineStr">
        <is>
          <t>NYBRO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45213</v>
      </c>
      <c r="E254" s="1" t="n">
        <v>46248</v>
      </c>
      <c r="F254" t="inlineStr">
        <is>
          <t>KALMAR LÄN</t>
        </is>
      </c>
      <c r="G254" t="inlineStr">
        <is>
          <t>NYBRO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44868</v>
      </c>
      <c r="E255" s="1" t="n">
        <v>46248</v>
      </c>
      <c r="F255" t="inlineStr">
        <is>
          <t>KALMAR LÄN</t>
        </is>
      </c>
      <c r="G255" t="inlineStr">
        <is>
          <t>NYBRO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46248</v>
      </c>
      <c r="F256" t="inlineStr">
        <is>
          <t>KALMAR LÄN</t>
        </is>
      </c>
      <c r="G256" t="inlineStr">
        <is>
          <t>NYBRO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45376</v>
      </c>
      <c r="E257" s="1" t="n">
        <v>46248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45463</v>
      </c>
      <c r="E258" s="1" t="n">
        <v>46248</v>
      </c>
      <c r="F258" t="inlineStr">
        <is>
          <t>KALMAR LÄN</t>
        </is>
      </c>
      <c r="G258" t="inlineStr">
        <is>
          <t>NYBRO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46248</v>
      </c>
      <c r="F259" t="inlineStr">
        <is>
          <t>KALMAR LÄN</t>
        </is>
      </c>
      <c r="G259" t="inlineStr">
        <is>
          <t>NYBRO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46248</v>
      </c>
      <c r="F260" t="inlineStr">
        <is>
          <t>KALMAR LÄN</t>
        </is>
      </c>
      <c r="G260" t="inlineStr">
        <is>
          <t>NYBRO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45121</v>
      </c>
      <c r="E261" s="1" t="n">
        <v>46248</v>
      </c>
      <c r="F261" t="inlineStr">
        <is>
          <t>KALMAR LÄN</t>
        </is>
      </c>
      <c r="G261" t="inlineStr">
        <is>
          <t>NYBRO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46248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46248</v>
      </c>
      <c r="F263" t="inlineStr">
        <is>
          <t>KALMAR LÄN</t>
        </is>
      </c>
      <c r="G263" t="inlineStr">
        <is>
          <t>NYBRO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46248</v>
      </c>
      <c r="F264" t="inlineStr">
        <is>
          <t>KALMAR LÄN</t>
        </is>
      </c>
      <c r="G264" t="inlineStr">
        <is>
          <t>NYBRO</t>
        </is>
      </c>
      <c r="H264" t="inlineStr">
        <is>
          <t>Kyrkan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46248</v>
      </c>
      <c r="F265" t="inlineStr">
        <is>
          <t>KALMAR LÄN</t>
        </is>
      </c>
      <c r="G265" t="inlineStr">
        <is>
          <t>NYBRO</t>
        </is>
      </c>
      <c r="H265" t="inlineStr">
        <is>
          <t>Kyrkan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44945</v>
      </c>
      <c r="E266" s="1" t="n">
        <v>46248</v>
      </c>
      <c r="F266" t="inlineStr">
        <is>
          <t>KALMAR LÄN</t>
        </is>
      </c>
      <c r="G266" t="inlineStr">
        <is>
          <t>NYBRO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46248</v>
      </c>
      <c r="F267" t="inlineStr">
        <is>
          <t>KALMAR LÄN</t>
        </is>
      </c>
      <c r="G267" t="inlineStr">
        <is>
          <t>NYBRO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44870</v>
      </c>
      <c r="E268" s="1" t="n">
        <v>46248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28145-2022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44746</v>
      </c>
      <c r="E269" s="1" t="n">
        <v>46248</v>
      </c>
      <c r="F269" t="inlineStr">
        <is>
          <t>KALMAR LÄN</t>
        </is>
      </c>
      <c r="G269" t="inlineStr">
        <is>
          <t>NYBRO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46248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45439</v>
      </c>
      <c r="E271" s="1" t="n">
        <v>46248</v>
      </c>
      <c r="F271" t="inlineStr">
        <is>
          <t>KALMAR LÄN</t>
        </is>
      </c>
      <c r="G271" t="inlineStr">
        <is>
          <t>NYBRO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46248</v>
      </c>
      <c r="F272" t="inlineStr">
        <is>
          <t>KALMAR LÄN</t>
        </is>
      </c>
      <c r="G272" t="inlineStr">
        <is>
          <t>NYBRO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45075</v>
      </c>
      <c r="E273" s="1" t="n">
        <v>46248</v>
      </c>
      <c r="F273" t="inlineStr">
        <is>
          <t>KALMAR LÄN</t>
        </is>
      </c>
      <c r="G273" t="inlineStr">
        <is>
          <t>NYBRO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46248</v>
      </c>
      <c r="F274" t="inlineStr">
        <is>
          <t>KALMAR LÄN</t>
        </is>
      </c>
      <c r="G274" t="inlineStr">
        <is>
          <t>NYBRO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44811</v>
      </c>
      <c r="E275" s="1" t="n">
        <v>46248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44587</v>
      </c>
      <c r="E276" s="1" t="n">
        <v>46248</v>
      </c>
      <c r="F276" t="inlineStr">
        <is>
          <t>KALMAR LÄN</t>
        </is>
      </c>
      <c r="G276" t="inlineStr">
        <is>
          <t>NYBRO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22429-2023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45070</v>
      </c>
      <c r="E277" s="1" t="n">
        <v>46248</v>
      </c>
      <c r="F277" t="inlineStr">
        <is>
          <t>KALMAR LÄN</t>
        </is>
      </c>
      <c r="G277" t="inlineStr">
        <is>
          <t>NYBRO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46248</v>
      </c>
      <c r="F278" t="inlineStr">
        <is>
          <t>KALMAR LÄN</t>
        </is>
      </c>
      <c r="G278" t="inlineStr">
        <is>
          <t>NYBRO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46248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44881</v>
      </c>
      <c r="E280" s="1" t="n">
        <v>46248</v>
      </c>
      <c r="F280" t="inlineStr">
        <is>
          <t>KALMAR LÄN</t>
        </is>
      </c>
      <c r="G280" t="inlineStr">
        <is>
          <t>NYBRO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46248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45216</v>
      </c>
      <c r="E282" s="1" t="n">
        <v>46248</v>
      </c>
      <c r="F282" t="inlineStr">
        <is>
          <t>KALMAR LÄN</t>
        </is>
      </c>
      <c r="G282" t="inlineStr">
        <is>
          <t>NYBRO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44973</v>
      </c>
      <c r="E283" s="1" t="n">
        <v>46248</v>
      </c>
      <c r="F283" t="inlineStr">
        <is>
          <t>KALMAR LÄN</t>
        </is>
      </c>
      <c r="G283" t="inlineStr">
        <is>
          <t>NYBRO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60026-2022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46248</v>
      </c>
      <c r="F284" t="inlineStr">
        <is>
          <t>KALMAR LÄN</t>
        </is>
      </c>
      <c r="G284" t="inlineStr">
        <is>
          <t>NYBRO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46248</v>
      </c>
      <c r="F285" t="inlineStr">
        <is>
          <t>KALMAR LÄN</t>
        </is>
      </c>
      <c r="G285" t="inlineStr">
        <is>
          <t>NYBRO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46248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11968-2025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45728</v>
      </c>
      <c r="E287" s="1" t="n">
        <v>46248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46248</v>
      </c>
      <c r="F288" t="inlineStr">
        <is>
          <t>KALMAR LÄN</t>
        </is>
      </c>
      <c r="G288" t="inlineStr">
        <is>
          <t>NYBRO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7958-2023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46248</v>
      </c>
      <c r="F289" t="inlineStr">
        <is>
          <t>KALMAR LÄN</t>
        </is>
      </c>
      <c r="G289" t="inlineStr">
        <is>
          <t>NYBRO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46248</v>
      </c>
      <c r="F290" t="inlineStr">
        <is>
          <t>KALMAR LÄN</t>
        </is>
      </c>
      <c r="G290" t="inlineStr">
        <is>
          <t>NYBRO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44684</v>
      </c>
      <c r="E291" s="1" t="n">
        <v>46248</v>
      </c>
      <c r="F291" t="inlineStr">
        <is>
          <t>KALMAR LÄN</t>
        </is>
      </c>
      <c r="G291" t="inlineStr">
        <is>
          <t>NYBRO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46248</v>
      </c>
      <c r="F292" t="inlineStr">
        <is>
          <t>KALMAR LÄN</t>
        </is>
      </c>
      <c r="G292" t="inlineStr">
        <is>
          <t>NYBRO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45057</v>
      </c>
      <c r="E293" s="1" t="n">
        <v>46248</v>
      </c>
      <c r="F293" t="inlineStr">
        <is>
          <t>KALMAR LÄN</t>
        </is>
      </c>
      <c r="G293" t="inlineStr">
        <is>
          <t>NYBRO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46248</v>
      </c>
      <c r="F294" t="inlineStr">
        <is>
          <t>KALMAR LÄN</t>
        </is>
      </c>
      <c r="G294" t="inlineStr">
        <is>
          <t>NYBRO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45084</v>
      </c>
      <c r="E295" s="1" t="n">
        <v>46248</v>
      </c>
      <c r="F295" t="inlineStr">
        <is>
          <t>KALMAR LÄN</t>
        </is>
      </c>
      <c r="G295" t="inlineStr">
        <is>
          <t>NYBRO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42965-2021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44431</v>
      </c>
      <c r="E296" s="1" t="n">
        <v>46248</v>
      </c>
      <c r="F296" t="inlineStr">
        <is>
          <t>KALMAR LÄN</t>
        </is>
      </c>
      <c r="G296" t="inlineStr">
        <is>
          <t>NYBRO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44973</v>
      </c>
      <c r="E297" s="1" t="n">
        <v>46248</v>
      </c>
      <c r="F297" t="inlineStr">
        <is>
          <t>KALMAR LÄN</t>
        </is>
      </c>
      <c r="G297" t="inlineStr">
        <is>
          <t>NYBRO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21695-2024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45442</v>
      </c>
      <c r="E298" s="1" t="n">
        <v>46248</v>
      </c>
      <c r="F298" t="inlineStr">
        <is>
          <t>KALMAR LÄN</t>
        </is>
      </c>
      <c r="G298" t="inlineStr">
        <is>
          <t>NYBRO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44909</v>
      </c>
      <c r="E299" s="1" t="n">
        <v>46248</v>
      </c>
      <c r="F299" t="inlineStr">
        <is>
          <t>KALMAR LÄN</t>
        </is>
      </c>
      <c r="G299" t="inlineStr">
        <is>
          <t>NYBRO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44909</v>
      </c>
      <c r="E300" s="1" t="n">
        <v>46248</v>
      </c>
      <c r="F300" t="inlineStr">
        <is>
          <t>KALMAR LÄN</t>
        </is>
      </c>
      <c r="G300" t="inlineStr">
        <is>
          <t>NYBRO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45336</v>
      </c>
      <c r="E301" s="1" t="n">
        <v>46248</v>
      </c>
      <c r="F301" t="inlineStr">
        <is>
          <t>KALMAR LÄN</t>
        </is>
      </c>
      <c r="G301" t="inlineStr">
        <is>
          <t>NYBRO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44972</v>
      </c>
      <c r="E302" s="1" t="n">
        <v>46248</v>
      </c>
      <c r="F302" t="inlineStr">
        <is>
          <t>KALMAR LÄN</t>
        </is>
      </c>
      <c r="G302" t="inlineStr">
        <is>
          <t>NYBRO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46248</v>
      </c>
      <c r="F303" t="inlineStr">
        <is>
          <t>KALMAR LÄN</t>
        </is>
      </c>
      <c r="G303" t="inlineStr">
        <is>
          <t>NYBRO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45606</v>
      </c>
      <c r="E304" s="1" t="n">
        <v>46248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59687-2021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44494</v>
      </c>
      <c r="E305" s="1" t="n">
        <v>46248</v>
      </c>
      <c r="F305" t="inlineStr">
        <is>
          <t>KALMAR LÄN</t>
        </is>
      </c>
      <c r="G305" t="inlineStr">
        <is>
          <t>NYBRO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46248</v>
      </c>
      <c r="F306" t="inlineStr">
        <is>
          <t>KALMAR LÄN</t>
        </is>
      </c>
      <c r="G306" t="inlineStr">
        <is>
          <t>NYBRO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46248</v>
      </c>
      <c r="F307" t="inlineStr">
        <is>
          <t>KALMAR LÄN</t>
        </is>
      </c>
      <c r="G307" t="inlineStr">
        <is>
          <t>NYBRO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45341</v>
      </c>
      <c r="E308" s="1" t="n">
        <v>46248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45448</v>
      </c>
      <c r="E309" s="1" t="n">
        <v>46248</v>
      </c>
      <c r="F309" t="inlineStr">
        <is>
          <t>KALMAR LÄN</t>
        </is>
      </c>
      <c r="G309" t="inlineStr">
        <is>
          <t>NYBRO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45118</v>
      </c>
      <c r="E310" s="1" t="n">
        <v>46248</v>
      </c>
      <c r="F310" t="inlineStr">
        <is>
          <t>KALMAR LÄN</t>
        </is>
      </c>
      <c r="G310" t="inlineStr">
        <is>
          <t>NYBRO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44594</v>
      </c>
      <c r="E311" s="1" t="n">
        <v>46248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45509</v>
      </c>
      <c r="E312" s="1" t="n">
        <v>46248</v>
      </c>
      <c r="F312" t="inlineStr">
        <is>
          <t>KALMAR LÄN</t>
        </is>
      </c>
      <c r="G312" t="inlineStr">
        <is>
          <t>NYBRO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46248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45729</v>
      </c>
      <c r="E314" s="1" t="n">
        <v>46248</v>
      </c>
      <c r="F314" t="inlineStr">
        <is>
          <t>KALMAR LÄN</t>
        </is>
      </c>
      <c r="G314" t="inlineStr">
        <is>
          <t>NYBRO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22488-2022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44713</v>
      </c>
      <c r="E315" s="1" t="n">
        <v>46248</v>
      </c>
      <c r="F315" t="inlineStr">
        <is>
          <t>KALMAR LÄN</t>
        </is>
      </c>
      <c r="G315" t="inlineStr">
        <is>
          <t>NYBRO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46248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45367</v>
      </c>
      <c r="E317" s="1" t="n">
        <v>46248</v>
      </c>
      <c r="F317" t="inlineStr">
        <is>
          <t>KALMAR LÄN</t>
        </is>
      </c>
      <c r="G317" t="inlineStr">
        <is>
          <t>NYBRO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58551-2024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45635</v>
      </c>
      <c r="E318" s="1" t="n">
        <v>46248</v>
      </c>
      <c r="F318" t="inlineStr">
        <is>
          <t>KALMAR LÄN</t>
        </is>
      </c>
      <c r="G318" t="inlineStr">
        <is>
          <t>NYBRO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45217</v>
      </c>
      <c r="E319" s="1" t="n">
        <v>46248</v>
      </c>
      <c r="F319" t="inlineStr">
        <is>
          <t>KALMAR LÄN</t>
        </is>
      </c>
      <c r="G319" t="inlineStr">
        <is>
          <t>NYBRO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45475</v>
      </c>
      <c r="E320" s="1" t="n">
        <v>46248</v>
      </c>
      <c r="F320" t="inlineStr">
        <is>
          <t>KALMAR LÄN</t>
        </is>
      </c>
      <c r="G320" t="inlineStr">
        <is>
          <t>NYBRO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45475</v>
      </c>
      <c r="E321" s="1" t="n">
        <v>46248</v>
      </c>
      <c r="F321" t="inlineStr">
        <is>
          <t>KALMAR LÄN</t>
        </is>
      </c>
      <c r="G321" t="inlineStr">
        <is>
          <t>NYBRO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45149</v>
      </c>
      <c r="E322" s="1" t="n">
        <v>46248</v>
      </c>
      <c r="F322" t="inlineStr">
        <is>
          <t>KALMAR LÄN</t>
        </is>
      </c>
      <c r="G322" t="inlineStr">
        <is>
          <t>NYBRO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41161-2023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46248</v>
      </c>
      <c r="F323" t="inlineStr">
        <is>
          <t>KALMAR LÄN</t>
        </is>
      </c>
      <c r="G323" t="inlineStr">
        <is>
          <t>NYBRO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45385</v>
      </c>
      <c r="E324" s="1" t="n">
        <v>46248</v>
      </c>
      <c r="F324" t="inlineStr">
        <is>
          <t>KALMAR LÄN</t>
        </is>
      </c>
      <c r="G324" t="inlineStr">
        <is>
          <t>NYBRO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45011</v>
      </c>
      <c r="E325" s="1" t="n">
        <v>46248</v>
      </c>
      <c r="F325" t="inlineStr">
        <is>
          <t>KALMAR LÄN</t>
        </is>
      </c>
      <c r="G325" t="inlineStr">
        <is>
          <t>NYBRO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44825</v>
      </c>
      <c r="E326" s="1" t="n">
        <v>46248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13445-2022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44645</v>
      </c>
      <c r="E327" s="1" t="n">
        <v>46248</v>
      </c>
      <c r="F327" t="inlineStr">
        <is>
          <t>KALMAR LÄN</t>
        </is>
      </c>
      <c r="G327" t="inlineStr">
        <is>
          <t>NYBRO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46248</v>
      </c>
      <c r="F328" t="inlineStr">
        <is>
          <t>KALMAR LÄN</t>
        </is>
      </c>
      <c r="G328" t="inlineStr">
        <is>
          <t>NYBRO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46248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44497</v>
      </c>
      <c r="E330" s="1" t="n">
        <v>46248</v>
      </c>
      <c r="F330" t="inlineStr">
        <is>
          <t>KALMAR LÄN</t>
        </is>
      </c>
      <c r="G330" t="inlineStr">
        <is>
          <t>NYBRO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52133-2021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44462</v>
      </c>
      <c r="E331" s="1" t="n">
        <v>46248</v>
      </c>
      <c r="F331" t="inlineStr">
        <is>
          <t>KALMAR LÄN</t>
        </is>
      </c>
      <c r="G331" t="inlineStr">
        <is>
          <t>NYBRO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46248</v>
      </c>
      <c r="F332" t="inlineStr">
        <is>
          <t>KALMAR LÄN</t>
        </is>
      </c>
      <c r="G332" t="inlineStr">
        <is>
          <t>NYBRO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46248</v>
      </c>
      <c r="F333" t="inlineStr">
        <is>
          <t>KALMAR LÄN</t>
        </is>
      </c>
      <c r="G333" t="inlineStr">
        <is>
          <t>NYBRO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46248</v>
      </c>
      <c r="F334" t="inlineStr">
        <is>
          <t>KALMAR LÄN</t>
        </is>
      </c>
      <c r="G334" t="inlineStr">
        <is>
          <t>NYBRO</t>
        </is>
      </c>
      <c r="H334" t="inlineStr">
        <is>
          <t>Kyrkan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46248</v>
      </c>
      <c r="F335" t="inlineStr">
        <is>
          <t>KALMAR LÄN</t>
        </is>
      </c>
      <c r="G335" t="inlineStr">
        <is>
          <t>NYBRO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45055</v>
      </c>
      <c r="E336" s="1" t="n">
        <v>46248</v>
      </c>
      <c r="F336" t="inlineStr">
        <is>
          <t>KALMAR LÄN</t>
        </is>
      </c>
      <c r="G336" t="inlineStr">
        <is>
          <t>NYBRO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46248</v>
      </c>
      <c r="F337" t="inlineStr">
        <is>
          <t>KALMAR LÄN</t>
        </is>
      </c>
      <c r="G337" t="inlineStr">
        <is>
          <t>NYBRO</t>
        </is>
      </c>
      <c r="H337" t="inlineStr">
        <is>
          <t>Kyrkan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46248</v>
      </c>
      <c r="F338" t="inlineStr">
        <is>
          <t>KALMAR LÄN</t>
        </is>
      </c>
      <c r="G338" t="inlineStr">
        <is>
          <t>NYBRO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45744</v>
      </c>
      <c r="E339" s="1" t="n">
        <v>46248</v>
      </c>
      <c r="F339" t="inlineStr">
        <is>
          <t>KALMAR LÄN</t>
        </is>
      </c>
      <c r="G339" t="inlineStr">
        <is>
          <t>NYBRO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45714</v>
      </c>
      <c r="E340" s="1" t="n">
        <v>46248</v>
      </c>
      <c r="F340" t="inlineStr">
        <is>
          <t>KALMAR LÄN</t>
        </is>
      </c>
      <c r="G340" t="inlineStr">
        <is>
          <t>NYBRO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43118-2022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44833</v>
      </c>
      <c r="E341" s="1" t="n">
        <v>46248</v>
      </c>
      <c r="F341" t="inlineStr">
        <is>
          <t>KALMAR LÄN</t>
        </is>
      </c>
      <c r="G341" t="inlineStr">
        <is>
          <t>NYBRO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46248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46248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45117</v>
      </c>
      <c r="E344" s="1" t="n">
        <v>46248</v>
      </c>
      <c r="F344" t="inlineStr">
        <is>
          <t>KALMAR LÄN</t>
        </is>
      </c>
      <c r="G344" t="inlineStr">
        <is>
          <t>NYBRO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46248</v>
      </c>
      <c r="F345" t="inlineStr">
        <is>
          <t>KALMAR LÄN</t>
        </is>
      </c>
      <c r="G345" t="inlineStr">
        <is>
          <t>NYBRO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46248</v>
      </c>
      <c r="F346" t="inlineStr">
        <is>
          <t>KALMAR LÄN</t>
        </is>
      </c>
      <c r="G346" t="inlineStr">
        <is>
          <t>NYBRO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60622-2023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46248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46248</v>
      </c>
      <c r="F348" t="inlineStr">
        <is>
          <t>KALMAR LÄN</t>
        </is>
      </c>
      <c r="G348" t="inlineStr">
        <is>
          <t>NYBRO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46248</v>
      </c>
      <c r="F349" t="inlineStr">
        <is>
          <t>KALMAR LÄN</t>
        </is>
      </c>
      <c r="G349" t="inlineStr">
        <is>
          <t>NYBRO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44953</v>
      </c>
      <c r="E350" s="1" t="n">
        <v>46248</v>
      </c>
      <c r="F350" t="inlineStr">
        <is>
          <t>KALMAR LÄN</t>
        </is>
      </c>
      <c r="G350" t="inlineStr">
        <is>
          <t>NYBRO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45411</v>
      </c>
      <c r="E351" s="1" t="n">
        <v>46248</v>
      </c>
      <c r="F351" t="inlineStr">
        <is>
          <t>KALMAR LÄN</t>
        </is>
      </c>
      <c r="G351" t="inlineStr">
        <is>
          <t>NYBRO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46248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45335</v>
      </c>
      <c r="E353" s="1" t="n">
        <v>46248</v>
      </c>
      <c r="F353" t="inlineStr">
        <is>
          <t>KALMAR LÄN</t>
        </is>
      </c>
      <c r="G353" t="inlineStr">
        <is>
          <t>NYBRO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45335</v>
      </c>
      <c r="E354" s="1" t="n">
        <v>46248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45761</v>
      </c>
      <c r="E355" s="1" t="n">
        <v>46248</v>
      </c>
      <c r="F355" t="inlineStr">
        <is>
          <t>KALMAR LÄN</t>
        </is>
      </c>
      <c r="G355" t="inlineStr">
        <is>
          <t>NYBRO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46248</v>
      </c>
      <c r="F356" t="inlineStr">
        <is>
          <t>KALMAR LÄN</t>
        </is>
      </c>
      <c r="G356" t="inlineStr">
        <is>
          <t>NYBRO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45218</v>
      </c>
      <c r="E357" s="1" t="n">
        <v>46248</v>
      </c>
      <c r="F357" t="inlineStr">
        <is>
          <t>KALMAR LÄN</t>
        </is>
      </c>
      <c r="G357" t="inlineStr">
        <is>
          <t>NYBRO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45474</v>
      </c>
      <c r="E358" s="1" t="n">
        <v>46248</v>
      </c>
      <c r="F358" t="inlineStr">
        <is>
          <t>KALMAR LÄN</t>
        </is>
      </c>
      <c r="G358" t="inlineStr">
        <is>
          <t>NYBRO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46248</v>
      </c>
      <c r="F359" t="inlineStr">
        <is>
          <t>KALMAR LÄN</t>
        </is>
      </c>
      <c r="G359" t="inlineStr">
        <is>
          <t>NYBRO</t>
        </is>
      </c>
      <c r="I359" t="n">
        <v>14.2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45649</v>
      </c>
      <c r="E360" s="1" t="n">
        <v>46248</v>
      </c>
      <c r="F360" t="inlineStr">
        <is>
          <t>KALMAR LÄN</t>
        </is>
      </c>
      <c r="G360" t="inlineStr">
        <is>
          <t>NYBRO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46248</v>
      </c>
      <c r="F361" t="inlineStr">
        <is>
          <t>KALMAR LÄN</t>
        </is>
      </c>
      <c r="G361" t="inlineStr">
        <is>
          <t>NYBRO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46248</v>
      </c>
      <c r="F362" t="inlineStr">
        <is>
          <t>KALMAR LÄN</t>
        </is>
      </c>
      <c r="G362" t="inlineStr">
        <is>
          <t>NYBRO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45078</v>
      </c>
      <c r="E363" s="1" t="n">
        <v>46248</v>
      </c>
      <c r="F363" t="inlineStr">
        <is>
          <t>KALMAR LÄN</t>
        </is>
      </c>
      <c r="G363" t="inlineStr">
        <is>
          <t>NYBRO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38814-2022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44816</v>
      </c>
      <c r="E364" s="1" t="n">
        <v>46248</v>
      </c>
      <c r="F364" t="inlineStr">
        <is>
          <t>KALMAR LÄN</t>
        </is>
      </c>
      <c r="G364" t="inlineStr">
        <is>
          <t>NYBRO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46248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46248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46248</v>
      </c>
      <c r="F367" t="inlineStr">
        <is>
          <t>KALMAR LÄN</t>
        </is>
      </c>
      <c r="G367" t="inlineStr">
        <is>
          <t>NYBRO</t>
        </is>
      </c>
      <c r="H367" t="inlineStr">
        <is>
          <t>Kommuner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46248</v>
      </c>
      <c r="F368" t="inlineStr">
        <is>
          <t>KALMAR LÄN</t>
        </is>
      </c>
      <c r="G368" t="inlineStr">
        <is>
          <t>NYBRO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44928</v>
      </c>
      <c r="E369" s="1" t="n">
        <v>46248</v>
      </c>
      <c r="F369" t="inlineStr">
        <is>
          <t>KALMAR LÄN</t>
        </is>
      </c>
      <c r="G369" t="inlineStr">
        <is>
          <t>NYBRO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17409-2024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46248</v>
      </c>
      <c r="F370" t="inlineStr">
        <is>
          <t>KALMAR LÄN</t>
        </is>
      </c>
      <c r="G370" t="inlineStr">
        <is>
          <t>NYBRO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41679-2024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45560</v>
      </c>
      <c r="E371" s="1" t="n">
        <v>46248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44882</v>
      </c>
      <c r="E372" s="1" t="n">
        <v>46248</v>
      </c>
      <c r="F372" t="inlineStr">
        <is>
          <t>KALMAR LÄN</t>
        </is>
      </c>
      <c r="G372" t="inlineStr">
        <is>
          <t>NYBRO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44713</v>
      </c>
      <c r="E373" s="1" t="n">
        <v>46248</v>
      </c>
      <c r="F373" t="inlineStr">
        <is>
          <t>KALMAR LÄN</t>
        </is>
      </c>
      <c r="G373" t="inlineStr">
        <is>
          <t>NYBRO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46248</v>
      </c>
      <c r="F374" t="inlineStr">
        <is>
          <t>KALMAR LÄN</t>
        </is>
      </c>
      <c r="G374" t="inlineStr">
        <is>
          <t>NYBRO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46248</v>
      </c>
      <c r="F375" t="inlineStr">
        <is>
          <t>KALMAR LÄN</t>
        </is>
      </c>
      <c r="G375" t="inlineStr">
        <is>
          <t>NYBRO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51582-2023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46248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46248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64453-2023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45280</v>
      </c>
      <c r="E378" s="1" t="n">
        <v>46248</v>
      </c>
      <c r="F378" t="inlineStr">
        <is>
          <t>KALMAR LÄN</t>
        </is>
      </c>
      <c r="G378" t="inlineStr">
        <is>
          <t>NYBRO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44580</v>
      </c>
      <c r="E379" s="1" t="n">
        <v>46248</v>
      </c>
      <c r="F379" t="inlineStr">
        <is>
          <t>KALMAR LÄN</t>
        </is>
      </c>
      <c r="G379" t="inlineStr">
        <is>
          <t>NYBRO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46248</v>
      </c>
      <c r="F380" t="inlineStr">
        <is>
          <t>KALMAR LÄN</t>
        </is>
      </c>
      <c r="G380" t="inlineStr">
        <is>
          <t>NYBRO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45385</v>
      </c>
      <c r="E381" s="1" t="n">
        <v>46248</v>
      </c>
      <c r="F381" t="inlineStr">
        <is>
          <t>KALMAR LÄN</t>
        </is>
      </c>
      <c r="G381" t="inlineStr">
        <is>
          <t>NYBRO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10457-2024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45366</v>
      </c>
      <c r="E382" s="1" t="n">
        <v>46248</v>
      </c>
      <c r="F382" t="inlineStr">
        <is>
          <t>KALMAR LÄN</t>
        </is>
      </c>
      <c r="G382" t="inlineStr">
        <is>
          <t>NYBRO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45591</v>
      </c>
      <c r="E383" s="1" t="n">
        <v>46248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45043</v>
      </c>
      <c r="E384" s="1" t="n">
        <v>46248</v>
      </c>
      <c r="F384" t="inlineStr">
        <is>
          <t>KALMAR LÄN</t>
        </is>
      </c>
      <c r="G384" t="inlineStr">
        <is>
          <t>NYBRO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54252-2024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46248</v>
      </c>
      <c r="F385" t="inlineStr">
        <is>
          <t>KALMAR LÄN</t>
        </is>
      </c>
      <c r="G385" t="inlineStr">
        <is>
          <t>NYBRO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45426</v>
      </c>
      <c r="E386" s="1" t="n">
        <v>46248</v>
      </c>
      <c r="F386" t="inlineStr">
        <is>
          <t>KALMAR LÄN</t>
        </is>
      </c>
      <c r="G386" t="inlineStr">
        <is>
          <t>NYBRO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44889</v>
      </c>
      <c r="E387" s="1" t="n">
        <v>46248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46248</v>
      </c>
      <c r="F388" t="inlineStr">
        <is>
          <t>KALMAR LÄN</t>
        </is>
      </c>
      <c r="G388" t="inlineStr">
        <is>
          <t>NYBRO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45050</v>
      </c>
      <c r="E389" s="1" t="n">
        <v>46248</v>
      </c>
      <c r="F389" t="inlineStr">
        <is>
          <t>KALMAR LÄN</t>
        </is>
      </c>
      <c r="G389" t="inlineStr">
        <is>
          <t>NYBRO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46248</v>
      </c>
      <c r="F390" t="inlineStr">
        <is>
          <t>KALMAR LÄN</t>
        </is>
      </c>
      <c r="G390" t="inlineStr">
        <is>
          <t>NYBRO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46248</v>
      </c>
      <c r="F391" t="inlineStr">
        <is>
          <t>KALMAR LÄN</t>
        </is>
      </c>
      <c r="G391" t="inlineStr">
        <is>
          <t>NYBRO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45111</v>
      </c>
      <c r="E392" s="1" t="n">
        <v>46248</v>
      </c>
      <c r="F392" t="inlineStr">
        <is>
          <t>KALMAR LÄN</t>
        </is>
      </c>
      <c r="G392" t="inlineStr">
        <is>
          <t>NYBRO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45131</v>
      </c>
      <c r="E393" s="1" t="n">
        <v>46248</v>
      </c>
      <c r="F393" t="inlineStr">
        <is>
          <t>KALMAR LÄN</t>
        </is>
      </c>
      <c r="G393" t="inlineStr">
        <is>
          <t>NYBRO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46248</v>
      </c>
      <c r="F394" t="inlineStr">
        <is>
          <t>KALMAR LÄN</t>
        </is>
      </c>
      <c r="G394" t="inlineStr">
        <is>
          <t>NYBRO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8069-2023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46248</v>
      </c>
      <c r="F395" t="inlineStr">
        <is>
          <t>KALMAR LÄN</t>
        </is>
      </c>
      <c r="G395" t="inlineStr">
        <is>
          <t>NYBRO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44756</v>
      </c>
      <c r="E396" s="1" t="n">
        <v>46248</v>
      </c>
      <c r="F396" t="inlineStr">
        <is>
          <t>KALMAR LÄN</t>
        </is>
      </c>
      <c r="G396" t="inlineStr">
        <is>
          <t>NYBRO</t>
        </is>
      </c>
      <c r="H396" t="inlineStr">
        <is>
          <t>Kyrkan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45063</v>
      </c>
      <c r="E397" s="1" t="n">
        <v>46248</v>
      </c>
      <c r="F397" t="inlineStr">
        <is>
          <t>KALMAR LÄN</t>
        </is>
      </c>
      <c r="G397" t="inlineStr">
        <is>
          <t>NYBRO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45346</v>
      </c>
      <c r="E398" s="1" t="n">
        <v>46248</v>
      </c>
      <c r="F398" t="inlineStr">
        <is>
          <t>KALMAR LÄN</t>
        </is>
      </c>
      <c r="G398" t="inlineStr">
        <is>
          <t>NYBRO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52382-2022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46248</v>
      </c>
      <c r="F399" t="inlineStr">
        <is>
          <t>KALMAR LÄN</t>
        </is>
      </c>
      <c r="G399" t="inlineStr">
        <is>
          <t>NYBRO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44992</v>
      </c>
      <c r="E400" s="1" t="n">
        <v>46248</v>
      </c>
      <c r="F400" t="inlineStr">
        <is>
          <t>KALMAR LÄN</t>
        </is>
      </c>
      <c r="G400" t="inlineStr">
        <is>
          <t>NYBRO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19451-2022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44693</v>
      </c>
      <c r="E401" s="1" t="n">
        <v>46248</v>
      </c>
      <c r="F401" t="inlineStr">
        <is>
          <t>KALMAR LÄN</t>
        </is>
      </c>
      <c r="G401" t="inlineStr">
        <is>
          <t>NYBRO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26715-2022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46248</v>
      </c>
      <c r="F402" t="inlineStr">
        <is>
          <t>KALMAR LÄN</t>
        </is>
      </c>
      <c r="G402" t="inlineStr">
        <is>
          <t>NYBRO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45409</v>
      </c>
      <c r="E403" s="1" t="n">
        <v>46248</v>
      </c>
      <c r="F403" t="inlineStr">
        <is>
          <t>KALMAR LÄN</t>
        </is>
      </c>
      <c r="G403" t="inlineStr">
        <is>
          <t>NYBRO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31948-2023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46248</v>
      </c>
      <c r="F404" t="inlineStr">
        <is>
          <t>KALMAR LÄN</t>
        </is>
      </c>
      <c r="G404" t="inlineStr">
        <is>
          <t>NYBRO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59689-2021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44494</v>
      </c>
      <c r="E405" s="1" t="n">
        <v>46248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45561</v>
      </c>
      <c r="E406" s="1" t="n">
        <v>46248</v>
      </c>
      <c r="F406" t="inlineStr">
        <is>
          <t>KALMAR LÄN</t>
        </is>
      </c>
      <c r="G406" t="inlineStr">
        <is>
          <t>NYBRO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42037-2024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46248</v>
      </c>
      <c r="F407" t="inlineStr">
        <is>
          <t>KALMAR LÄN</t>
        </is>
      </c>
      <c r="G407" t="inlineStr">
        <is>
          <t>NYBRO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45296</v>
      </c>
      <c r="E408" s="1" t="n">
        <v>46248</v>
      </c>
      <c r="F408" t="inlineStr">
        <is>
          <t>KALMAR LÄN</t>
        </is>
      </c>
      <c r="G408" t="inlineStr">
        <is>
          <t>NYBRO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17157-2022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44677</v>
      </c>
      <c r="E409" s="1" t="n">
        <v>46248</v>
      </c>
      <c r="F409" t="inlineStr">
        <is>
          <t>KALMAR LÄN</t>
        </is>
      </c>
      <c r="G409" t="inlineStr">
        <is>
          <t>NYBRO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46248</v>
      </c>
      <c r="F410" t="inlineStr">
        <is>
          <t>KALMAR LÄN</t>
        </is>
      </c>
      <c r="G410" t="inlineStr">
        <is>
          <t>NYBRO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45198</v>
      </c>
      <c r="E411" s="1" t="n">
        <v>46248</v>
      </c>
      <c r="F411" t="inlineStr">
        <is>
          <t>KALMAR LÄN</t>
        </is>
      </c>
      <c r="G411" t="inlineStr">
        <is>
          <t>NYBRO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46248</v>
      </c>
      <c r="F412" t="inlineStr">
        <is>
          <t>KALMAR LÄN</t>
        </is>
      </c>
      <c r="G412" t="inlineStr">
        <is>
          <t>NYBRO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44928</v>
      </c>
      <c r="E413" s="1" t="n">
        <v>46248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59052-2022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44904</v>
      </c>
      <c r="E414" s="1" t="n">
        <v>46248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46248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46248</v>
      </c>
      <c r="F416" t="inlineStr">
        <is>
          <t>KALMAR LÄN</t>
        </is>
      </c>
      <c r="G416" t="inlineStr">
        <is>
          <t>NYBRO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44690</v>
      </c>
      <c r="E417" s="1" t="n">
        <v>46248</v>
      </c>
      <c r="F417" t="inlineStr">
        <is>
          <t>KALMAR LÄN</t>
        </is>
      </c>
      <c r="G417" t="inlineStr">
        <is>
          <t>NYBRO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44778</v>
      </c>
      <c r="E418" s="1" t="n">
        <v>46248</v>
      </c>
      <c r="F418" t="inlineStr">
        <is>
          <t>KALMAR LÄN</t>
        </is>
      </c>
      <c r="G418" t="inlineStr">
        <is>
          <t>NYBRO</t>
        </is>
      </c>
      <c r="I418" t="n">
        <v>13.7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44798</v>
      </c>
      <c r="E419" s="1" t="n">
        <v>46248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46248</v>
      </c>
      <c r="F420" t="inlineStr">
        <is>
          <t>KALMAR LÄN</t>
        </is>
      </c>
      <c r="G420" t="inlineStr">
        <is>
          <t>NYBRO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45415</v>
      </c>
      <c r="E421" s="1" t="n">
        <v>46248</v>
      </c>
      <c r="F421" t="inlineStr">
        <is>
          <t>KALMAR LÄN</t>
        </is>
      </c>
      <c r="G421" t="inlineStr">
        <is>
          <t>NYBRO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46248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32264-2024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46248</v>
      </c>
      <c r="F423" t="inlineStr">
        <is>
          <t>KALMAR LÄN</t>
        </is>
      </c>
      <c r="G423" t="inlineStr">
        <is>
          <t>NYBRO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46248</v>
      </c>
      <c r="F424" t="inlineStr">
        <is>
          <t>KALMAR LÄN</t>
        </is>
      </c>
      <c r="G424" t="inlineStr">
        <is>
          <t>NYBRO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46248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46248</v>
      </c>
      <c r="F426" t="inlineStr">
        <is>
          <t>KALMAR LÄN</t>
        </is>
      </c>
      <c r="G426" t="inlineStr">
        <is>
          <t>NYBRO</t>
        </is>
      </c>
      <c r="I426" t="n">
        <v>15.1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44909</v>
      </c>
      <c r="E427" s="1" t="n">
        <v>46248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46248</v>
      </c>
      <c r="F428" t="inlineStr">
        <is>
          <t>KALMAR LÄN</t>
        </is>
      </c>
      <c r="G428" t="inlineStr">
        <is>
          <t>NYBRO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50976-2022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44867</v>
      </c>
      <c r="E429" s="1" t="n">
        <v>46248</v>
      </c>
      <c r="F429" t="inlineStr">
        <is>
          <t>KALMAR LÄN</t>
        </is>
      </c>
      <c r="G429" t="inlineStr">
        <is>
          <t>NYBRO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44621</v>
      </c>
      <c r="E430" s="1" t="n">
        <v>46248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45338</v>
      </c>
      <c r="E431" s="1" t="n">
        <v>46248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45484</v>
      </c>
      <c r="E432" s="1" t="n">
        <v>46248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44579</v>
      </c>
      <c r="E433" s="1" t="n">
        <v>46248</v>
      </c>
      <c r="F433" t="inlineStr">
        <is>
          <t>KALMAR LÄN</t>
        </is>
      </c>
      <c r="G433" t="inlineStr">
        <is>
          <t>NYBRO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46248</v>
      </c>
      <c r="F434" t="inlineStr">
        <is>
          <t>KALMAR LÄN</t>
        </is>
      </c>
      <c r="G434" t="inlineStr">
        <is>
          <t>NYBRO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44959</v>
      </c>
      <c r="E435" s="1" t="n">
        <v>46248</v>
      </c>
      <c r="F435" t="inlineStr">
        <is>
          <t>KALMAR LÄN</t>
        </is>
      </c>
      <c r="G435" t="inlineStr">
        <is>
          <t>NYBRO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9520-2024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45359</v>
      </c>
      <c r="E436" s="1" t="n">
        <v>46248</v>
      </c>
      <c r="F436" t="inlineStr">
        <is>
          <t>KALMAR LÄN</t>
        </is>
      </c>
      <c r="G436" t="inlineStr">
        <is>
          <t>NYBRO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46248</v>
      </c>
      <c r="F437" t="inlineStr">
        <is>
          <t>KALMAR LÄN</t>
        </is>
      </c>
      <c r="G437" t="inlineStr">
        <is>
          <t>NYBRO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45372</v>
      </c>
      <c r="E438" s="1" t="n">
        <v>46248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46248</v>
      </c>
      <c r="F439" t="inlineStr">
        <is>
          <t>KALMAR LÄN</t>
        </is>
      </c>
      <c r="G439" t="inlineStr">
        <is>
          <t>NYBRO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48312-2024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45590</v>
      </c>
      <c r="E440" s="1" t="n">
        <v>46248</v>
      </c>
      <c r="F440" t="inlineStr">
        <is>
          <t>KALMAR LÄN</t>
        </is>
      </c>
      <c r="G440" t="inlineStr">
        <is>
          <t>NYBRO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36247-2022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46248</v>
      </c>
      <c r="F441" t="inlineStr">
        <is>
          <t>KALMAR LÄN</t>
        </is>
      </c>
      <c r="G441" t="inlineStr">
        <is>
          <t>NYBRO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59053-2022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44904</v>
      </c>
      <c r="E442" s="1" t="n">
        <v>46248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59054-2022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46248</v>
      </c>
      <c r="F443" t="inlineStr">
        <is>
          <t>KALMAR LÄN</t>
        </is>
      </c>
      <c r="G443" t="inlineStr">
        <is>
          <t>NYBRO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41674-2024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45560</v>
      </c>
      <c r="E444" s="1" t="n">
        <v>46248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45079</v>
      </c>
      <c r="E445" s="1" t="n">
        <v>46248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46248</v>
      </c>
      <c r="F446" t="inlineStr">
        <is>
          <t>KALMAR LÄN</t>
        </is>
      </c>
      <c r="G446" t="inlineStr">
        <is>
          <t>NYBRO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46248</v>
      </c>
      <c r="F447" t="inlineStr">
        <is>
          <t>KALMAR LÄN</t>
        </is>
      </c>
      <c r="G447" t="inlineStr">
        <is>
          <t>NYBRO</t>
        </is>
      </c>
      <c r="I447" t="n">
        <v>30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46282-2023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45197</v>
      </c>
      <c r="E448" s="1" t="n">
        <v>46248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44949</v>
      </c>
      <c r="E449" s="1" t="n">
        <v>46248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4863-2022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44593</v>
      </c>
      <c r="E450" s="1" t="n">
        <v>46248</v>
      </c>
      <c r="F450" t="inlineStr">
        <is>
          <t>KALMAR LÄN</t>
        </is>
      </c>
      <c r="G450" t="inlineStr">
        <is>
          <t>NYBRO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26442-2024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45469</v>
      </c>
      <c r="E451" s="1" t="n">
        <v>46248</v>
      </c>
      <c r="F451" t="inlineStr">
        <is>
          <t>KALMAR LÄN</t>
        </is>
      </c>
      <c r="G451" t="inlineStr">
        <is>
          <t>NYBRO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45063</v>
      </c>
      <c r="E452" s="1" t="n">
        <v>46248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45098</v>
      </c>
      <c r="E453" s="1" t="n">
        <v>46248</v>
      </c>
      <c r="F453" t="inlineStr">
        <is>
          <t>KALMAR LÄN</t>
        </is>
      </c>
      <c r="G453" t="inlineStr">
        <is>
          <t>NYBRO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45254</v>
      </c>
      <c r="E454" s="1" t="n">
        <v>46248</v>
      </c>
      <c r="F454" t="inlineStr">
        <is>
          <t>KALMAR LÄN</t>
        </is>
      </c>
      <c r="G454" t="inlineStr">
        <is>
          <t>NYBRO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44959</v>
      </c>
      <c r="E455" s="1" t="n">
        <v>46248</v>
      </c>
      <c r="F455" t="inlineStr">
        <is>
          <t>KALMAR LÄN</t>
        </is>
      </c>
      <c r="G455" t="inlineStr">
        <is>
          <t>NYBRO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46248</v>
      </c>
      <c r="F456" t="inlineStr">
        <is>
          <t>KALMAR LÄN</t>
        </is>
      </c>
      <c r="G456" t="inlineStr">
        <is>
          <t>NYBRO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46248</v>
      </c>
      <c r="F457" t="inlineStr">
        <is>
          <t>KALMAR LÄN</t>
        </is>
      </c>
      <c r="G457" t="inlineStr">
        <is>
          <t>NYBRO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28164-2022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44746</v>
      </c>
      <c r="E458" s="1" t="n">
        <v>46248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45188</v>
      </c>
      <c r="E459" s="1" t="n">
        <v>46248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46248</v>
      </c>
      <c r="F460" t="inlineStr">
        <is>
          <t>KALMAR LÄN</t>
        </is>
      </c>
      <c r="G460" t="inlineStr">
        <is>
          <t>NYBRO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46248</v>
      </c>
      <c r="F461" t="inlineStr">
        <is>
          <t>KALMAR LÄN</t>
        </is>
      </c>
      <c r="G461" t="inlineStr">
        <is>
          <t>NYBRO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45649</v>
      </c>
      <c r="E462" s="1" t="n">
        <v>46248</v>
      </c>
      <c r="F462" t="inlineStr">
        <is>
          <t>KALMAR LÄN</t>
        </is>
      </c>
      <c r="G462" t="inlineStr">
        <is>
          <t>NYBRO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61816-2024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45649</v>
      </c>
      <c r="E463" s="1" t="n">
        <v>46248</v>
      </c>
      <c r="F463" t="inlineStr">
        <is>
          <t>KALMAR LÄN</t>
        </is>
      </c>
      <c r="G463" t="inlineStr">
        <is>
          <t>NYBRO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61316-2022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44915</v>
      </c>
      <c r="E464" s="1" t="n">
        <v>46248</v>
      </c>
      <c r="F464" t="inlineStr">
        <is>
          <t>KALMAR LÄN</t>
        </is>
      </c>
      <c r="G464" t="inlineStr">
        <is>
          <t>NYBRO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44939</v>
      </c>
      <c r="E465" s="1" t="n">
        <v>46248</v>
      </c>
      <c r="F465" t="inlineStr">
        <is>
          <t>KALMAR LÄN</t>
        </is>
      </c>
      <c r="G465" t="inlineStr">
        <is>
          <t>NYBRO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14534-2024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45394</v>
      </c>
      <c r="E466" s="1" t="n">
        <v>46248</v>
      </c>
      <c r="F466" t="inlineStr">
        <is>
          <t>KALMAR LÄN</t>
        </is>
      </c>
      <c r="G466" t="inlineStr">
        <is>
          <t>NYBRO</t>
        </is>
      </c>
      <c r="H466" t="inlineStr">
        <is>
          <t>Kommuner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45525</v>
      </c>
      <c r="E467" s="1" t="n">
        <v>46248</v>
      </c>
      <c r="F467" t="inlineStr">
        <is>
          <t>KALMAR LÄN</t>
        </is>
      </c>
      <c r="G467" t="inlineStr">
        <is>
          <t>NYBRO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23607-2022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44721</v>
      </c>
      <c r="E468" s="1" t="n">
        <v>46248</v>
      </c>
      <c r="F468" t="inlineStr">
        <is>
          <t>KALMAR LÄN</t>
        </is>
      </c>
      <c r="G468" t="inlineStr">
        <is>
          <t>NYBRO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46248</v>
      </c>
      <c r="F469" t="inlineStr">
        <is>
          <t>KALMAR LÄN</t>
        </is>
      </c>
      <c r="G469" t="inlineStr">
        <is>
          <t>NYBRO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58933-2022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46248</v>
      </c>
      <c r="F470" t="inlineStr">
        <is>
          <t>KALMAR LÄN</t>
        </is>
      </c>
      <c r="G470" t="inlineStr">
        <is>
          <t>NYBRO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49051-2021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44453</v>
      </c>
      <c r="E471" s="1" t="n">
        <v>46248</v>
      </c>
      <c r="F471" t="inlineStr">
        <is>
          <t>KALMAR LÄN</t>
        </is>
      </c>
      <c r="G471" t="inlineStr">
        <is>
          <t>NYBRO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45368</v>
      </c>
      <c r="E472" s="1" t="n">
        <v>46248</v>
      </c>
      <c r="F472" t="inlineStr">
        <is>
          <t>KALMAR LÄN</t>
        </is>
      </c>
      <c r="G472" t="inlineStr">
        <is>
          <t>NYBRO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10737-2024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46248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45313</v>
      </c>
      <c r="E474" s="1" t="n">
        <v>46248</v>
      </c>
      <c r="F474" t="inlineStr">
        <is>
          <t>KALMAR LÄN</t>
        </is>
      </c>
      <c r="G474" t="inlineStr">
        <is>
          <t>NYBRO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45079</v>
      </c>
      <c r="E475" s="1" t="n">
        <v>46248</v>
      </c>
      <c r="F475" t="inlineStr">
        <is>
          <t>KALMAR LÄN</t>
        </is>
      </c>
      <c r="G475" t="inlineStr">
        <is>
          <t>NYBRO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46248</v>
      </c>
      <c r="F476" t="inlineStr">
        <is>
          <t>KALMAR LÄN</t>
        </is>
      </c>
      <c r="G476" t="inlineStr">
        <is>
          <t>NYBRO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38059-2024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45544</v>
      </c>
      <c r="E477" s="1" t="n">
        <v>46248</v>
      </c>
      <c r="F477" t="inlineStr">
        <is>
          <t>KALMAR LÄN</t>
        </is>
      </c>
      <c r="G477" t="inlineStr">
        <is>
          <t>NYBRO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41649-2022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44827</v>
      </c>
      <c r="E478" s="1" t="n">
        <v>46248</v>
      </c>
      <c r="F478" t="inlineStr">
        <is>
          <t>KALMAR LÄN</t>
        </is>
      </c>
      <c r="G478" t="inlineStr">
        <is>
          <t>NYBRO</t>
        </is>
      </c>
      <c r="I478" t="n">
        <v>12.1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45090</v>
      </c>
      <c r="E479" s="1" t="n">
        <v>46248</v>
      </c>
      <c r="F479" t="inlineStr">
        <is>
          <t>KALMAR LÄN</t>
        </is>
      </c>
      <c r="G479" t="inlineStr">
        <is>
          <t>NYBRO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47435-2022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44853</v>
      </c>
      <c r="E480" s="1" t="n">
        <v>46248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45756</v>
      </c>
      <c r="E481" s="1" t="n">
        <v>46248</v>
      </c>
      <c r="F481" t="inlineStr">
        <is>
          <t>KALMAR LÄN</t>
        </is>
      </c>
      <c r="G481" t="inlineStr">
        <is>
          <t>NYBRO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56215-2022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44890</v>
      </c>
      <c r="E482" s="1" t="n">
        <v>46248</v>
      </c>
      <c r="F482" t="inlineStr">
        <is>
          <t>KALMAR LÄN</t>
        </is>
      </c>
      <c r="G482" t="inlineStr">
        <is>
          <t>NYBRO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45016</v>
      </c>
      <c r="E483" s="1" t="n">
        <v>46248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46248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44908</v>
      </c>
      <c r="E485" s="1" t="n">
        <v>46248</v>
      </c>
      <c r="F485" t="inlineStr">
        <is>
          <t>KALMAR LÄN</t>
        </is>
      </c>
      <c r="G485" t="inlineStr">
        <is>
          <t>NYBRO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46248</v>
      </c>
      <c r="F486" t="inlineStr">
        <is>
          <t>KALMAR LÄN</t>
        </is>
      </c>
      <c r="G486" t="inlineStr">
        <is>
          <t>NYBRO</t>
        </is>
      </c>
      <c r="H486" t="inlineStr">
        <is>
          <t>Kyrkan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45429</v>
      </c>
      <c r="E487" s="1" t="n">
        <v>46248</v>
      </c>
      <c r="F487" t="inlineStr">
        <is>
          <t>KALMAR LÄN</t>
        </is>
      </c>
      <c r="G487" t="inlineStr">
        <is>
          <t>NYBRO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41060-2022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46248</v>
      </c>
      <c r="F488" t="inlineStr">
        <is>
          <t>KALMAR LÄN</t>
        </is>
      </c>
      <c r="G488" t="inlineStr">
        <is>
          <t>NYBRO</t>
        </is>
      </c>
      <c r="I488" t="n">
        <v>18.6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46248</v>
      </c>
      <c r="F489" t="inlineStr">
        <is>
          <t>KALMAR LÄN</t>
        </is>
      </c>
      <c r="G489" t="inlineStr">
        <is>
          <t>NYBRO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41974-2024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46248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25838-2023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46248</v>
      </c>
      <c r="F491" t="inlineStr">
        <is>
          <t>KALMAR LÄN</t>
        </is>
      </c>
      <c r="G491" t="inlineStr">
        <is>
          <t>NYBRO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45110</v>
      </c>
      <c r="E492" s="1" t="n">
        <v>46248</v>
      </c>
      <c r="F492" t="inlineStr">
        <is>
          <t>KALMAR LÄN</t>
        </is>
      </c>
      <c r="G492" t="inlineStr">
        <is>
          <t>NYBRO</t>
        </is>
      </c>
      <c r="H492" t="inlineStr">
        <is>
          <t>Kyrkan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53614-2023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45223</v>
      </c>
      <c r="E493" s="1" t="n">
        <v>46248</v>
      </c>
      <c r="F493" t="inlineStr">
        <is>
          <t>KALMAR LÄN</t>
        </is>
      </c>
      <c r="G493" t="inlineStr">
        <is>
          <t>NYBRO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45078</v>
      </c>
      <c r="E494" s="1" t="n">
        <v>46248</v>
      </c>
      <c r="F494" t="inlineStr">
        <is>
          <t>KALMAR LÄN</t>
        </is>
      </c>
      <c r="G494" t="inlineStr">
        <is>
          <t>NYBRO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14586-2023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45013</v>
      </c>
      <c r="E495" s="1" t="n">
        <v>46248</v>
      </c>
      <c r="F495" t="inlineStr">
        <is>
          <t>KALMAR LÄN</t>
        </is>
      </c>
      <c r="G495" t="inlineStr">
        <is>
          <t>NYBRO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46248</v>
      </c>
      <c r="F496" t="inlineStr">
        <is>
          <t>KALMAR LÄN</t>
        </is>
      </c>
      <c r="G496" t="inlineStr">
        <is>
          <t>NYBRO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45210</v>
      </c>
      <c r="E497" s="1" t="n">
        <v>46248</v>
      </c>
      <c r="F497" t="inlineStr">
        <is>
          <t>KALMAR LÄN</t>
        </is>
      </c>
      <c r="G497" t="inlineStr">
        <is>
          <t>NYBRO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41846-2024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45561</v>
      </c>
      <c r="E498" s="1" t="n">
        <v>46248</v>
      </c>
      <c r="F498" t="inlineStr">
        <is>
          <t>KALMAR LÄN</t>
        </is>
      </c>
      <c r="G498" t="inlineStr">
        <is>
          <t>NYBRO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60794-2021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44497</v>
      </c>
      <c r="E499" s="1" t="n">
        <v>46248</v>
      </c>
      <c r="F499" t="inlineStr">
        <is>
          <t>KALMAR LÄN</t>
        </is>
      </c>
      <c r="G499" t="inlineStr">
        <is>
          <t>NYBRO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44900</v>
      </c>
      <c r="E500" s="1" t="n">
        <v>46248</v>
      </c>
      <c r="F500" t="inlineStr">
        <is>
          <t>KALMAR LÄN</t>
        </is>
      </c>
      <c r="G500" t="inlineStr">
        <is>
          <t>NYBRO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45072</v>
      </c>
      <c r="E501" s="1" t="n">
        <v>46248</v>
      </c>
      <c r="F501" t="inlineStr">
        <is>
          <t>KALMAR LÄN</t>
        </is>
      </c>
      <c r="G501" t="inlineStr">
        <is>
          <t>NYBRO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46248</v>
      </c>
      <c r="F502" t="inlineStr">
        <is>
          <t>KALMAR LÄN</t>
        </is>
      </c>
      <c r="G502" t="inlineStr">
        <is>
          <t>NYBRO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52367-2021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44465</v>
      </c>
      <c r="E503" s="1" t="n">
        <v>46248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46248</v>
      </c>
      <c r="F504" t="inlineStr">
        <is>
          <t>KALMAR LÄN</t>
        </is>
      </c>
      <c r="G504" t="inlineStr">
        <is>
          <t>NYBRO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46248</v>
      </c>
      <c r="F505" t="inlineStr">
        <is>
          <t>KALMAR LÄN</t>
        </is>
      </c>
      <c r="G505" t="inlineStr">
        <is>
          <t>NYBRO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45407</v>
      </c>
      <c r="E506" s="1" t="n">
        <v>46248</v>
      </c>
      <c r="F506" t="inlineStr">
        <is>
          <t>KALMAR LÄN</t>
        </is>
      </c>
      <c r="G506" t="inlineStr">
        <is>
          <t>NYBRO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46248</v>
      </c>
      <c r="F507" t="inlineStr">
        <is>
          <t>KALMAR LÄN</t>
        </is>
      </c>
      <c r="G507" t="inlineStr">
        <is>
          <t>NYBRO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46248</v>
      </c>
      <c r="F508" t="inlineStr">
        <is>
          <t>KALMAR LÄN</t>
        </is>
      </c>
      <c r="G508" t="inlineStr">
        <is>
          <t>NYBRO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46248</v>
      </c>
      <c r="F509" t="inlineStr">
        <is>
          <t>KALMAR LÄN</t>
        </is>
      </c>
      <c r="G509" t="inlineStr">
        <is>
          <t>NYBRO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60819-2022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44914</v>
      </c>
      <c r="E510" s="1" t="n">
        <v>46248</v>
      </c>
      <c r="F510" t="inlineStr">
        <is>
          <t>KALMAR LÄN</t>
        </is>
      </c>
      <c r="G510" t="inlineStr">
        <is>
          <t>NYBRO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60896-2022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44914</v>
      </c>
      <c r="E511" s="1" t="n">
        <v>46248</v>
      </c>
      <c r="F511" t="inlineStr">
        <is>
          <t>KALMAR LÄN</t>
        </is>
      </c>
      <c r="G511" t="inlineStr">
        <is>
          <t>NYBRO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44931</v>
      </c>
      <c r="E512" s="1" t="n">
        <v>46248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18586-2025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45763</v>
      </c>
      <c r="E513" s="1" t="n">
        <v>46248</v>
      </c>
      <c r="F513" t="inlineStr">
        <is>
          <t>KALMAR LÄN</t>
        </is>
      </c>
      <c r="G513" t="inlineStr">
        <is>
          <t>NYBRO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45477</v>
      </c>
      <c r="E514" s="1" t="n">
        <v>46248</v>
      </c>
      <c r="F514" t="inlineStr">
        <is>
          <t>KALMAR LÄN</t>
        </is>
      </c>
      <c r="G514" t="inlineStr">
        <is>
          <t>NYBRO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45072</v>
      </c>
      <c r="E515" s="1" t="n">
        <v>46248</v>
      </c>
      <c r="F515" t="inlineStr">
        <is>
          <t>KALMAR LÄN</t>
        </is>
      </c>
      <c r="G515" t="inlineStr">
        <is>
          <t>NYBRO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45551</v>
      </c>
      <c r="E516" s="1" t="n">
        <v>46248</v>
      </c>
      <c r="F516" t="inlineStr">
        <is>
          <t>KALMAR LÄN</t>
        </is>
      </c>
      <c r="G516" t="inlineStr">
        <is>
          <t>NYBRO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46248</v>
      </c>
      <c r="F517" t="inlineStr">
        <is>
          <t>KALMAR LÄN</t>
        </is>
      </c>
      <c r="G517" t="inlineStr">
        <is>
          <t>NYBRO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51081-2022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44868</v>
      </c>
      <c r="E518" s="1" t="n">
        <v>46248</v>
      </c>
      <c r="F518" t="inlineStr">
        <is>
          <t>KALMAR LÄN</t>
        </is>
      </c>
      <c r="G518" t="inlineStr">
        <is>
          <t>NYBRO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46248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28149-2023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45096</v>
      </c>
      <c r="E520" s="1" t="n">
        <v>46248</v>
      </c>
      <c r="F520" t="inlineStr">
        <is>
          <t>KALMAR LÄN</t>
        </is>
      </c>
      <c r="G520" t="inlineStr">
        <is>
          <t>NYBRO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9519-2024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45359</v>
      </c>
      <c r="E521" s="1" t="n">
        <v>46248</v>
      </c>
      <c r="F521" t="inlineStr">
        <is>
          <t>KALMAR LÄN</t>
        </is>
      </c>
      <c r="G521" t="inlineStr">
        <is>
          <t>NYBRO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46248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46248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50561-2022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44866</v>
      </c>
      <c r="E524" s="1" t="n">
        <v>46248</v>
      </c>
      <c r="F524" t="inlineStr">
        <is>
          <t>KALMAR LÄN</t>
        </is>
      </c>
      <c r="G524" t="inlineStr">
        <is>
          <t>NYBRO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46248</v>
      </c>
      <c r="F525" t="inlineStr">
        <is>
          <t>KALMAR LÄN</t>
        </is>
      </c>
      <c r="G525" t="inlineStr">
        <is>
          <t>NYBRO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46024-2023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45196</v>
      </c>
      <c r="E526" s="1" t="n">
        <v>46248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44779-2023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45190</v>
      </c>
      <c r="E527" s="1" t="n">
        <v>46248</v>
      </c>
      <c r="F527" t="inlineStr">
        <is>
          <t>KALMAR LÄN</t>
        </is>
      </c>
      <c r="G527" t="inlineStr">
        <is>
          <t>NYBRO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45408</v>
      </c>
      <c r="E528" s="1" t="n">
        <v>46248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42955-2021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44431</v>
      </c>
      <c r="E529" s="1" t="n">
        <v>46248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44832</v>
      </c>
      <c r="E530" s="1" t="n">
        <v>46248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45369</v>
      </c>
      <c r="E531" s="1" t="n">
        <v>46248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46248</v>
      </c>
      <c r="F532" t="inlineStr">
        <is>
          <t>KALMAR LÄN</t>
        </is>
      </c>
      <c r="G532" t="inlineStr">
        <is>
          <t>NYBRO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25717-2022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44733</v>
      </c>
      <c r="E533" s="1" t="n">
        <v>46248</v>
      </c>
      <c r="F533" t="inlineStr">
        <is>
          <t>KALMAR LÄN</t>
        </is>
      </c>
      <c r="G533" t="inlineStr">
        <is>
          <t>NYBRO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46248</v>
      </c>
      <c r="F534" t="inlineStr">
        <is>
          <t>KALMAR LÄN</t>
        </is>
      </c>
      <c r="G534" t="inlineStr">
        <is>
          <t>NYBRO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46248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45668</v>
      </c>
      <c r="E536" s="1" t="n">
        <v>46248</v>
      </c>
      <c r="F536" t="inlineStr">
        <is>
          <t>KALMAR LÄN</t>
        </is>
      </c>
      <c r="G536" t="inlineStr">
        <is>
          <t>NYBRO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45695</v>
      </c>
      <c r="E537" s="1" t="n">
        <v>46248</v>
      </c>
      <c r="F537" t="inlineStr">
        <is>
          <t>KALMAR LÄN</t>
        </is>
      </c>
      <c r="G537" t="inlineStr">
        <is>
          <t>NYBRO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46248</v>
      </c>
      <c r="F538" t="inlineStr">
        <is>
          <t>KALMAR LÄN</t>
        </is>
      </c>
      <c r="G538" t="inlineStr">
        <is>
          <t>NYBRO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61499-2022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44910</v>
      </c>
      <c r="E539" s="1" t="n">
        <v>46248</v>
      </c>
      <c r="F539" t="inlineStr">
        <is>
          <t>KALMAR LÄN</t>
        </is>
      </c>
      <c r="G539" t="inlineStr">
        <is>
          <t>NYBRO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50556-2022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46248</v>
      </c>
      <c r="F540" t="inlineStr">
        <is>
          <t>KALMAR LÄN</t>
        </is>
      </c>
      <c r="G540" t="inlineStr">
        <is>
          <t>NYBRO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45156</v>
      </c>
      <c r="E541" s="1" t="n">
        <v>46248</v>
      </c>
      <c r="F541" t="inlineStr">
        <is>
          <t>KALMAR LÄN</t>
        </is>
      </c>
      <c r="G541" t="inlineStr">
        <is>
          <t>NYBRO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29715-2022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44755</v>
      </c>
      <c r="E542" s="1" t="n">
        <v>46248</v>
      </c>
      <c r="F542" t="inlineStr">
        <is>
          <t>KALMAR LÄN</t>
        </is>
      </c>
      <c r="G542" t="inlineStr">
        <is>
          <t>NYBRO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44594</v>
      </c>
      <c r="E543" s="1" t="n">
        <v>46248</v>
      </c>
      <c r="F543" t="inlineStr">
        <is>
          <t>KALMAR LÄN</t>
        </is>
      </c>
      <c r="G543" t="inlineStr">
        <is>
          <t>NYBRO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46248</v>
      </c>
      <c r="F544" t="inlineStr">
        <is>
          <t>KALMAR LÄN</t>
        </is>
      </c>
      <c r="G544" t="inlineStr">
        <is>
          <t>NYBRO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34362-2024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45525</v>
      </c>
      <c r="E545" s="1" t="n">
        <v>46248</v>
      </c>
      <c r="F545" t="inlineStr">
        <is>
          <t>KALMAR LÄN</t>
        </is>
      </c>
      <c r="G545" t="inlineStr">
        <is>
          <t>NYBRO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44566</v>
      </c>
      <c r="E546" s="1" t="n">
        <v>46248</v>
      </c>
      <c r="F546" t="inlineStr">
        <is>
          <t>KALMAR LÄN</t>
        </is>
      </c>
      <c r="G546" t="inlineStr">
        <is>
          <t>NYBRO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46248</v>
      </c>
      <c r="F547" t="inlineStr">
        <is>
          <t>KALMAR LÄN</t>
        </is>
      </c>
      <c r="G547" t="inlineStr">
        <is>
          <t>NYBRO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46248</v>
      </c>
      <c r="F548" t="inlineStr">
        <is>
          <t>KALMAR LÄN</t>
        </is>
      </c>
      <c r="G548" t="inlineStr">
        <is>
          <t>NYBRO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11621-2024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45373</v>
      </c>
      <c r="E549" s="1" t="n">
        <v>46248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45085</v>
      </c>
      <c r="E550" s="1" t="n">
        <v>46248</v>
      </c>
      <c r="F550" t="inlineStr">
        <is>
          <t>KALMAR LÄN</t>
        </is>
      </c>
      <c r="G550" t="inlineStr">
        <is>
          <t>NYBRO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50723-2023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46248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60030-2022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44909</v>
      </c>
      <c r="E552" s="1" t="n">
        <v>46248</v>
      </c>
      <c r="F552" t="inlineStr">
        <is>
          <t>KALMAR LÄN</t>
        </is>
      </c>
      <c r="G552" t="inlineStr">
        <is>
          <t>NYBRO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44909</v>
      </c>
      <c r="E553" s="1" t="n">
        <v>46248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46248</v>
      </c>
      <c r="F554" t="inlineStr">
        <is>
          <t>KALMAR LÄN</t>
        </is>
      </c>
      <c r="G554" t="inlineStr">
        <is>
          <t>NYBRO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13930-2025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45737</v>
      </c>
      <c r="E555" s="1" t="n">
        <v>46248</v>
      </c>
      <c r="F555" t="inlineStr">
        <is>
          <t>KALMAR LÄN</t>
        </is>
      </c>
      <c r="G555" t="inlineStr">
        <is>
          <t>NYBRO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46248</v>
      </c>
      <c r="F556" t="inlineStr">
        <is>
          <t>KALMAR LÄN</t>
        </is>
      </c>
      <c r="G556" t="inlineStr">
        <is>
          <t>NYBRO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52137-2021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44463</v>
      </c>
      <c r="E557" s="1" t="n">
        <v>46248</v>
      </c>
      <c r="F557" t="inlineStr">
        <is>
          <t>KALMAR LÄN</t>
        </is>
      </c>
      <c r="G557" t="inlineStr">
        <is>
          <t>NYBRO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51449-2024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46248</v>
      </c>
      <c r="F558" t="inlineStr">
        <is>
          <t>KALMAR LÄN</t>
        </is>
      </c>
      <c r="G558" t="inlineStr">
        <is>
          <t>NYBRO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63260-2021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44505</v>
      </c>
      <c r="E559" s="1" t="n">
        <v>46248</v>
      </c>
      <c r="F559" t="inlineStr">
        <is>
          <t>KALMAR LÄN</t>
        </is>
      </c>
      <c r="G559" t="inlineStr">
        <is>
          <t>NYBRO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59837-2023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45253</v>
      </c>
      <c r="E560" s="1" t="n">
        <v>46248</v>
      </c>
      <c r="F560" t="inlineStr">
        <is>
          <t>KALMAR LÄN</t>
        </is>
      </c>
      <c r="G560" t="inlineStr">
        <is>
          <t>NYBRO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51448-2024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46248</v>
      </c>
      <c r="F561" t="inlineStr">
        <is>
          <t>KALMAR LÄN</t>
        </is>
      </c>
      <c r="G561" t="inlineStr">
        <is>
          <t>NYBRO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46248</v>
      </c>
      <c r="F562" t="inlineStr">
        <is>
          <t>KALMAR LÄN</t>
        </is>
      </c>
      <c r="G562" t="inlineStr">
        <is>
          <t>NYBRO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55723-2023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45239</v>
      </c>
      <c r="E563" s="1" t="n">
        <v>46248</v>
      </c>
      <c r="F563" t="inlineStr">
        <is>
          <t>KALMAR LÄN</t>
        </is>
      </c>
      <c r="G563" t="inlineStr">
        <is>
          <t>NYBRO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58761-2021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44489</v>
      </c>
      <c r="E564" s="1" t="n">
        <v>46248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45089</v>
      </c>
      <c r="E565" s="1" t="n">
        <v>46248</v>
      </c>
      <c r="F565" t="inlineStr">
        <is>
          <t>KALMAR LÄN</t>
        </is>
      </c>
      <c r="G565" t="inlineStr">
        <is>
          <t>NYBRO</t>
        </is>
      </c>
      <c r="H565" t="inlineStr">
        <is>
          <t>Kommuner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45079</v>
      </c>
      <c r="E566" s="1" t="n">
        <v>46248</v>
      </c>
      <c r="F566" t="inlineStr">
        <is>
          <t>KALMAR LÄN</t>
        </is>
      </c>
      <c r="G566" t="inlineStr">
        <is>
          <t>NYBRO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40347-2023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45169</v>
      </c>
      <c r="E567" s="1" t="n">
        <v>46248</v>
      </c>
      <c r="F567" t="inlineStr">
        <is>
          <t>KALMAR LÄN</t>
        </is>
      </c>
      <c r="G567" t="inlineStr">
        <is>
          <t>NYBRO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46248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39458-2023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46248</v>
      </c>
      <c r="F569" t="inlineStr">
        <is>
          <t>KALMAR LÄN</t>
        </is>
      </c>
      <c r="G569" t="inlineStr">
        <is>
          <t>NYBRO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45812</v>
      </c>
      <c r="E570" s="1" t="n">
        <v>46248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51305-2024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45603</v>
      </c>
      <c r="E571" s="1" t="n">
        <v>46248</v>
      </c>
      <c r="F571" t="inlineStr">
        <is>
          <t>KALMAR LÄN</t>
        </is>
      </c>
      <c r="G571" t="inlineStr">
        <is>
          <t>NYBRO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46248</v>
      </c>
      <c r="F572" t="inlineStr">
        <is>
          <t>KALMAR LÄN</t>
        </is>
      </c>
      <c r="G572" t="inlineStr">
        <is>
          <t>NYBRO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45123</v>
      </c>
      <c r="E573" s="1" t="n">
        <v>46248</v>
      </c>
      <c r="F573" t="inlineStr">
        <is>
          <t>KALMAR LÄN</t>
        </is>
      </c>
      <c r="G573" t="inlineStr">
        <is>
          <t>NYBRO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33035-2022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44785</v>
      </c>
      <c r="E574" s="1" t="n">
        <v>46248</v>
      </c>
      <c r="F574" t="inlineStr">
        <is>
          <t>KALMAR LÄN</t>
        </is>
      </c>
      <c r="G574" t="inlineStr">
        <is>
          <t>NYBRO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46248</v>
      </c>
      <c r="F575" t="inlineStr">
        <is>
          <t>KALMAR LÄN</t>
        </is>
      </c>
      <c r="G575" t="inlineStr">
        <is>
          <t>NYBRO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38623-2023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45162</v>
      </c>
      <c r="E576" s="1" t="n">
        <v>46248</v>
      </c>
      <c r="F576" t="inlineStr">
        <is>
          <t>KALMAR LÄN</t>
        </is>
      </c>
      <c r="G576" t="inlineStr">
        <is>
          <t>NYBRO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44982</v>
      </c>
      <c r="E577" s="1" t="n">
        <v>46248</v>
      </c>
      <c r="F577" t="inlineStr">
        <is>
          <t>KALMAR LÄN</t>
        </is>
      </c>
      <c r="G577" t="inlineStr">
        <is>
          <t>NYBRO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45818</v>
      </c>
      <c r="E578" s="1" t="n">
        <v>46248</v>
      </c>
      <c r="F578" t="inlineStr">
        <is>
          <t>KALMAR LÄN</t>
        </is>
      </c>
      <c r="G578" t="inlineStr">
        <is>
          <t>NYBRO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53681-2022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44880</v>
      </c>
      <c r="E579" s="1" t="n">
        <v>46248</v>
      </c>
      <c r="F579" t="inlineStr">
        <is>
          <t>KALMAR LÄN</t>
        </is>
      </c>
      <c r="G579" t="inlineStr">
        <is>
          <t>NYBRO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58455-2021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44488</v>
      </c>
      <c r="E580" s="1" t="n">
        <v>46248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23202-2025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46248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45849</v>
      </c>
      <c r="E582" s="1" t="n">
        <v>46248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45821</v>
      </c>
      <c r="E583" s="1" t="n">
        <v>46248</v>
      </c>
      <c r="F583" t="inlineStr">
        <is>
          <t>KALMAR LÄN</t>
        </is>
      </c>
      <c r="G583" t="inlineStr">
        <is>
          <t>NYBRO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59836-2023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45253</v>
      </c>
      <c r="E584" s="1" t="n">
        <v>46248</v>
      </c>
      <c r="F584" t="inlineStr">
        <is>
          <t>KALMAR LÄN</t>
        </is>
      </c>
      <c r="G584" t="inlineStr">
        <is>
          <t>NYBRO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13926-2025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45737</v>
      </c>
      <c r="E585" s="1" t="n">
        <v>46248</v>
      </c>
      <c r="F585" t="inlineStr">
        <is>
          <t>KALMAR LÄN</t>
        </is>
      </c>
      <c r="G585" t="inlineStr">
        <is>
          <t>NYBRO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46248</v>
      </c>
      <c r="F586" t="inlineStr">
        <is>
          <t>KALMAR LÄN</t>
        </is>
      </c>
      <c r="G586" t="inlineStr">
        <is>
          <t>NYBRO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29586-2025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46248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45089</v>
      </c>
      <c r="E588" s="1" t="n">
        <v>46248</v>
      </c>
      <c r="F588" t="inlineStr">
        <is>
          <t>KALMAR LÄN</t>
        </is>
      </c>
      <c r="G588" t="inlineStr">
        <is>
          <t>NYBRO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45824</v>
      </c>
      <c r="E589" s="1" t="n">
        <v>46248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45849</v>
      </c>
      <c r="E590" s="1" t="n">
        <v>46248</v>
      </c>
      <c r="F590" t="inlineStr">
        <is>
          <t>KALMAR LÄN</t>
        </is>
      </c>
      <c r="G590" t="inlineStr">
        <is>
          <t>NYBRO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46248</v>
      </c>
      <c r="F591" t="inlineStr">
        <is>
          <t>KALMAR LÄN</t>
        </is>
      </c>
      <c r="G591" t="inlineStr">
        <is>
          <t>NYBRO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8150-2022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44609</v>
      </c>
      <c r="E592" s="1" t="n">
        <v>46248</v>
      </c>
      <c r="F592" t="inlineStr">
        <is>
          <t>KALMAR LÄN</t>
        </is>
      </c>
      <c r="G592" t="inlineStr">
        <is>
          <t>NYBRO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46248</v>
      </c>
      <c r="F593" t="inlineStr">
        <is>
          <t>KALMAR LÄN</t>
        </is>
      </c>
      <c r="G593" t="inlineStr">
        <is>
          <t>NYBRO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45208</v>
      </c>
      <c r="E594" s="1" t="n">
        <v>46248</v>
      </c>
      <c r="F594" t="inlineStr">
        <is>
          <t>KALMAR LÄN</t>
        </is>
      </c>
      <c r="G594" t="inlineStr">
        <is>
          <t>NYBRO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6195-2025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45698</v>
      </c>
      <c r="E595" s="1" t="n">
        <v>46248</v>
      </c>
      <c r="F595" t="inlineStr">
        <is>
          <t>KALMAR LÄN</t>
        </is>
      </c>
      <c r="G595" t="inlineStr">
        <is>
          <t>NYBRO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46248</v>
      </c>
      <c r="F596" t="inlineStr">
        <is>
          <t>KALMAR LÄN</t>
        </is>
      </c>
      <c r="G596" t="inlineStr">
        <is>
          <t>NYBRO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45577</v>
      </c>
      <c r="E597" s="1" t="n">
        <v>46248</v>
      </c>
      <c r="F597" t="inlineStr">
        <is>
          <t>KALMAR LÄN</t>
        </is>
      </c>
      <c r="G597" t="inlineStr">
        <is>
          <t>NYBRO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45478</v>
      </c>
      <c r="E598" s="1" t="n">
        <v>46248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45534</v>
      </c>
      <c r="E599" s="1" t="n">
        <v>46248</v>
      </c>
      <c r="F599" t="inlineStr">
        <is>
          <t>KALMAR LÄN</t>
        </is>
      </c>
      <c r="G599" t="inlineStr">
        <is>
          <t>NYBRO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45342</v>
      </c>
      <c r="E600" s="1" t="n">
        <v>46248</v>
      </c>
      <c r="F600" t="inlineStr">
        <is>
          <t>KALMAR LÄN</t>
        </is>
      </c>
      <c r="G600" t="inlineStr">
        <is>
          <t>NYBRO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45859</v>
      </c>
      <c r="E601" s="1" t="n">
        <v>46248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43909-2025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45914</v>
      </c>
      <c r="E602" s="1" t="n">
        <v>46248</v>
      </c>
      <c r="F602" t="inlineStr">
        <is>
          <t>KALMAR LÄN</t>
        </is>
      </c>
      <c r="G602" t="inlineStr">
        <is>
          <t>NYBRO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47616-2025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45930</v>
      </c>
      <c r="E603" s="1" t="n">
        <v>46248</v>
      </c>
      <c r="F603" t="inlineStr">
        <is>
          <t>KALMAR LÄN</t>
        </is>
      </c>
      <c r="G603" t="inlineStr">
        <is>
          <t>NYBRO</t>
        </is>
      </c>
      <c r="H603" t="inlineStr">
        <is>
          <t>Kyrkan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29544-2024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45484</v>
      </c>
      <c r="E604" s="1" t="n">
        <v>46248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7789-2025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46248</v>
      </c>
      <c r="F605" t="inlineStr">
        <is>
          <t>KALMAR LÄN</t>
        </is>
      </c>
      <c r="G605" t="inlineStr">
        <is>
          <t>NYBRO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46248</v>
      </c>
      <c r="F606" t="inlineStr">
        <is>
          <t>KALMAR LÄN</t>
        </is>
      </c>
      <c r="G606" t="inlineStr">
        <is>
          <t>NYBRO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46248</v>
      </c>
      <c r="F607" t="inlineStr">
        <is>
          <t>KALMAR LÄN</t>
        </is>
      </c>
      <c r="G607" t="inlineStr">
        <is>
          <t>NYBRO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56895-2024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45628</v>
      </c>
      <c r="E608" s="1" t="n">
        <v>46248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45756</v>
      </c>
      <c r="E609" s="1" t="n">
        <v>46248</v>
      </c>
      <c r="F609" t="inlineStr">
        <is>
          <t>KALMAR LÄN</t>
        </is>
      </c>
      <c r="G609" t="inlineStr">
        <is>
          <t>NYBRO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20621-2022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44700</v>
      </c>
      <c r="E610" s="1" t="n">
        <v>46248</v>
      </c>
      <c r="F610" t="inlineStr">
        <is>
          <t>KALMAR LÄN</t>
        </is>
      </c>
      <c r="G610" t="inlineStr">
        <is>
          <t>NYBRO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45834</v>
      </c>
      <c r="E611" s="1" t="n">
        <v>46248</v>
      </c>
      <c r="F611" t="inlineStr">
        <is>
          <t>KALMAR LÄN</t>
        </is>
      </c>
      <c r="G611" t="inlineStr">
        <is>
          <t>NYBRO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31747-2025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45834</v>
      </c>
      <c r="E612" s="1" t="n">
        <v>46248</v>
      </c>
      <c r="F612" t="inlineStr">
        <is>
          <t>KALMAR LÄN</t>
        </is>
      </c>
      <c r="G612" t="inlineStr">
        <is>
          <t>NYBRO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10289-2022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44622</v>
      </c>
      <c r="E613" s="1" t="n">
        <v>46248</v>
      </c>
      <c r="F613" t="inlineStr">
        <is>
          <t>KALMAR LÄN</t>
        </is>
      </c>
      <c r="G613" t="inlineStr">
        <is>
          <t>NYBRO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31707-2025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45834</v>
      </c>
      <c r="E614" s="1" t="n">
        <v>46248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56103-2023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45240</v>
      </c>
      <c r="E615" s="1" t="n">
        <v>46248</v>
      </c>
      <c r="F615" t="inlineStr">
        <is>
          <t>KALMAR LÄN</t>
        </is>
      </c>
      <c r="G615" t="inlineStr">
        <is>
          <t>NYBRO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46248</v>
      </c>
      <c r="F616" t="inlineStr">
        <is>
          <t>KALMAR LÄN</t>
        </is>
      </c>
      <c r="G616" t="inlineStr">
        <is>
          <t>NYBRO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51588-2025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45951</v>
      </c>
      <c r="E617" s="1" t="n">
        <v>46248</v>
      </c>
      <c r="F617" t="inlineStr">
        <is>
          <t>KALMAR LÄN</t>
        </is>
      </c>
      <c r="G617" t="inlineStr">
        <is>
          <t>NYBRO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35931-2025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45862</v>
      </c>
      <c r="E618" s="1" t="n">
        <v>46248</v>
      </c>
      <c r="F618" t="inlineStr">
        <is>
          <t>KALMAR LÄN</t>
        </is>
      </c>
      <c r="G618" t="inlineStr">
        <is>
          <t>NYBRO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54616-2025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45966</v>
      </c>
      <c r="E619" s="1" t="n">
        <v>46248</v>
      </c>
      <c r="F619" t="inlineStr">
        <is>
          <t>KALMAR LÄN</t>
        </is>
      </c>
      <c r="G619" t="inlineStr">
        <is>
          <t>NYBRO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49912-2022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44865</v>
      </c>
      <c r="E620" s="1" t="n">
        <v>46248</v>
      </c>
      <c r="F620" t="inlineStr">
        <is>
          <t>KALMAR LÄN</t>
        </is>
      </c>
      <c r="G620" t="inlineStr">
        <is>
          <t>NYBRO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45744</v>
      </c>
      <c r="E621" s="1" t="n">
        <v>46248</v>
      </c>
      <c r="F621" t="inlineStr">
        <is>
          <t>KALMAR LÄN</t>
        </is>
      </c>
      <c r="G621" t="inlineStr">
        <is>
          <t>NYBRO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28756-2025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45820</v>
      </c>
      <c r="E622" s="1" t="n">
        <v>46248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18219-2025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46248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45841</v>
      </c>
      <c r="E624" s="1" t="n">
        <v>46248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45894</v>
      </c>
      <c r="E625" s="1" t="n">
        <v>46248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40077-2025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45894</v>
      </c>
      <c r="E626" s="1" t="n">
        <v>46248</v>
      </c>
      <c r="F626" t="inlineStr">
        <is>
          <t>KALMAR LÄN</t>
        </is>
      </c>
      <c r="G626" t="inlineStr">
        <is>
          <t>NYBRO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32344-2025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46248</v>
      </c>
      <c r="F627" t="inlineStr">
        <is>
          <t>KALMAR LÄN</t>
        </is>
      </c>
      <c r="G627" t="inlineStr">
        <is>
          <t>NYBRO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45837</v>
      </c>
      <c r="E628" s="1" t="n">
        <v>46248</v>
      </c>
      <c r="F628" t="inlineStr">
        <is>
          <t>KALMAR LÄN</t>
        </is>
      </c>
      <c r="G628" t="inlineStr">
        <is>
          <t>NYBRO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46248</v>
      </c>
      <c r="F629" t="inlineStr">
        <is>
          <t>KALMAR LÄN</t>
        </is>
      </c>
      <c r="G629" t="inlineStr">
        <is>
          <t>NYBRO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38780-2025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45887</v>
      </c>
      <c r="E630" s="1" t="n">
        <v>46248</v>
      </c>
      <c r="F630" t="inlineStr">
        <is>
          <t>KALMAR LÄN</t>
        </is>
      </c>
      <c r="G630" t="inlineStr">
        <is>
          <t>NYBRO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24710-2025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45798</v>
      </c>
      <c r="E631" s="1" t="n">
        <v>46248</v>
      </c>
      <c r="F631" t="inlineStr">
        <is>
          <t>KALMAR LÄN</t>
        </is>
      </c>
      <c r="G631" t="inlineStr">
        <is>
          <t>NYBRO</t>
        </is>
      </c>
      <c r="I631" t="n">
        <v>16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20646-2026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46248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36162-2024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45534</v>
      </c>
      <c r="E633" s="1" t="n">
        <v>46248</v>
      </c>
      <c r="F633" t="inlineStr">
        <is>
          <t>KALMAR LÄN</t>
        </is>
      </c>
      <c r="G633" t="inlineStr">
        <is>
          <t>NYBRO</t>
        </is>
      </c>
      <c r="I633" t="n">
        <v>13.2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54249-2024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45616</v>
      </c>
      <c r="E634" s="1" t="n">
        <v>46248</v>
      </c>
      <c r="F634" t="inlineStr">
        <is>
          <t>KALMAR LÄN</t>
        </is>
      </c>
      <c r="G634" t="inlineStr">
        <is>
          <t>NYBRO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54245-2024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45616</v>
      </c>
      <c r="E635" s="1" t="n">
        <v>46248</v>
      </c>
      <c r="F635" t="inlineStr">
        <is>
          <t>KALMAR LÄN</t>
        </is>
      </c>
      <c r="G635" t="inlineStr">
        <is>
          <t>NYBRO</t>
        </is>
      </c>
      <c r="I635" t="n">
        <v>10.1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46248</v>
      </c>
      <c r="F636" t="inlineStr">
        <is>
          <t>KALMAR LÄN</t>
        </is>
      </c>
      <c r="G636" t="inlineStr">
        <is>
          <t>NYBRO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45327</v>
      </c>
      <c r="E637" s="1" t="n">
        <v>46248</v>
      </c>
      <c r="F637" t="inlineStr">
        <is>
          <t>KALMAR LÄN</t>
        </is>
      </c>
      <c r="G637" t="inlineStr">
        <is>
          <t>NYBRO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27930-2025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45817</v>
      </c>
      <c r="E638" s="1" t="n">
        <v>46248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44973</v>
      </c>
      <c r="E639" s="1" t="n">
        <v>46248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42277-2023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45175</v>
      </c>
      <c r="E640" s="1" t="n">
        <v>46248</v>
      </c>
      <c r="F640" t="inlineStr">
        <is>
          <t>KALMAR LÄN</t>
        </is>
      </c>
      <c r="G640" t="inlineStr">
        <is>
          <t>NYBRO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34346-2025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45846</v>
      </c>
      <c r="E641" s="1" t="n">
        <v>46248</v>
      </c>
      <c r="F641" t="inlineStr">
        <is>
          <t>KALMAR LÄN</t>
        </is>
      </c>
      <c r="G641" t="inlineStr">
        <is>
          <t>NYBRO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46248</v>
      </c>
      <c r="F642" t="inlineStr">
        <is>
          <t>KALMAR LÄN</t>
        </is>
      </c>
      <c r="G642" t="inlineStr">
        <is>
          <t>NYBRO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45308</v>
      </c>
      <c r="E643" s="1" t="n">
        <v>46248</v>
      </c>
      <c r="F643" t="inlineStr">
        <is>
          <t>KALMAR LÄN</t>
        </is>
      </c>
      <c r="G643" t="inlineStr">
        <is>
          <t>NYBRO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20642-2026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46141</v>
      </c>
      <c r="E644" s="1" t="n">
        <v>46248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45149</v>
      </c>
      <c r="E645" s="1" t="n">
        <v>46248</v>
      </c>
      <c r="F645" t="inlineStr">
        <is>
          <t>KALMAR LÄN</t>
        </is>
      </c>
      <c r="G645" t="inlineStr">
        <is>
          <t>NYBRO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20643-2026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46248</v>
      </c>
      <c r="F646" t="inlineStr">
        <is>
          <t>KALMAR LÄN</t>
        </is>
      </c>
      <c r="G646" t="inlineStr">
        <is>
          <t>NYBRO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45852</v>
      </c>
      <c r="E647" s="1" t="n">
        <v>46248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49096-2023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45210</v>
      </c>
      <c r="E648" s="1" t="n">
        <v>46248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53999-2022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44881</v>
      </c>
      <c r="E649" s="1" t="n">
        <v>46248</v>
      </c>
      <c r="F649" t="inlineStr">
        <is>
          <t>KALMAR LÄN</t>
        </is>
      </c>
      <c r="G649" t="inlineStr">
        <is>
          <t>NYBRO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45392</v>
      </c>
      <c r="E650" s="1" t="n">
        <v>46248</v>
      </c>
      <c r="F650" t="inlineStr">
        <is>
          <t>KALMAR LÄN</t>
        </is>
      </c>
      <c r="G650" t="inlineStr">
        <is>
          <t>NYBRO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35522-2025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45856</v>
      </c>
      <c r="E651" s="1" t="n">
        <v>46248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41635-2023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45175</v>
      </c>
      <c r="E652" s="1" t="n">
        <v>46248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35521-2025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45856</v>
      </c>
      <c r="E653" s="1" t="n">
        <v>46248</v>
      </c>
      <c r="F653" t="inlineStr">
        <is>
          <t>KALMAR LÄN</t>
        </is>
      </c>
      <c r="G653" t="inlineStr">
        <is>
          <t>NYBRO</t>
        </is>
      </c>
      <c r="H653" t="inlineStr">
        <is>
          <t>Sveaskog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45371</v>
      </c>
      <c r="E654" s="1" t="n">
        <v>46248</v>
      </c>
      <c r="F654" t="inlineStr">
        <is>
          <t>KALMAR LÄN</t>
        </is>
      </c>
      <c r="G654" t="inlineStr">
        <is>
          <t>NYBRO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27610-2022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44743</v>
      </c>
      <c r="E655" s="1" t="n">
        <v>46248</v>
      </c>
      <c r="F655" t="inlineStr">
        <is>
          <t>KALMAR LÄN</t>
        </is>
      </c>
      <c r="G655" t="inlineStr">
        <is>
          <t>NYBRO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5355-2022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44594</v>
      </c>
      <c r="E656" s="1" t="n">
        <v>46248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3428-2024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45320</v>
      </c>
      <c r="E657" s="1" t="n">
        <v>46248</v>
      </c>
      <c r="F657" t="inlineStr">
        <is>
          <t>KALMAR LÄN</t>
        </is>
      </c>
      <c r="G657" t="inlineStr">
        <is>
          <t>NYBRO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45818</v>
      </c>
      <c r="E658" s="1" t="n">
        <v>46248</v>
      </c>
      <c r="F658" t="inlineStr">
        <is>
          <t>KALMAR LÄN</t>
        </is>
      </c>
      <c r="G658" t="inlineStr">
        <is>
          <t>NYBRO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14371-2025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45741</v>
      </c>
      <c r="E659" s="1" t="n">
        <v>46248</v>
      </c>
      <c r="F659" t="inlineStr">
        <is>
          <t>KALMAR LÄN</t>
        </is>
      </c>
      <c r="G659" t="inlineStr">
        <is>
          <t>NYBRO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54255-2024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46248</v>
      </c>
      <c r="F660" t="inlineStr">
        <is>
          <t>KALMAR LÄN</t>
        </is>
      </c>
      <c r="G660" t="inlineStr">
        <is>
          <t>NYBRO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45681</v>
      </c>
      <c r="E661" s="1" t="n">
        <v>46248</v>
      </c>
      <c r="F661" t="inlineStr">
        <is>
          <t>KALMAR LÄN</t>
        </is>
      </c>
      <c r="G661" t="inlineStr">
        <is>
          <t>NYBRO</t>
        </is>
      </c>
      <c r="H661" t="inlineStr">
        <is>
          <t>Kyrkan</t>
        </is>
      </c>
      <c r="I661" t="n">
        <v>7.7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54341-2022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44882</v>
      </c>
      <c r="E662" s="1" t="n">
        <v>46248</v>
      </c>
      <c r="F662" t="inlineStr">
        <is>
          <t>KALMAR LÄN</t>
        </is>
      </c>
      <c r="G662" t="inlineStr">
        <is>
          <t>NYBRO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45852</v>
      </c>
      <c r="E663" s="1" t="n">
        <v>46248</v>
      </c>
      <c r="F663" t="inlineStr">
        <is>
          <t>KALMAR LÄN</t>
        </is>
      </c>
      <c r="G663" t="inlineStr">
        <is>
          <t>NYBRO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45679</v>
      </c>
      <c r="E664" s="1" t="n">
        <v>46248</v>
      </c>
      <c r="F664" t="inlineStr">
        <is>
          <t>KALMAR LÄN</t>
        </is>
      </c>
      <c r="G664" t="inlineStr">
        <is>
          <t>NYBRO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47270-2024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45586</v>
      </c>
      <c r="E665" s="1" t="n">
        <v>46248</v>
      </c>
      <c r="F665" t="inlineStr">
        <is>
          <t>KALMAR LÄN</t>
        </is>
      </c>
      <c r="G665" t="inlineStr">
        <is>
          <t>NYBRO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44606</v>
      </c>
      <c r="E666" s="1" t="n">
        <v>46248</v>
      </c>
      <c r="F666" t="inlineStr">
        <is>
          <t>KALMAR LÄN</t>
        </is>
      </c>
      <c r="G666" t="inlineStr">
        <is>
          <t>NYBRO</t>
        </is>
      </c>
      <c r="I666" t="n">
        <v>6.2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45545</v>
      </c>
      <c r="E667" s="1" t="n">
        <v>46248</v>
      </c>
      <c r="F667" t="inlineStr">
        <is>
          <t>KALMAR LÄN</t>
        </is>
      </c>
      <c r="G667" t="inlineStr">
        <is>
          <t>NYBRO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22974-2024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45449</v>
      </c>
      <c r="E668" s="1" t="n">
        <v>46248</v>
      </c>
      <c r="F668" t="inlineStr">
        <is>
          <t>KALMAR LÄN</t>
        </is>
      </c>
      <c r="G668" t="inlineStr">
        <is>
          <t>NYBRO</t>
        </is>
      </c>
      <c r="I668" t="n">
        <v>8.4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22435-2023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45070</v>
      </c>
      <c r="E669" s="1" t="n">
        <v>46248</v>
      </c>
      <c r="F669" t="inlineStr">
        <is>
          <t>KALMAR LÄN</t>
        </is>
      </c>
      <c r="G669" t="inlineStr">
        <is>
          <t>NYBRO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50586-2024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45601</v>
      </c>
      <c r="E670" s="1" t="n">
        <v>46248</v>
      </c>
      <c r="F670" t="inlineStr">
        <is>
          <t>KALMAR LÄN</t>
        </is>
      </c>
      <c r="G670" t="inlineStr">
        <is>
          <t>NYBRO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27966-2024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45476</v>
      </c>
      <c r="E671" s="1" t="n">
        <v>46248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37845-2025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45881</v>
      </c>
      <c r="E672" s="1" t="n">
        <v>46248</v>
      </c>
      <c r="F672" t="inlineStr">
        <is>
          <t>KALMAR LÄN</t>
        </is>
      </c>
      <c r="G672" t="inlineStr">
        <is>
          <t>NYBRO</t>
        </is>
      </c>
      <c r="H672" t="inlineStr">
        <is>
          <t>Kommuner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45489</v>
      </c>
      <c r="E673" s="1" t="n">
        <v>46248</v>
      </c>
      <c r="F673" t="inlineStr">
        <is>
          <t>KALMAR LÄN</t>
        </is>
      </c>
      <c r="G673" t="inlineStr">
        <is>
          <t>NYBRO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37559-2025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46248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37556-2025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46248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47335-2024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45587</v>
      </c>
      <c r="E676" s="1" t="n">
        <v>46248</v>
      </c>
      <c r="F676" t="inlineStr">
        <is>
          <t>KALMAR LÄN</t>
        </is>
      </c>
      <c r="G676" t="inlineStr">
        <is>
          <t>NYBRO</t>
        </is>
      </c>
      <c r="I676" t="n">
        <v>8.699999999999999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38202-2025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45882</v>
      </c>
      <c r="E677" s="1" t="n">
        <v>46248</v>
      </c>
      <c r="F677" t="inlineStr">
        <is>
          <t>KALMAR LÄN</t>
        </is>
      </c>
      <c r="G677" t="inlineStr">
        <is>
          <t>NYBRO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45882</v>
      </c>
      <c r="E678" s="1" t="n">
        <v>46248</v>
      </c>
      <c r="F678" t="inlineStr">
        <is>
          <t>KALMAR LÄN</t>
        </is>
      </c>
      <c r="G678" t="inlineStr">
        <is>
          <t>NYBRO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38399-2025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45883</v>
      </c>
      <c r="E679" s="1" t="n">
        <v>46248</v>
      </c>
      <c r="F679" t="inlineStr">
        <is>
          <t>KALMAR LÄN</t>
        </is>
      </c>
      <c r="G679" t="inlineStr">
        <is>
          <t>NYBRO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38413-2025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45883</v>
      </c>
      <c r="E680" s="1" t="n">
        <v>46248</v>
      </c>
      <c r="F680" t="inlineStr">
        <is>
          <t>KALMAR LÄN</t>
        </is>
      </c>
      <c r="G680" t="inlineStr">
        <is>
          <t>NYBRO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22093-2026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46248</v>
      </c>
      <c r="F681" t="inlineStr">
        <is>
          <t>KALMAR LÄN</t>
        </is>
      </c>
      <c r="G681" t="inlineStr">
        <is>
          <t>NYBRO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42814-2025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45908</v>
      </c>
      <c r="E682" s="1" t="n">
        <v>46248</v>
      </c>
      <c r="F682" t="inlineStr">
        <is>
          <t>KALMAR LÄN</t>
        </is>
      </c>
      <c r="G682" t="inlineStr">
        <is>
          <t>NYBRO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22042-2025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46248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46153</v>
      </c>
      <c r="E684" s="1" t="n">
        <v>46248</v>
      </c>
      <c r="F684" t="inlineStr">
        <is>
          <t>KALMAR LÄN</t>
        </is>
      </c>
      <c r="G684" t="inlineStr">
        <is>
          <t>NYBRO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53649-2023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45230</v>
      </c>
      <c r="E685" s="1" t="n">
        <v>46248</v>
      </c>
      <c r="F685" t="inlineStr">
        <is>
          <t>KALMAR LÄN</t>
        </is>
      </c>
      <c r="G685" t="inlineStr">
        <is>
          <t>NYBRO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33292-2025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45840</v>
      </c>
      <c r="E686" s="1" t="n">
        <v>46248</v>
      </c>
      <c r="F686" t="inlineStr">
        <is>
          <t>KALMAR LÄN</t>
        </is>
      </c>
      <c r="G686" t="inlineStr">
        <is>
          <t>NYBRO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30076-2024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45489</v>
      </c>
      <c r="E687" s="1" t="n">
        <v>46248</v>
      </c>
      <c r="F687" t="inlineStr">
        <is>
          <t>KALMAR LÄN</t>
        </is>
      </c>
      <c r="G687" t="inlineStr">
        <is>
          <t>NYBRO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56972-2024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45625</v>
      </c>
      <c r="E688" s="1" t="n">
        <v>46248</v>
      </c>
      <c r="F688" t="inlineStr">
        <is>
          <t>KALMAR LÄN</t>
        </is>
      </c>
      <c r="G688" t="inlineStr">
        <is>
          <t>NYBRO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7830-2025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45706</v>
      </c>
      <c r="E689" s="1" t="n">
        <v>46248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22302-2025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45786</v>
      </c>
      <c r="E690" s="1" t="n">
        <v>46248</v>
      </c>
      <c r="F690" t="inlineStr">
        <is>
          <t>KALMAR LÄN</t>
        </is>
      </c>
      <c r="G690" t="inlineStr">
        <is>
          <t>NYBRO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45673</v>
      </c>
      <c r="E691" s="1" t="n">
        <v>46248</v>
      </c>
      <c r="F691" t="inlineStr">
        <is>
          <t>KALMAR LÄN</t>
        </is>
      </c>
      <c r="G691" t="inlineStr">
        <is>
          <t>NYBRO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43984-2024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45572</v>
      </c>
      <c r="E692" s="1" t="n">
        <v>46248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22575-2026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46248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45665</v>
      </c>
      <c r="E694" s="1" t="n">
        <v>46248</v>
      </c>
      <c r="F694" t="inlineStr">
        <is>
          <t>KALMAR LÄN</t>
        </is>
      </c>
      <c r="G694" t="inlineStr">
        <is>
          <t>NYBRO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46248</v>
      </c>
      <c r="F695" t="inlineStr">
        <is>
          <t>KALMAR LÄN</t>
        </is>
      </c>
      <c r="G695" t="inlineStr">
        <is>
          <t>NYBRO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45534</v>
      </c>
      <c r="E696" s="1" t="n">
        <v>46248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9005-2024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46248</v>
      </c>
      <c r="F697" t="inlineStr">
        <is>
          <t>KALMAR LÄN</t>
        </is>
      </c>
      <c r="G697" t="inlineStr">
        <is>
          <t>NYBRO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45301</v>
      </c>
      <c r="E698" s="1" t="n">
        <v>46248</v>
      </c>
      <c r="F698" t="inlineStr">
        <is>
          <t>KALMAR LÄN</t>
        </is>
      </c>
      <c r="G698" t="inlineStr">
        <is>
          <t>NYBRO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45401</v>
      </c>
      <c r="E699" s="1" t="n">
        <v>46248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10631-2024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45367</v>
      </c>
      <c r="E700" s="1" t="n">
        <v>46248</v>
      </c>
      <c r="F700" t="inlineStr">
        <is>
          <t>KALMAR LÄN</t>
        </is>
      </c>
      <c r="G700" t="inlineStr">
        <is>
          <t>NYBRO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57716-2023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45246</v>
      </c>
      <c r="E701" s="1" t="n">
        <v>46248</v>
      </c>
      <c r="F701" t="inlineStr">
        <is>
          <t>KALMAR LÄN</t>
        </is>
      </c>
      <c r="G701" t="inlineStr">
        <is>
          <t>NYBRO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11014-2024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46248</v>
      </c>
      <c r="F702" t="inlineStr">
        <is>
          <t>KALMAR LÄN</t>
        </is>
      </c>
      <c r="G702" t="inlineStr">
        <is>
          <t>NYBRO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46057</v>
      </c>
      <c r="E703" s="1" t="n">
        <v>46248</v>
      </c>
      <c r="F703" t="inlineStr">
        <is>
          <t>KALMAR LÄN</t>
        </is>
      </c>
      <c r="G703" t="inlineStr">
        <is>
          <t>NYBRO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40193-2025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45894</v>
      </c>
      <c r="E704" s="1" t="n">
        <v>46248</v>
      </c>
      <c r="F704" t="inlineStr">
        <is>
          <t>KALMAR LÄN</t>
        </is>
      </c>
      <c r="G704" t="inlineStr">
        <is>
          <t>NYBRO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45792</v>
      </c>
      <c r="E705" s="1" t="n">
        <v>46248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8.800000000000001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22872-2026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46160</v>
      </c>
      <c r="E706" s="1" t="n">
        <v>46248</v>
      </c>
      <c r="F706" t="inlineStr">
        <is>
          <t>KALMAR LÄN</t>
        </is>
      </c>
      <c r="G706" t="inlineStr">
        <is>
          <t>NYBRO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23485-2025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45792</v>
      </c>
      <c r="E707" s="1" t="n">
        <v>46248</v>
      </c>
      <c r="F707" t="inlineStr">
        <is>
          <t>KALMAR LÄN</t>
        </is>
      </c>
      <c r="G707" t="inlineStr">
        <is>
          <t>NYBRO</t>
        </is>
      </c>
      <c r="H707" t="inlineStr">
        <is>
          <t>Sveaskog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44661-2025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45917</v>
      </c>
      <c r="E708" s="1" t="n">
        <v>46248</v>
      </c>
      <c r="F708" t="inlineStr">
        <is>
          <t>KALMAR LÄN</t>
        </is>
      </c>
      <c r="G708" t="inlineStr">
        <is>
          <t>NYBRO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6857-2025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45701</v>
      </c>
      <c r="E709" s="1" t="n">
        <v>46248</v>
      </c>
      <c r="F709" t="inlineStr">
        <is>
          <t>KALMAR LÄN</t>
        </is>
      </c>
      <c r="G709" t="inlineStr">
        <is>
          <t>NYBRO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18092-2025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45761</v>
      </c>
      <c r="E710" s="1" t="n">
        <v>46248</v>
      </c>
      <c r="F710" t="inlineStr">
        <is>
          <t>KALMAR LÄN</t>
        </is>
      </c>
      <c r="G710" t="inlineStr">
        <is>
          <t>NYBRO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45911-2025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45923</v>
      </c>
      <c r="E711" s="1" t="n">
        <v>46248</v>
      </c>
      <c r="F711" t="inlineStr">
        <is>
          <t>KALMAR LÄN</t>
        </is>
      </c>
      <c r="G711" t="inlineStr">
        <is>
          <t>NYBRO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19943-2022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44697</v>
      </c>
      <c r="E712" s="1" t="n">
        <v>46248</v>
      </c>
      <c r="F712" t="inlineStr">
        <is>
          <t>KALMAR LÄN</t>
        </is>
      </c>
      <c r="G712" t="inlineStr">
        <is>
          <t>NYBRO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46821-2025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46248</v>
      </c>
      <c r="F713" t="inlineStr">
        <is>
          <t>KALMAR LÄN</t>
        </is>
      </c>
      <c r="G713" t="inlineStr">
        <is>
          <t>NYBRO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49338-2025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45938</v>
      </c>
      <c r="E714" s="1" t="n">
        <v>46248</v>
      </c>
      <c r="F714" t="inlineStr">
        <is>
          <t>KALMAR LÄN</t>
        </is>
      </c>
      <c r="G714" t="inlineStr">
        <is>
          <t>NYBRO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49390-2025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45938</v>
      </c>
      <c r="E715" s="1" t="n">
        <v>46248</v>
      </c>
      <c r="F715" t="inlineStr">
        <is>
          <t>KALMAR LÄN</t>
        </is>
      </c>
      <c r="G715" t="inlineStr">
        <is>
          <t>NYBRO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24040-2026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46248</v>
      </c>
      <c r="F716" t="inlineStr">
        <is>
          <t>KALMAR LÄN</t>
        </is>
      </c>
      <c r="G716" t="inlineStr">
        <is>
          <t>NYBRO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49739-2025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45940</v>
      </c>
      <c r="E717" s="1" t="n">
        <v>46248</v>
      </c>
      <c r="F717" t="inlineStr">
        <is>
          <t>KALMAR LÄN</t>
        </is>
      </c>
      <c r="G717" t="inlineStr">
        <is>
          <t>NYBRO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45943</v>
      </c>
      <c r="E718" s="1" t="n">
        <v>46248</v>
      </c>
      <c r="F718" t="inlineStr">
        <is>
          <t>KALMAR LÄN</t>
        </is>
      </c>
      <c r="G718" t="inlineStr">
        <is>
          <t>NYBRO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50477-2025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45945</v>
      </c>
      <c r="E719" s="1" t="n">
        <v>46248</v>
      </c>
      <c r="F719" t="inlineStr">
        <is>
          <t>KALMAR LÄN</t>
        </is>
      </c>
      <c r="G719" t="inlineStr">
        <is>
          <t>NYBRO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50965-2025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45946</v>
      </c>
      <c r="E720" s="1" t="n">
        <v>46248</v>
      </c>
      <c r="F720" t="inlineStr">
        <is>
          <t>KALMAR LÄN</t>
        </is>
      </c>
      <c r="G720" t="inlineStr">
        <is>
          <t>NYBRO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50964-2025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45946</v>
      </c>
      <c r="E721" s="1" t="n">
        <v>46248</v>
      </c>
      <c r="F721" t="inlineStr">
        <is>
          <t>KALMAR LÄN</t>
        </is>
      </c>
      <c r="G721" t="inlineStr">
        <is>
          <t>NYBRO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1535-2025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45670</v>
      </c>
      <c r="E722" s="1" t="n">
        <v>46248</v>
      </c>
      <c r="F722" t="inlineStr">
        <is>
          <t>KALMAR LÄN</t>
        </is>
      </c>
      <c r="G722" t="inlineStr">
        <is>
          <t>NYBRO</t>
        </is>
      </c>
      <c r="H722" t="inlineStr">
        <is>
          <t>Sveaskog</t>
        </is>
      </c>
      <c r="I722" t="n">
        <v>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25131-2026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46175</v>
      </c>
      <c r="E723" s="1" t="n">
        <v>46248</v>
      </c>
      <c r="F723" t="inlineStr">
        <is>
          <t>KALMAR LÄN</t>
        </is>
      </c>
      <c r="G723" t="inlineStr">
        <is>
          <t>NYBRO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25143-2026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46248</v>
      </c>
      <c r="F724" t="inlineStr">
        <is>
          <t>KALMAR LÄN</t>
        </is>
      </c>
      <c r="G724" t="inlineStr">
        <is>
          <t>NYBRO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24614-2026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46169</v>
      </c>
      <c r="E725" s="1" t="n">
        <v>46248</v>
      </c>
      <c r="F725" t="inlineStr">
        <is>
          <t>KALMAR LÄN</t>
        </is>
      </c>
      <c r="G725" t="inlineStr">
        <is>
          <t>NYBRO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53046-2025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45958</v>
      </c>
      <c r="E726" s="1" t="n">
        <v>46248</v>
      </c>
      <c r="F726" t="inlineStr">
        <is>
          <t>KALMAR LÄN</t>
        </is>
      </c>
      <c r="G726" t="inlineStr">
        <is>
          <t>NYBRO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25598-2026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46248</v>
      </c>
      <c r="F727" t="inlineStr">
        <is>
          <t>KALMAR LÄN</t>
        </is>
      </c>
      <c r="G727" t="inlineStr">
        <is>
          <t>NYBRO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25717-2026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46178</v>
      </c>
      <c r="E728" s="1" t="n">
        <v>46248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53068-2025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45958</v>
      </c>
      <c r="E729" s="1" t="n">
        <v>46248</v>
      </c>
      <c r="F729" t="inlineStr">
        <is>
          <t>KALMAR LÄN</t>
        </is>
      </c>
      <c r="G729" t="inlineStr">
        <is>
          <t>NYBRO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53071-2025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45958</v>
      </c>
      <c r="E730" s="1" t="n">
        <v>46248</v>
      </c>
      <c r="F730" t="inlineStr">
        <is>
          <t>KALMAR LÄN</t>
        </is>
      </c>
      <c r="G730" t="inlineStr">
        <is>
          <t>NYBRO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53066-2025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45958</v>
      </c>
      <c r="E731" s="1" t="n">
        <v>46248</v>
      </c>
      <c r="F731" t="inlineStr">
        <is>
          <t>KALMAR LÄN</t>
        </is>
      </c>
      <c r="G731" t="inlineStr">
        <is>
          <t>NYBRO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26303-2026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46181</v>
      </c>
      <c r="E732" s="1" t="n">
        <v>46248</v>
      </c>
      <c r="F732" t="inlineStr">
        <is>
          <t>KALMAR LÄN</t>
        </is>
      </c>
      <c r="G732" t="inlineStr">
        <is>
          <t>NYBRO</t>
        </is>
      </c>
      <c r="H732" t="inlineStr">
        <is>
          <t>Kyrkan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46248</v>
      </c>
      <c r="F733" t="inlineStr">
        <is>
          <t>KALMAR LÄN</t>
        </is>
      </c>
      <c r="G733" t="inlineStr">
        <is>
          <t>NYBRO</t>
        </is>
      </c>
      <c r="H733" t="inlineStr">
        <is>
          <t>Sveaskog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25714-2026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46178</v>
      </c>
      <c r="E734" s="1" t="n">
        <v>46248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26208-2026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46182</v>
      </c>
      <c r="E735" s="1" t="n">
        <v>46248</v>
      </c>
      <c r="F735" t="inlineStr">
        <is>
          <t>KALMAR LÄN</t>
        </is>
      </c>
      <c r="G735" t="inlineStr">
        <is>
          <t>NYBRO</t>
        </is>
      </c>
      <c r="H735" t="inlineStr">
        <is>
          <t>Kommuner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27115-2026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46248</v>
      </c>
      <c r="F736" t="inlineStr">
        <is>
          <t>KALMAR LÄN</t>
        </is>
      </c>
      <c r="G736" t="inlineStr">
        <is>
          <t>NYBRO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26565-2026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46248</v>
      </c>
      <c r="F737" t="inlineStr">
        <is>
          <t>KALMAR LÄN</t>
        </is>
      </c>
      <c r="G737" t="inlineStr">
        <is>
          <t>NYBRO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27138-2026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46184</v>
      </c>
      <c r="E738" s="1" t="n">
        <v>46248</v>
      </c>
      <c r="F738" t="inlineStr">
        <is>
          <t>KALMAR LÄN</t>
        </is>
      </c>
      <c r="G738" t="inlineStr">
        <is>
          <t>NYBRO</t>
        </is>
      </c>
      <c r="I738" t="n">
        <v>15.9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56686-2025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45975</v>
      </c>
      <c r="E739" s="1" t="n">
        <v>46248</v>
      </c>
      <c r="F739" t="inlineStr">
        <is>
          <t>KALMAR LÄN</t>
        </is>
      </c>
      <c r="G739" t="inlineStr">
        <is>
          <t>NYBRO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45980</v>
      </c>
      <c r="E740" s="1" t="n">
        <v>46248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57474-2025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45980</v>
      </c>
      <c r="E741" s="1" t="n">
        <v>46248</v>
      </c>
      <c r="F741" t="inlineStr">
        <is>
          <t>KALMAR LÄN</t>
        </is>
      </c>
      <c r="G741" t="inlineStr">
        <is>
          <t>NYBRO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57476-2025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45980</v>
      </c>
      <c r="E742" s="1" t="n">
        <v>46248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46190</v>
      </c>
      <c r="E743" s="1" t="n">
        <v>46248</v>
      </c>
      <c r="F743" t="inlineStr">
        <is>
          <t>KALMAR LÄN</t>
        </is>
      </c>
      <c r="G743" t="inlineStr">
        <is>
          <t>NYBRO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46248</v>
      </c>
      <c r="F744" t="inlineStr">
        <is>
          <t>KALMAR LÄN</t>
        </is>
      </c>
      <c r="G744" t="inlineStr">
        <is>
          <t>NYBRO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58482-2025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45985</v>
      </c>
      <c r="E745" s="1" t="n">
        <v>46248</v>
      </c>
      <c r="F745" t="inlineStr">
        <is>
          <t>KALMAR LÄN</t>
        </is>
      </c>
      <c r="G745" t="inlineStr">
        <is>
          <t>NYBRO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58673-2025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46248</v>
      </c>
      <c r="F746" t="inlineStr">
        <is>
          <t>KALMAR LÄN</t>
        </is>
      </c>
      <c r="G746" t="inlineStr">
        <is>
          <t>NYBRO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58680-2025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45986</v>
      </c>
      <c r="E747" s="1" t="n">
        <v>46248</v>
      </c>
      <c r="F747" t="inlineStr">
        <is>
          <t>KALMAR LÄN</t>
        </is>
      </c>
      <c r="G747" t="inlineStr">
        <is>
          <t>NYBRO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45987</v>
      </c>
      <c r="E748" s="1" t="n">
        <v>46248</v>
      </c>
      <c r="F748" t="inlineStr">
        <is>
          <t>KALMAR LÄN</t>
        </is>
      </c>
      <c r="G748" t="inlineStr">
        <is>
          <t>NYBRO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32397-2026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46238</v>
      </c>
      <c r="E749" s="1" t="n">
        <v>46248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46238</v>
      </c>
      <c r="E750" s="1" t="n">
        <v>46248</v>
      </c>
      <c r="F750" t="inlineStr">
        <is>
          <t>KALMAR LÄN</t>
        </is>
      </c>
      <c r="G750" t="inlineStr">
        <is>
          <t>NYBRO</t>
        </is>
      </c>
      <c r="H750" t="inlineStr">
        <is>
          <t>Sveaskog</t>
        </is>
      </c>
      <c r="I750" t="n">
        <v>10.3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60758-2025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45999</v>
      </c>
      <c r="E751" s="1" t="n">
        <v>46248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28438-2026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46248</v>
      </c>
      <c r="F752" t="inlineStr">
        <is>
          <t>KALMAR LÄN</t>
        </is>
      </c>
      <c r="G752" t="inlineStr">
        <is>
          <t>NYBRO</t>
        </is>
      </c>
      <c r="H752" t="inlineStr">
        <is>
          <t>Sveaskog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28437-2026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46197</v>
      </c>
      <c r="E753" s="1" t="n">
        <v>46248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61074-2025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46000</v>
      </c>
      <c r="E754" s="1" t="n">
        <v>46248</v>
      </c>
      <c r="F754" t="inlineStr">
        <is>
          <t>KALMAR LÄN</t>
        </is>
      </c>
      <c r="G754" t="inlineStr">
        <is>
          <t>NYBRO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46248</v>
      </c>
      <c r="F755" t="inlineStr">
        <is>
          <t>KALMAR LÄN</t>
        </is>
      </c>
      <c r="G755" t="inlineStr">
        <is>
          <t>NYBRO</t>
        </is>
      </c>
      <c r="H755" t="inlineStr">
        <is>
          <t>Sveaskog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46248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32788-2026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46241</v>
      </c>
      <c r="E757" s="1" t="n">
        <v>46248</v>
      </c>
      <c r="F757" t="inlineStr">
        <is>
          <t>KALMAR LÄN</t>
        </is>
      </c>
      <c r="G757" t="inlineStr">
        <is>
          <t>NYBRO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46199</v>
      </c>
      <c r="E758" s="1" t="n">
        <v>46248</v>
      </c>
      <c r="F758" t="inlineStr">
        <is>
          <t>KALMAR LÄN</t>
        </is>
      </c>
      <c r="G758" t="inlineStr">
        <is>
          <t>NYBRO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29289-2023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46248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33254-2026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46248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46248</v>
      </c>
      <c r="F761" t="inlineStr">
        <is>
          <t>KALMAR LÄN</t>
        </is>
      </c>
      <c r="G761" t="inlineStr">
        <is>
          <t>NYBRO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46205</v>
      </c>
      <c r="E762" s="1" t="n">
        <v>46248</v>
      </c>
      <c r="F762" t="inlineStr">
        <is>
          <t>KALMAR LÄN</t>
        </is>
      </c>
      <c r="G762" t="inlineStr">
        <is>
          <t>NYBRO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61237-2025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46000</v>
      </c>
      <c r="E763" s="1" t="n">
        <v>46248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33257-2026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46246</v>
      </c>
      <c r="E764" s="1" t="n">
        <v>46248</v>
      </c>
      <c r="F764" t="inlineStr">
        <is>
          <t>KALMAR LÄN</t>
        </is>
      </c>
      <c r="G764" t="inlineStr">
        <is>
          <t>NYBRO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46248</v>
      </c>
      <c r="F765" t="inlineStr">
        <is>
          <t>KALMAR LÄN</t>
        </is>
      </c>
      <c r="G765" t="inlineStr">
        <is>
          <t>NYBRO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46029</v>
      </c>
      <c r="E766" s="1" t="n">
        <v>46248</v>
      </c>
      <c r="F766" t="inlineStr">
        <is>
          <t>KALMAR LÄN</t>
        </is>
      </c>
      <c r="G766" t="inlineStr">
        <is>
          <t>NYBRO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1574-2026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46034</v>
      </c>
      <c r="E767" s="1" t="n">
        <v>46248</v>
      </c>
      <c r="F767" t="inlineStr">
        <is>
          <t>KALMAR LÄN</t>
        </is>
      </c>
      <c r="G767" t="inlineStr">
        <is>
          <t>NYBRO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46248</v>
      </c>
      <c r="F768" t="inlineStr">
        <is>
          <t>KALMAR LÄN</t>
        </is>
      </c>
      <c r="G768" t="inlineStr">
        <is>
          <t>NYBRO</t>
        </is>
      </c>
      <c r="H768" t="inlineStr">
        <is>
          <t>Sveaskog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8382-2026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46064</v>
      </c>
      <c r="E769" s="1" t="n">
        <v>46248</v>
      </c>
      <c r="F769" t="inlineStr">
        <is>
          <t>KALMAR LÄN</t>
        </is>
      </c>
      <c r="G769" t="inlineStr">
        <is>
          <t>NYBRO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8384-2026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46248</v>
      </c>
      <c r="F770" t="inlineStr">
        <is>
          <t>KALMAR LÄN</t>
        </is>
      </c>
      <c r="G770" t="inlineStr">
        <is>
          <t>NYBRO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9010-2026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46248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46248</v>
      </c>
      <c r="F772" t="inlineStr">
        <is>
          <t>KALMAR LÄN</t>
        </is>
      </c>
      <c r="G772" t="inlineStr">
        <is>
          <t>NYBRO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8883-2026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46067</v>
      </c>
      <c r="E773" s="1" t="n">
        <v>46248</v>
      </c>
      <c r="F773" t="inlineStr">
        <is>
          <t>KALMAR LÄN</t>
        </is>
      </c>
      <c r="G773" t="inlineStr">
        <is>
          <t>NYBRO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9690-2026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46072</v>
      </c>
      <c r="E774" s="1" t="n">
        <v>46248</v>
      </c>
      <c r="F774" t="inlineStr">
        <is>
          <t>KALMAR LÄN</t>
        </is>
      </c>
      <c r="G774" t="inlineStr">
        <is>
          <t>NYBRO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9728-2026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46072</v>
      </c>
      <c r="E775" s="1" t="n">
        <v>46248</v>
      </c>
      <c r="F775" t="inlineStr">
        <is>
          <t>KALMAR LÄN</t>
        </is>
      </c>
      <c r="G775" t="inlineStr">
        <is>
          <t>NYBRO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46072</v>
      </c>
      <c r="E776" s="1" t="n">
        <v>46248</v>
      </c>
      <c r="F776" t="inlineStr">
        <is>
          <t>KALMAR LÄN</t>
        </is>
      </c>
      <c r="G776" t="inlineStr">
        <is>
          <t>NYBRO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10742-2026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46078</v>
      </c>
      <c r="E777" s="1" t="n">
        <v>46248</v>
      </c>
      <c r="F777" t="inlineStr">
        <is>
          <t>KALMAR LÄN</t>
        </is>
      </c>
      <c r="G777" t="inlineStr">
        <is>
          <t>NYBRO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46083</v>
      </c>
      <c r="E778" s="1" t="n">
        <v>46248</v>
      </c>
      <c r="F778" t="inlineStr">
        <is>
          <t>KALMAR LÄN</t>
        </is>
      </c>
      <c r="G778" t="inlineStr">
        <is>
          <t>NYBRO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46083</v>
      </c>
      <c r="E779" s="1" t="n">
        <v>46248</v>
      </c>
      <c r="F779" t="inlineStr">
        <is>
          <t>KALMAR LÄN</t>
        </is>
      </c>
      <c r="G779" t="inlineStr">
        <is>
          <t>NYBRO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12044-2026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46086</v>
      </c>
      <c r="E780" s="1" t="n">
        <v>46248</v>
      </c>
      <c r="F780" t="inlineStr">
        <is>
          <t>KALMAR LÄN</t>
        </is>
      </c>
      <c r="G780" t="inlineStr">
        <is>
          <t>NYBRO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46248</v>
      </c>
      <c r="F781" t="inlineStr">
        <is>
          <t>KALMAR LÄN</t>
        </is>
      </c>
      <c r="G781" t="inlineStr">
        <is>
          <t>NYBRO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46248</v>
      </c>
      <c r="F782" t="inlineStr">
        <is>
          <t>KALMAR LÄN</t>
        </is>
      </c>
      <c r="G782" t="inlineStr">
        <is>
          <t>NYBRO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46248</v>
      </c>
      <c r="F783" t="inlineStr">
        <is>
          <t>KALMAR LÄN</t>
        </is>
      </c>
      <c r="G783" t="inlineStr">
        <is>
          <t>NYBRO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14834-2026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46104</v>
      </c>
      <c r="E784" s="1" t="n">
        <v>46248</v>
      </c>
      <c r="F784" t="inlineStr">
        <is>
          <t>KALMAR LÄN</t>
        </is>
      </c>
      <c r="G784" t="inlineStr">
        <is>
          <t>NYBRO</t>
        </is>
      </c>
      <c r="I784" t="n">
        <v>7.1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15436-2026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46106</v>
      </c>
      <c r="E785" s="1" t="n">
        <v>46248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46248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46248</v>
      </c>
      <c r="F787" t="inlineStr">
        <is>
          <t>KALMAR LÄN</t>
        </is>
      </c>
      <c r="G787" t="inlineStr">
        <is>
          <t>NYBRO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16584-2026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46248</v>
      </c>
      <c r="F788" t="inlineStr">
        <is>
          <t>KALMAR LÄN</t>
        </is>
      </c>
      <c r="G788" t="inlineStr">
        <is>
          <t>NYBRO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16631-2026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46112</v>
      </c>
      <c r="E789" s="1" t="n">
        <v>46248</v>
      </c>
      <c r="F789" t="inlineStr">
        <is>
          <t>KALMAR LÄN</t>
        </is>
      </c>
      <c r="G789" t="inlineStr">
        <is>
          <t>NYBRO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46248</v>
      </c>
      <c r="F790" t="inlineStr">
        <is>
          <t>KALMAR LÄN</t>
        </is>
      </c>
      <c r="G790" t="inlineStr">
        <is>
          <t>NYBRO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16844-2026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46113</v>
      </c>
      <c r="E791" s="1" t="n">
        <v>46248</v>
      </c>
      <c r="F791" t="inlineStr">
        <is>
          <t>KALMAR LÄN</t>
        </is>
      </c>
      <c r="G791" t="inlineStr">
        <is>
          <t>NYBRO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46120</v>
      </c>
      <c r="E792" s="1" t="n">
        <v>46248</v>
      </c>
      <c r="F792" t="inlineStr">
        <is>
          <t>KALMAR LÄN</t>
        </is>
      </c>
      <c r="G792" t="inlineStr">
        <is>
          <t>NYBRO</t>
        </is>
      </c>
      <c r="I792" t="n">
        <v>12.2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17871-2026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46122</v>
      </c>
      <c r="E793" s="1" t="n">
        <v>46248</v>
      </c>
      <c r="F793" t="inlineStr">
        <is>
          <t>KALMAR LÄN</t>
        </is>
      </c>
      <c r="G793" t="inlineStr">
        <is>
          <t>NYBRO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17957-2026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46122</v>
      </c>
      <c r="E794" s="1" t="n">
        <v>46248</v>
      </c>
      <c r="F794" t="inlineStr">
        <is>
          <t>KALMAR LÄN</t>
        </is>
      </c>
      <c r="G794" t="inlineStr">
        <is>
          <t>NYBRO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18110-2026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46248</v>
      </c>
      <c r="F795" t="inlineStr">
        <is>
          <t>KALMAR LÄN</t>
        </is>
      </c>
      <c r="G795" t="inlineStr">
        <is>
          <t>NYBRO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46125</v>
      </c>
      <c r="E796" s="1" t="n">
        <v>46248</v>
      </c>
      <c r="F796" t="inlineStr">
        <is>
          <t>KALMAR LÄN</t>
        </is>
      </c>
      <c r="G796" t="inlineStr">
        <is>
          <t>NYBRO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18465-2026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46127</v>
      </c>
      <c r="E797" s="1" t="n">
        <v>46248</v>
      </c>
      <c r="F797" t="inlineStr">
        <is>
          <t>KALMAR LÄN</t>
        </is>
      </c>
      <c r="G797" t="inlineStr">
        <is>
          <t>NYBRO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46127</v>
      </c>
      <c r="E798" s="1" t="n">
        <v>46248</v>
      </c>
      <c r="F798" t="inlineStr">
        <is>
          <t>KALMAR LÄN</t>
        </is>
      </c>
      <c r="G798" t="inlineStr">
        <is>
          <t>NYBRO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19457-2026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46133</v>
      </c>
      <c r="E799" s="1" t="n">
        <v>46248</v>
      </c>
      <c r="F799" t="inlineStr">
        <is>
          <t>KALMAR LÄN</t>
        </is>
      </c>
      <c r="G799" t="inlineStr">
        <is>
          <t>NYBRO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19474-2026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46248</v>
      </c>
      <c r="F800" t="inlineStr">
        <is>
          <t>KALMAR LÄN</t>
        </is>
      </c>
      <c r="G800" t="inlineStr">
        <is>
          <t>NYBRO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14085-2024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45392</v>
      </c>
      <c r="E801" s="1" t="n">
        <v>46248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46248</v>
      </c>
      <c r="F802" t="inlineStr">
        <is>
          <t>KALMAR LÄN</t>
        </is>
      </c>
      <c r="G802" t="inlineStr">
        <is>
          <t>NYBRO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19515-2026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46248</v>
      </c>
      <c r="F803" t="inlineStr">
        <is>
          <t>KALMAR LÄN</t>
        </is>
      </c>
      <c r="G803" t="inlineStr">
        <is>
          <t>NYBRO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19567-2026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46248</v>
      </c>
      <c r="F804" t="inlineStr">
        <is>
          <t>KALMAR LÄN</t>
        </is>
      </c>
      <c r="G804" t="inlineStr">
        <is>
          <t>NYBRO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7423-2025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45705</v>
      </c>
      <c r="E805" s="1" t="n">
        <v>46248</v>
      </c>
      <c r="F805" t="inlineStr">
        <is>
          <t>KALMAR LÄN</t>
        </is>
      </c>
      <c r="G805" t="inlineStr">
        <is>
          <t>NYBRO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19577-2026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46134</v>
      </c>
      <c r="E806" s="1" t="n">
        <v>46248</v>
      </c>
      <c r="F806" t="inlineStr">
        <is>
          <t>KALMAR LÄN</t>
        </is>
      </c>
      <c r="G806" t="inlineStr">
        <is>
          <t>NYBRO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10745-2026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46078</v>
      </c>
      <c r="E807" s="1" t="n">
        <v>46248</v>
      </c>
      <c r="F807" t="inlineStr">
        <is>
          <t>KALMAR LÄN</t>
        </is>
      </c>
      <c r="G807" t="inlineStr">
        <is>
          <t>NYBRO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57489-2025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45980</v>
      </c>
      <c r="E808" s="1" t="n">
        <v>46248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45478</v>
      </c>
      <c r="E809" s="1" t="n">
        <v>46248</v>
      </c>
      <c r="F809" t="inlineStr">
        <is>
          <t>KALMAR LÄN</t>
        </is>
      </c>
      <c r="G809" t="inlineStr">
        <is>
          <t>NYBRO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20391-2026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46139</v>
      </c>
      <c r="E810" s="1" t="n">
        <v>46248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60706-2024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46248</v>
      </c>
      <c r="F811" t="inlineStr">
        <is>
          <t>KALMAR LÄN</t>
        </is>
      </c>
      <c r="G811" t="inlineStr">
        <is>
          <t>NYBRO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39354-2024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45551</v>
      </c>
      <c r="E812" s="1" t="n">
        <v>46248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47632-2025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45931</v>
      </c>
      <c r="E813" s="1" t="n">
        <v>46248</v>
      </c>
      <c r="F813" t="inlineStr">
        <is>
          <t>KALMAR LÄN</t>
        </is>
      </c>
      <c r="G813" t="inlineStr">
        <is>
          <t>NYBRO</t>
        </is>
      </c>
      <c r="H813" t="inlineStr">
        <is>
          <t>Kyrkan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10005-2024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45363</v>
      </c>
      <c r="E814" s="1" t="n">
        <v>46248</v>
      </c>
      <c r="F814" t="inlineStr">
        <is>
          <t>KALMAR LÄN</t>
        </is>
      </c>
      <c r="G814" t="inlineStr">
        <is>
          <t>NYBRO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23577-2023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45077</v>
      </c>
      <c r="E815" s="1" t="n">
        <v>46248</v>
      </c>
      <c r="F815" t="inlineStr">
        <is>
          <t>KALMAR LÄN</t>
        </is>
      </c>
      <c r="G815" t="inlineStr">
        <is>
          <t>NYBRO</t>
        </is>
      </c>
      <c r="I815" t="n">
        <v>10.3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47627-2025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45931</v>
      </c>
      <c r="E816" s="1" t="n">
        <v>46248</v>
      </c>
      <c r="F816" t="inlineStr">
        <is>
          <t>KALMAR LÄN</t>
        </is>
      </c>
      <c r="G816" t="inlineStr">
        <is>
          <t>NYBRO</t>
        </is>
      </c>
      <c r="H816" t="inlineStr">
        <is>
          <t>Kyrkan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7326-2026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46058</v>
      </c>
      <c r="E817" s="1" t="n">
        <v>46248</v>
      </c>
      <c r="F817" t="inlineStr">
        <is>
          <t>KALMAR LÄN</t>
        </is>
      </c>
      <c r="G817" t="inlineStr">
        <is>
          <t>NYBRO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50753-2025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45946</v>
      </c>
      <c r="E818" s="1" t="n">
        <v>46248</v>
      </c>
      <c r="F818" t="inlineStr">
        <is>
          <t>KALMAR LÄN</t>
        </is>
      </c>
      <c r="G818" t="inlineStr">
        <is>
          <t>NYBRO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43982-2024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45572</v>
      </c>
      <c r="E819" s="1" t="n">
        <v>46248</v>
      </c>
      <c r="F819" t="inlineStr">
        <is>
          <t>KALMAR LÄN</t>
        </is>
      </c>
      <c r="G819" t="inlineStr">
        <is>
          <t>NYBRO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54848-2025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45966</v>
      </c>
      <c r="E820" s="1" t="n">
        <v>46248</v>
      </c>
      <c r="F820" t="inlineStr">
        <is>
          <t>KALMAR LÄN</t>
        </is>
      </c>
      <c r="G820" t="inlineStr">
        <is>
          <t>NYBRO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56574-2025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45975</v>
      </c>
      <c r="E821" s="1" t="n">
        <v>46248</v>
      </c>
      <c r="F821" t="inlineStr">
        <is>
          <t>KALMAR LÄN</t>
        </is>
      </c>
      <c r="G821" t="inlineStr">
        <is>
          <t>NYBRO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5906-2026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46248</v>
      </c>
      <c r="F822" t="inlineStr">
        <is>
          <t>KALMAR LÄN</t>
        </is>
      </c>
      <c r="G822" t="inlineStr">
        <is>
          <t>NYBRO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9106-2025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45713</v>
      </c>
      <c r="E823" s="1" t="n">
        <v>46248</v>
      </c>
      <c r="F823" t="inlineStr">
        <is>
          <t>KALMAR LÄN</t>
        </is>
      </c>
      <c r="G823" t="inlineStr">
        <is>
          <t>NYBRO</t>
        </is>
      </c>
      <c r="I823" t="n">
        <v>13.2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46248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645-2023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44973</v>
      </c>
      <c r="E825" s="1" t="n">
        <v>46248</v>
      </c>
      <c r="F825" t="inlineStr">
        <is>
          <t>KALMAR LÄN</t>
        </is>
      </c>
      <c r="G825" t="inlineStr">
        <is>
          <t>NYBRO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45422</v>
      </c>
      <c r="E826" s="1" t="n">
        <v>46248</v>
      </c>
      <c r="F826" t="inlineStr">
        <is>
          <t>KALMAR LÄN</t>
        </is>
      </c>
      <c r="G826" t="inlineStr">
        <is>
          <t>NYBRO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5165-2024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45649</v>
      </c>
      <c r="E827" s="1" t="n">
        <v>46248</v>
      </c>
      <c r="F827" t="inlineStr">
        <is>
          <t>KALMAR LÄN</t>
        </is>
      </c>
      <c r="G827" t="inlineStr">
        <is>
          <t>NYBRO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2203-2024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45457</v>
      </c>
      <c r="E828" s="1" t="n">
        <v>46248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1948-2023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45088</v>
      </c>
      <c r="E829" s="1" t="n">
        <v>46248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2431-2024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45469</v>
      </c>
      <c r="E830" s="1" t="n">
        <v>46248</v>
      </c>
      <c r="F830" t="inlineStr">
        <is>
          <t>KALMAR LÄN</t>
        </is>
      </c>
      <c r="G830" t="inlineStr">
        <is>
          <t>NYBRO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926-2023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45000</v>
      </c>
      <c r="E831" s="1" t="n">
        <v>46248</v>
      </c>
      <c r="F831" t="inlineStr">
        <is>
          <t>KALMAR LÄN</t>
        </is>
      </c>
      <c r="G831" t="inlineStr">
        <is>
          <t>NYBRO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3791-2023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45224</v>
      </c>
      <c r="E832" s="1" t="n">
        <v>46248</v>
      </c>
      <c r="F832" t="inlineStr">
        <is>
          <t>KALMAR LÄN</t>
        </is>
      </c>
      <c r="G832" t="inlineStr">
        <is>
          <t>NYBRO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4042-2024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45572</v>
      </c>
      <c r="E833" s="1" t="n">
        <v>46248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46248</v>
      </c>
      <c r="F834" t="inlineStr">
        <is>
          <t>KALMAR LÄN</t>
        </is>
      </c>
      <c r="G834" t="inlineStr">
        <is>
          <t>NYBRO</t>
        </is>
      </c>
      <c r="I834" t="n">
        <v>46.2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46248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46248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477-2022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44587</v>
      </c>
      <c r="E837" s="1" t="n">
        <v>46248</v>
      </c>
      <c r="F837" t="inlineStr">
        <is>
          <t>KALMAR LÄN</t>
        </is>
      </c>
      <c r="G837" t="inlineStr">
        <is>
          <t>NYBRO</t>
        </is>
      </c>
      <c r="I837" t="n">
        <v>10.1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4877-2022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44806</v>
      </c>
      <c r="E838" s="1" t="n">
        <v>46248</v>
      </c>
      <c r="F838" t="inlineStr">
        <is>
          <t>KALMAR LÄN</t>
        </is>
      </c>
      <c r="G838" t="inlineStr">
        <is>
          <t>NYBRO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5164-2024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46248</v>
      </c>
      <c r="F839" t="inlineStr">
        <is>
          <t>KALMAR LÄN</t>
        </is>
      </c>
      <c r="G839" t="inlineStr">
        <is>
          <t>NYBRO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1608-2023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46248</v>
      </c>
      <c r="F840" t="inlineStr">
        <is>
          <t>KALMAR LÄN</t>
        </is>
      </c>
      <c r="G840" t="inlineStr">
        <is>
          <t>NYBRO</t>
        </is>
      </c>
      <c r="I840" t="n">
        <v>16.4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46248</v>
      </c>
      <c r="F841" t="inlineStr">
        <is>
          <t>KALMAR LÄN</t>
        </is>
      </c>
      <c r="G841" t="inlineStr">
        <is>
          <t>NYBRO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654-2022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44594</v>
      </c>
      <c r="E842" s="1" t="n">
        <v>46248</v>
      </c>
      <c r="F842" t="inlineStr">
        <is>
          <t>KALMAR LÄN</t>
        </is>
      </c>
      <c r="G842" t="inlineStr">
        <is>
          <t>NYBRO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2489-2022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44693</v>
      </c>
      <c r="E843" s="1" t="n">
        <v>46248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46248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46248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46248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46248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453-2022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44587</v>
      </c>
      <c r="E848" s="1" t="n">
        <v>46248</v>
      </c>
      <c r="F848" t="inlineStr">
        <is>
          <t>KALMAR LÄN</t>
        </is>
      </c>
      <c r="G848" t="inlineStr">
        <is>
          <t>NYBRO</t>
        </is>
      </c>
      <c r="I848" t="n">
        <v>20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46248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46248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46248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46248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46248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46248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46248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46248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46248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46248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46248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2026-08-14T01:56:51Z</dcterms:created>
  <dcterms:modified xmlns:dcterms="http://purl.org/dc/terms/" xmlns:xsi="http://www.w3.org/2001/XMLSchema-instance" xsi:type="dcterms:W3CDTF">2026-08-14T01:56:51Z</dcterms:modified>
</cp:coreProperties>
</file>