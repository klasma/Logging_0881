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46263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46263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46263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46263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46263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46263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46263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46263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46263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46263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46263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46263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46263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46263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46263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46263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46263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46263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46263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46263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46263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46263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46263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46263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46263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46263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46263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46263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46263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46263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46263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46263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46263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46263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46263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46263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36825-2023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46263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20.3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Tjäder
Kungsfågel</t>
        </is>
      </c>
      <c r="W56">
        <f>HYPERLINK("https://klasma.github.io/Logging_0881/artfynd/A 36825-2023 artfynd.xlsx", "A 36825-2023")</f>
        <v/>
      </c>
      <c r="X56">
        <f>HYPERLINK("https://klasma.github.io/Logging_0881/kartor/A 36825-2023 karta.png", "A 36825-2023")</f>
        <v/>
      </c>
      <c r="Y56">
        <f>HYPERLINK("https://klasma.github.io/Logging_0881/kartor_geotiff/A 36825-2023 georefererad karta.tif", "A 36825-2023")</f>
        <v/>
      </c>
      <c r="AA56">
        <f>HYPERLINK("https://klasma.github.io/Logging_0881/klagomål/A 36825-2023 FSC-klagomål.docx", "A 36825-2023")</f>
        <v/>
      </c>
      <c r="AB56">
        <f>HYPERLINK("https://klasma.github.io/Logging_0881/klagomålsmail/A 36825-2023 FSC-klagomål mail.docx", "A 36825-2023")</f>
        <v/>
      </c>
      <c r="AC56">
        <f>HYPERLINK("https://klasma.github.io/Logging_0881/tillsyn/A 36825-2023 tillsynsbegäran.docx", "A 36825-2023")</f>
        <v/>
      </c>
      <c r="AD56">
        <f>HYPERLINK("https://klasma.github.io/Logging_0881/tillsynsmail/A 36825-2023 tillsynsbegäran mail.docx", "A 36825-2023")</f>
        <v/>
      </c>
      <c r="AE56">
        <f>HYPERLINK("https://klasma.github.io/Logging_0881/fåglar/A 36825-2023 prioriterade fågelarter.docx", "A 36825-2023")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46263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44064-2023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46263</v>
      </c>
      <c r="F58" t="inlineStr">
        <is>
          <t>KALMAR LÄN</t>
        </is>
      </c>
      <c r="G58" t="inlineStr">
        <is>
          <t>NYBRO</t>
        </is>
      </c>
      <c r="I58" t="n">
        <v>1.8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Rostfläck
Sotlav</t>
        </is>
      </c>
      <c r="W58">
        <f>HYPERLINK("https://klasma.github.io/Logging_0881/artfynd/A 44064-2023 artfynd.xlsx", "A 44064-2023")</f>
        <v/>
      </c>
      <c r="X58">
        <f>HYPERLINK("https://klasma.github.io/Logging_0881/kartor/A 44064-2023 karta.png", "A 44064-2023")</f>
        <v/>
      </c>
      <c r="Y58">
        <f>HYPERLINK("https://klasma.github.io/Logging_0881/kartor_geotiff/A 44064-2023 georefererad karta.tif", "A 44064-2023")</f>
        <v/>
      </c>
      <c r="AA58">
        <f>HYPERLINK("https://klasma.github.io/Logging_0881/klagomål/A 44064-2023 FSC-klagomål.docx", "A 44064-2023")</f>
        <v/>
      </c>
      <c r="AB58">
        <f>HYPERLINK("https://klasma.github.io/Logging_0881/klagomålsmail/A 44064-2023 FSC-klagomål mail.docx", "A 44064-2023")</f>
        <v/>
      </c>
      <c r="AC58">
        <f>HYPERLINK("https://klasma.github.io/Logging_0881/tillsyn/A 44064-2023 tillsynsbegäran.docx", "A 44064-2023")</f>
        <v/>
      </c>
      <c r="AD58">
        <f>HYPERLINK("https://klasma.github.io/Logging_0881/tillsynsmail/A 44064-2023 tillsynsbegäran mail.docx", "A 44064-2023")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46263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22316-2024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46263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Nordfladdermus
Dvärgpipistrell</t>
        </is>
      </c>
      <c r="W60">
        <f>HYPERLINK("https://klasma.github.io/Logging_0881/artfynd/A 22316-2024 artfynd.xlsx", "A 22316-2024")</f>
        <v/>
      </c>
      <c r="X60">
        <f>HYPERLINK("https://klasma.github.io/Logging_0881/kartor/A 22316-2024 karta.png", "A 22316-2024")</f>
        <v/>
      </c>
      <c r="Y60">
        <f>HYPERLINK("https://klasma.github.io/Logging_0881/kartor_geotiff/A 22316-2024 georefererad karta.tif", "A 22316-2024")</f>
        <v/>
      </c>
      <c r="AA60">
        <f>HYPERLINK("https://klasma.github.io/Logging_0881/klagomål/A 22316-2024 FSC-klagomål.docx", "A 22316-2024")</f>
        <v/>
      </c>
      <c r="AB60">
        <f>HYPERLINK("https://klasma.github.io/Logging_0881/klagomålsmail/A 22316-2024 FSC-klagomål mail.docx", "A 22316-2024")</f>
        <v/>
      </c>
      <c r="AC60">
        <f>HYPERLINK("https://klasma.github.io/Logging_0881/tillsyn/A 22316-2024 tillsynsbegäran.docx", "A 22316-2024")</f>
        <v/>
      </c>
      <c r="AD60">
        <f>HYPERLINK("https://klasma.github.io/Logging_0881/tillsynsmail/A 22316-2024 tillsynsbegäran mail.docx", "A 22316-2024")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46263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46263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46263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46263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46263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46263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46263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46263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46263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46263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46263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46263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46263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37621-2024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46263</v>
      </c>
      <c r="F78" t="inlineStr">
        <is>
          <t>KALMAR LÄN</t>
        </is>
      </c>
      <c r="G78" t="inlineStr">
        <is>
          <t>NYBRO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HYPERLINK("https://klasma.github.io/Logging_0881/artfynd/A 37621-2024 artfynd.xlsx", "A 37621-2024")</f>
        <v/>
      </c>
      <c r="X78">
        <f>HYPERLINK("https://klasma.github.io/Logging_0881/kartor/A 37621-2024 karta.png", "A 37621-2024")</f>
        <v/>
      </c>
      <c r="Y78">
        <f>HYPERLINK("https://klasma.github.io/Logging_0881/kartor_geotiff/A 37621-2024 georefererad karta.tif", "A 37621-2024")</f>
        <v/>
      </c>
      <c r="AA78">
        <f>HYPERLINK("https://klasma.github.io/Logging_0881/klagomål/A 37621-2024 FSC-klagomål.docx", "A 37621-2024")</f>
        <v/>
      </c>
      <c r="AB78">
        <f>HYPERLINK("https://klasma.github.io/Logging_0881/klagomålsmail/A 37621-2024 FSC-klagomål mail.docx", "A 37621-2024")</f>
        <v/>
      </c>
      <c r="AC78">
        <f>HYPERLINK("https://klasma.github.io/Logging_0881/tillsyn/A 37621-2024 tillsynsbegäran.docx", "A 37621-2024")</f>
        <v/>
      </c>
      <c r="AD78">
        <f>HYPERLINK("https://klasma.github.io/Logging_0881/tillsynsmail/A 37621-2024 tillsynsbegäran mail.docx", "A 37621-2024")</f>
        <v/>
      </c>
    </row>
    <row r="79" ht="15" customHeight="1">
      <c r="A79" t="inlineStr">
        <is>
          <t>A 60036-2022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46263</v>
      </c>
      <c r="F79" t="inlineStr">
        <is>
          <t>KALMAR LÄN</t>
        </is>
      </c>
      <c r="G79" t="inlineStr">
        <is>
          <t>NYBRO</t>
        </is>
      </c>
      <c r="I79" t="n">
        <v>8.699999999999999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13</v>
      </c>
      <c r="U79" t="n">
        <v>0</v>
      </c>
      <c r="V79" s="2" t="inlineStr">
        <is>
          <t>Knärot</t>
        </is>
      </c>
      <c r="W79">
        <f>HYPERLINK("https://klasma.github.io/Logging_0881/artfynd/A 60036-2022 artfynd.xlsx", "A 60036-2022")</f>
        <v/>
      </c>
      <c r="X79">
        <f>HYPERLINK("https://klasma.github.io/Logging_0881/kartor/A 60036-2022 karta.png", "A 60036-2022")</f>
        <v/>
      </c>
      <c r="Y79">
        <f>HYPERLINK("https://klasma.github.io/Logging_0881/kartor_geotiff/A 60036-2022 georefererad karta.tif", "A 60036-2022")</f>
        <v/>
      </c>
      <c r="Z79">
        <f>HYPERLINK("https://klasma.github.io/Logging_0881/knärot/A 60036-2022 karta knärot.png", "A 60036-2022")</f>
        <v/>
      </c>
      <c r="AA79">
        <f>HYPERLINK("https://klasma.github.io/Logging_0881/klagomål/A 60036-2022 FSC-klagomål.docx", "A 60036-2022")</f>
        <v/>
      </c>
      <c r="AB79">
        <f>HYPERLINK("https://klasma.github.io/Logging_0881/klagomålsmail/A 60036-2022 FSC-klagomål mail.docx", "A 60036-2022")</f>
        <v/>
      </c>
      <c r="AC79">
        <f>HYPERLINK("https://klasma.github.io/Logging_0881/tillsyn/A 60036-2022 tillsynsbegäran.docx", "A 60036-2022")</f>
        <v/>
      </c>
      <c r="AD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46263</v>
      </c>
      <c r="F80" t="inlineStr">
        <is>
          <t>KALMAR LÄN</t>
        </is>
      </c>
      <c r="G80" t="inlineStr">
        <is>
          <t>NYBRO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HYPERLINK("https://klasma.github.io/Logging_0881/artfynd/A 38798-2024 artfynd.xlsx", "A 38798-2024")</f>
        <v/>
      </c>
      <c r="X80">
        <f>HYPERLINK("https://klasma.github.io/Logging_0881/kartor/A 38798-2024 karta.png", "A 38798-2024")</f>
        <v/>
      </c>
      <c r="Y80">
        <f>HYPERLINK("https://klasma.github.io/Logging_0881/kartor_geotiff/A 38798-2024 georefererad karta.tif", "A 38798-2024")</f>
        <v/>
      </c>
      <c r="AA80">
        <f>HYPERLINK("https://klasma.github.io/Logging_0881/klagomål/A 38798-2024 FSC-klagomål.docx", "A 38798-2024")</f>
        <v/>
      </c>
      <c r="AB80">
        <f>HYPERLINK("https://klasma.github.io/Logging_0881/klagomålsmail/A 38798-2024 FSC-klagomål mail.docx", "A 38798-2024")</f>
        <v/>
      </c>
      <c r="AC80">
        <f>HYPERLINK("https://klasma.github.io/Logging_0881/tillsyn/A 38798-2024 tillsynsbegäran.docx", "A 38798-2024")</f>
        <v/>
      </c>
      <c r="AD80">
        <f>HYPERLINK("https://klasma.github.io/Logging_0881/tillsynsmail/A 38798-2024 tillsynsbegäran mail.docx", "A 38798-2024")</f>
        <v/>
      </c>
      <c r="AE80">
        <f>HYPERLINK("https://klasma.github.io/Logging_0881/fåglar/A 38798-2024 prioriterade fågelarter.docx", "A 38798-2024")</f>
        <v/>
      </c>
    </row>
    <row r="81" ht="15" customHeight="1">
      <c r="A81" t="inlineStr">
        <is>
          <t>A 6931-2025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46263</v>
      </c>
      <c r="F81" t="inlineStr">
        <is>
          <t>KALMAR LÄN</t>
        </is>
      </c>
      <c r="G81" t="inlineStr">
        <is>
          <t>NYBRO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Grönpyrola</t>
        </is>
      </c>
      <c r="W81">
        <f>HYPERLINK("https://klasma.github.io/Logging_0881/artfynd/A 6931-2025 artfynd.xlsx", "A 6931-2025")</f>
        <v/>
      </c>
      <c r="X81">
        <f>HYPERLINK("https://klasma.github.io/Logging_0881/kartor/A 6931-2025 karta.png", "A 6931-2025")</f>
        <v/>
      </c>
      <c r="Y81">
        <f>HYPERLINK("https://klasma.github.io/Logging_0881/kartor_geotiff/A 6931-2025 georefererad karta.tif", "A 6931-2025")</f>
        <v/>
      </c>
      <c r="AA81">
        <f>HYPERLINK("https://klasma.github.io/Logging_0881/klagomål/A 6931-2025 FSC-klagomål.docx", "A 6931-2025")</f>
        <v/>
      </c>
      <c r="AB81">
        <f>HYPERLINK("https://klasma.github.io/Logging_0881/klagomålsmail/A 6931-2025 FSC-klagomål mail.docx", "A 6931-2025")</f>
        <v/>
      </c>
      <c r="AC81">
        <f>HYPERLINK("https://klasma.github.io/Logging_0881/tillsyn/A 6931-2025 tillsynsbegäran.docx", "A 6931-2025")</f>
        <v/>
      </c>
      <c r="AD81">
        <f>HYPERLINK("https://klasma.github.io/Logging_0881/tillsynsmail/A 6931-2025 tillsynsbegäran mail.docx", "A 6931-2025")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46263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46263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38265-2024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45545</v>
      </c>
      <c r="E84" s="1" t="n">
        <v>46263</v>
      </c>
      <c r="F84" t="inlineStr">
        <is>
          <t>KALMAR LÄN</t>
        </is>
      </c>
      <c r="G84" t="inlineStr">
        <is>
          <t>NYBRO</t>
        </is>
      </c>
      <c r="I84" t="n">
        <v>4.2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Mindre bastardsvärmare</t>
        </is>
      </c>
      <c r="W84">
        <f>HYPERLINK("https://klasma.github.io/Logging_0881/artfynd/A 38265-2024 artfynd.xlsx", "A 38265-2024")</f>
        <v/>
      </c>
      <c r="X84">
        <f>HYPERLINK("https://klasma.github.io/Logging_0881/kartor/A 38265-2024 karta.png", "A 38265-2024")</f>
        <v/>
      </c>
      <c r="Y84">
        <f>HYPERLINK("https://klasma.github.io/Logging_0881/kartor_geotiff/A 38265-2024 georefererad karta.tif", "A 38265-2024")</f>
        <v/>
      </c>
      <c r="AA84">
        <f>HYPERLINK("https://klasma.github.io/Logging_0881/klagomål/A 38265-2024 FSC-klagomål.docx", "A 38265-2024")</f>
        <v/>
      </c>
      <c r="AB84">
        <f>HYPERLINK("https://klasma.github.io/Logging_0881/klagomålsmail/A 38265-2024 FSC-klagomål mail.docx", "A 38265-2024")</f>
        <v/>
      </c>
      <c r="AC84">
        <f>HYPERLINK("https://klasma.github.io/Logging_0881/tillsyn/A 38265-2024 tillsynsbegäran.docx", "A 38265-2024")</f>
        <v/>
      </c>
      <c r="AD84">
        <f>HYPERLINK("https://klasma.github.io/Logging_0881/tillsynsmail/A 38265-2024 tillsynsbegäran mail.docx", "A 38265-2024")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46263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46263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46263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Tårkragskivling</t>
        </is>
      </c>
      <c r="W87">
        <f>HYPERLINK("https://klasma.github.io/Logging_0881/artfynd/A 17741-2025 artfynd.xlsx", "A 17741-2025")</f>
        <v/>
      </c>
      <c r="X87">
        <f>HYPERLINK("https://klasma.github.io/Logging_0881/kartor/A 17741-2025 karta.png", "A 17741-2025")</f>
        <v/>
      </c>
      <c r="Y87">
        <f>HYPERLINK("https://klasma.github.io/Logging_0881/kartor_geotiff/A 17741-2025 georefererad karta.tif", "A 17741-2025")</f>
        <v/>
      </c>
      <c r="AA87">
        <f>HYPERLINK("https://klasma.github.io/Logging_0881/klagomål/A 17741-2025 FSC-klagomål.docx", "A 17741-2025")</f>
        <v/>
      </c>
      <c r="AB87">
        <f>HYPERLINK("https://klasma.github.io/Logging_0881/klagomålsmail/A 17741-2025 FSC-klagomål mail.docx", "A 17741-2025")</f>
        <v/>
      </c>
      <c r="AC87">
        <f>HYPERLINK("https://klasma.github.io/Logging_0881/tillsyn/A 17741-2025 tillsynsbegäran.docx", "A 17741-2025")</f>
        <v/>
      </c>
      <c r="AD87">
        <f>HYPERLINK("https://klasma.github.io/Logging_0881/tillsynsmail/A 17741-2025 tillsynsbegäran mail.docx", "A 17741-2025")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46263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46263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22952-2024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45449</v>
      </c>
      <c r="E90" s="1" t="n">
        <v>46263</v>
      </c>
      <c r="F90" t="inlineStr">
        <is>
          <t>KALMAR LÄN</t>
        </is>
      </c>
      <c r="G90" t="inlineStr">
        <is>
          <t>NYBRO</t>
        </is>
      </c>
      <c r="I90" t="n">
        <v>14.1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HYPERLINK("https://klasma.github.io/Logging_0881/artfynd/A 22952-2024 artfynd.xlsx", "A 22952-2024")</f>
        <v/>
      </c>
      <c r="X90">
        <f>HYPERLINK("https://klasma.github.io/Logging_0881/kartor/A 22952-2024 karta.png", "A 22952-2024")</f>
        <v/>
      </c>
      <c r="Y90">
        <f>HYPERLINK("https://klasma.github.io/Logging_0881/kartor_geotiff/A 22952-2024 georefererad karta.tif", "A 22952-2024")</f>
        <v/>
      </c>
      <c r="AA90">
        <f>HYPERLINK("https://klasma.github.io/Logging_0881/klagomål/A 22952-2024 FSC-klagomål.docx", "A 22952-2024")</f>
        <v/>
      </c>
      <c r="AB90">
        <f>HYPERLINK("https://klasma.github.io/Logging_0881/klagomålsmail/A 22952-2024 FSC-klagomål mail.docx", "A 22952-2024")</f>
        <v/>
      </c>
      <c r="AC90">
        <f>HYPERLINK("https://klasma.github.io/Logging_0881/tillsyn/A 22952-2024 tillsynsbegäran.docx", "A 22952-2024")</f>
        <v/>
      </c>
      <c r="AD90">
        <f>HYPERLINK("https://klasma.github.io/Logging_0881/tillsynsmail/A 22952-2024 tillsynsbegäran mail.docx", "A 22952-2024")</f>
        <v/>
      </c>
    </row>
    <row r="91" ht="15" customHeight="1">
      <c r="A91" t="inlineStr">
        <is>
          <t>A 47582-2021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46263</v>
      </c>
      <c r="F91" t="inlineStr">
        <is>
          <t>KALMAR LÄN</t>
        </is>
      </c>
      <c r="G91" t="inlineStr">
        <is>
          <t>NYBRO</t>
        </is>
      </c>
      <c r="I91" t="n">
        <v>4.5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Kungsfågel</t>
        </is>
      </c>
      <c r="W91">
        <f>HYPERLINK("https://klasma.github.io/Logging_0881/artfynd/A 47582-2021 artfynd.xlsx", "A 47582-2021")</f>
        <v/>
      </c>
      <c r="X91">
        <f>HYPERLINK("https://klasma.github.io/Logging_0881/kartor/A 47582-2021 karta.png", "A 47582-2021")</f>
        <v/>
      </c>
      <c r="Y91">
        <f>HYPERLINK("https://klasma.github.io/Logging_0881/kartor_geotiff/A 47582-2021 georefererad karta.tif", "A 47582-2021")</f>
        <v/>
      </c>
      <c r="AA91">
        <f>HYPERLINK("https://klasma.github.io/Logging_0881/klagomål/A 47582-2021 FSC-klagomål.docx", "A 47582-2021")</f>
        <v/>
      </c>
      <c r="AB91">
        <f>HYPERLINK("https://klasma.github.io/Logging_0881/klagomålsmail/A 47582-2021 FSC-klagomål mail.docx", "A 47582-2021")</f>
        <v/>
      </c>
      <c r="AC91">
        <f>HYPERLINK("https://klasma.github.io/Logging_0881/tillsyn/A 47582-2021 tillsynsbegäran.docx", "A 47582-2021")</f>
        <v/>
      </c>
      <c r="AD91">
        <f>HYPERLINK("https://klasma.github.io/Logging_0881/tillsynsmail/A 47582-2021 tillsynsbegäran mail.docx", "A 47582-2021")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46263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54216-2024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46263</v>
      </c>
      <c r="F93" t="inlineStr">
        <is>
          <t>KALMAR LÄN</t>
        </is>
      </c>
      <c r="G93" t="inlineStr">
        <is>
          <t>NYBRO</t>
        </is>
      </c>
      <c r="I93" t="n">
        <v>4.4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HYPERLINK("https://klasma.github.io/Logging_0881/artfynd/A 54216-2024 artfynd.xlsx", "A 54216-2024")</f>
        <v/>
      </c>
      <c r="X93">
        <f>HYPERLINK("https://klasma.github.io/Logging_0881/kartor/A 54216-2024 karta.png", "A 54216-2024")</f>
        <v/>
      </c>
      <c r="Y93">
        <f>HYPERLINK("https://klasma.github.io/Logging_0881/kartor_geotiff/A 54216-2024 georefererad karta.tif", "A 54216-2024")</f>
        <v/>
      </c>
      <c r="AA93">
        <f>HYPERLINK("https://klasma.github.io/Logging_0881/klagomål/A 54216-2024 FSC-klagomål.docx", "A 54216-2024")</f>
        <v/>
      </c>
      <c r="AB93">
        <f>HYPERLINK("https://klasma.github.io/Logging_0881/klagomålsmail/A 54216-2024 FSC-klagomål mail.docx", "A 54216-2024")</f>
        <v/>
      </c>
      <c r="AC93">
        <f>HYPERLINK("https://klasma.github.io/Logging_0881/tillsyn/A 54216-2024 tillsynsbegäran.docx", "A 54216-2024")</f>
        <v/>
      </c>
      <c r="AD93">
        <f>HYPERLINK("https://klasma.github.io/Logging_0881/tillsynsmail/A 54216-2024 tillsynsbegäran mail.docx", "A 54216-2024")</f>
        <v/>
      </c>
      <c r="AE93">
        <f>HYPERLINK("https://klasma.github.io/Logging_0881/fåglar/A 54216-2024 prioriterade fågelarter.docx", "A 54216-2024")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46263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37016-2023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46263</v>
      </c>
      <c r="F95" t="inlineStr">
        <is>
          <t>KALMAR LÄN</t>
        </is>
      </c>
      <c r="G95" t="inlineStr">
        <is>
          <t>NYBRO</t>
        </is>
      </c>
      <c r="I95" t="n">
        <v>6.4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Slåttergubbe</t>
        </is>
      </c>
      <c r="W95">
        <f>HYPERLINK("https://klasma.github.io/Logging_0881/artfynd/A 37016-2023 artfynd.xlsx", "A 37016-2023")</f>
        <v/>
      </c>
      <c r="X95">
        <f>HYPERLINK("https://klasma.github.io/Logging_0881/kartor/A 37016-2023 karta.png", "A 37016-2023")</f>
        <v/>
      </c>
      <c r="Y95">
        <f>HYPERLINK("https://klasma.github.io/Logging_0881/kartor_geotiff/A 37016-2023 georefererad karta.tif", "A 37016-2023")</f>
        <v/>
      </c>
      <c r="AA95">
        <f>HYPERLINK("https://klasma.github.io/Logging_0881/klagomål/A 37016-2023 FSC-klagomål.docx", "A 37016-2023")</f>
        <v/>
      </c>
      <c r="AB95">
        <f>HYPERLINK("https://klasma.github.io/Logging_0881/klagomålsmail/A 37016-2023 FSC-klagomål mail.docx", "A 37016-2023")</f>
        <v/>
      </c>
      <c r="AC95">
        <f>HYPERLINK("https://klasma.github.io/Logging_0881/tillsyn/A 37016-2023 tillsynsbegäran.docx", "A 37016-2023")</f>
        <v/>
      </c>
      <c r="AD95">
        <f>HYPERLINK("https://klasma.github.io/Logging_0881/tillsynsmail/A 37016-2023 tillsynsbegäran mail.docx", "A 37016-2023")</f>
        <v/>
      </c>
    </row>
    <row r="96" ht="15" customHeight="1">
      <c r="A96" t="inlineStr">
        <is>
          <t>A 48980-2024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46263</v>
      </c>
      <c r="F96" t="inlineStr">
        <is>
          <t>KALMAR LÄN</t>
        </is>
      </c>
      <c r="G96" t="inlineStr">
        <is>
          <t>NYBRO</t>
        </is>
      </c>
      <c r="I96" t="n">
        <v>41.9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Hjärtstilla</t>
        </is>
      </c>
      <c r="W96">
        <f>HYPERLINK("https://klasma.github.io/Logging_0881/artfynd/A 48980-2024 artfynd.xlsx", "A 48980-2024")</f>
        <v/>
      </c>
      <c r="X96">
        <f>HYPERLINK("https://klasma.github.io/Logging_0881/kartor/A 48980-2024 karta.png", "A 48980-2024")</f>
        <v/>
      </c>
      <c r="Y96">
        <f>HYPERLINK("https://klasma.github.io/Logging_0881/kartor_geotiff/A 48980-2024 georefererad karta.tif", "A 48980-2024")</f>
        <v/>
      </c>
      <c r="AA96">
        <f>HYPERLINK("https://klasma.github.io/Logging_0881/klagomål/A 48980-2024 FSC-klagomål.docx", "A 48980-2024")</f>
        <v/>
      </c>
      <c r="AB96">
        <f>HYPERLINK("https://klasma.github.io/Logging_0881/klagomålsmail/A 48980-2024 FSC-klagomål mail.docx", "A 48980-2024")</f>
        <v/>
      </c>
      <c r="AC96">
        <f>HYPERLINK("https://klasma.github.io/Logging_0881/tillsyn/A 48980-2024 tillsynsbegäran.docx", "A 48980-2024")</f>
        <v/>
      </c>
      <c r="AD96">
        <f>HYPERLINK("https://klasma.github.io/Logging_0881/tillsynsmail/A 48980-2024 tillsynsbegäran mail.docx", "A 48980-2024")</f>
        <v/>
      </c>
    </row>
    <row r="97" ht="15" customHeight="1">
      <c r="A97" t="inlineStr">
        <is>
          <t>A 31861-2023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46263</v>
      </c>
      <c r="F97" t="inlineStr">
        <is>
          <t>KALMAR LÄN</t>
        </is>
      </c>
      <c r="G97" t="inlineStr">
        <is>
          <t>NYBRO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HYPERLINK("https://klasma.github.io/Logging_0881/artfynd/A 31861-2023 artfynd.xlsx", "A 31861-2023")</f>
        <v/>
      </c>
      <c r="X97">
        <f>HYPERLINK("https://klasma.github.io/Logging_0881/kartor/A 31861-2023 karta.png", "A 31861-2023")</f>
        <v/>
      </c>
      <c r="Y97">
        <f>HYPERLINK("https://klasma.github.io/Logging_0881/kartor_geotiff/A 31861-2023 georefererad karta.tif", "A 31861-2023")</f>
        <v/>
      </c>
      <c r="AA97">
        <f>HYPERLINK("https://klasma.github.io/Logging_0881/klagomål/A 31861-2023 FSC-klagomål.docx", "A 31861-2023")</f>
        <v/>
      </c>
      <c r="AB97">
        <f>HYPERLINK("https://klasma.github.io/Logging_0881/klagomålsmail/A 31861-2023 FSC-klagomål mail.docx", "A 31861-2023")</f>
        <v/>
      </c>
      <c r="AC97">
        <f>HYPERLINK("https://klasma.github.io/Logging_0881/tillsyn/A 31861-2023 tillsynsbegäran.docx", "A 31861-2023")</f>
        <v/>
      </c>
      <c r="AD97">
        <f>HYPERLINK("https://klasma.github.io/Logging_0881/tillsynsmail/A 31861-2023 tillsynsbegäran mail.docx", "A 31861-2023")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46263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13412-2026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46263</v>
      </c>
      <c r="F99" t="inlineStr">
        <is>
          <t>KALMAR LÄN</t>
        </is>
      </c>
      <c r="G99" t="inlineStr">
        <is>
          <t>NYBRO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HYPERLINK("https://klasma.github.io/Logging_0881/artfynd/A 13412-2026 artfynd.xlsx", "A 13412-2026")</f>
        <v/>
      </c>
      <c r="X99">
        <f>HYPERLINK("https://klasma.github.io/Logging_0881/kartor/A 13412-2026 karta.png", "A 13412-2026")</f>
        <v/>
      </c>
      <c r="Y99">
        <f>HYPERLINK("https://klasma.github.io/Logging_0881/kartor_geotiff/A 13412-2026 georefererad karta.tif", "A 13412-2026")</f>
        <v/>
      </c>
      <c r="AA99">
        <f>HYPERLINK("https://klasma.github.io/Logging_0881/klagomål/A 13412-2026 FSC-klagomål.docx", "A 13412-2026")</f>
        <v/>
      </c>
      <c r="AB99">
        <f>HYPERLINK("https://klasma.github.io/Logging_0881/klagomålsmail/A 13412-2026 FSC-klagomål mail.docx", "A 13412-2026")</f>
        <v/>
      </c>
      <c r="AC99">
        <f>HYPERLINK("https://klasma.github.io/Logging_0881/tillsyn/A 13412-2026 tillsynsbegäran.docx", "A 13412-2026")</f>
        <v/>
      </c>
      <c r="AD99">
        <f>HYPERLINK("https://klasma.github.io/Logging_0881/tillsynsmail/A 13412-2026 tillsynsbegäran mail.docx", "A 13412-2026")</f>
        <v/>
      </c>
    </row>
    <row r="100" ht="15" customHeight="1">
      <c r="A100" t="inlineStr">
        <is>
          <t>A 16161-2026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46109</v>
      </c>
      <c r="E100" s="1" t="n">
        <v>46263</v>
      </c>
      <c r="F100" t="inlineStr">
        <is>
          <t>KALMAR LÄN</t>
        </is>
      </c>
      <c r="G100" t="inlineStr">
        <is>
          <t>NYBRO</t>
        </is>
      </c>
      <c r="I100" t="n">
        <v>6.1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Mosippa</t>
        </is>
      </c>
      <c r="W100">
        <f>HYPERLINK("https://klasma.github.io/Logging_0881/artfynd/A 16161-2026 artfynd.xlsx", "A 16161-2026")</f>
        <v/>
      </c>
      <c r="X100">
        <f>HYPERLINK("https://klasma.github.io/Logging_0881/kartor/A 16161-2026 karta.png", "A 16161-2026")</f>
        <v/>
      </c>
      <c r="Y100">
        <f>HYPERLINK("https://klasma.github.io/Logging_0881/kartor_geotiff/A 16161-2026 georefererad karta.tif", "A 16161-2026")</f>
        <v/>
      </c>
      <c r="AA100">
        <f>HYPERLINK("https://klasma.github.io/Logging_0881/klagomål/A 16161-2026 FSC-klagomål.docx", "A 16161-2026")</f>
        <v/>
      </c>
      <c r="AB100">
        <f>HYPERLINK("https://klasma.github.io/Logging_0881/klagomålsmail/A 16161-2026 FSC-klagomål mail.docx", "A 16161-2026")</f>
        <v/>
      </c>
      <c r="AC100">
        <f>HYPERLINK("https://klasma.github.io/Logging_0881/tillsyn/A 16161-2026 tillsynsbegäran.docx", "A 16161-2026")</f>
        <v/>
      </c>
      <c r="AD100">
        <f>HYPERLINK("https://klasma.github.io/Logging_0881/tillsynsmail/A 16161-2026 tillsynsbegäran mail.docx", "A 16161-2026")</f>
        <v/>
      </c>
    </row>
    <row r="101" ht="15" customHeight="1">
      <c r="A101" t="inlineStr">
        <is>
          <t>A 18402-2026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46126</v>
      </c>
      <c r="E101" s="1" t="n">
        <v>46263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13.2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HYPERLINK("https://klasma.github.io/Logging_0881/artfynd/A 18402-2026 artfynd.xlsx", "A 18402-2026")</f>
        <v/>
      </c>
      <c r="X101">
        <f>HYPERLINK("https://klasma.github.io/Logging_0881/kartor/A 18402-2026 karta.png", "A 18402-2026")</f>
        <v/>
      </c>
      <c r="Y101">
        <f>HYPERLINK("https://klasma.github.io/Logging_0881/kartor_geotiff/A 18402-2026 georefererad karta.tif", "A 18402-2026")</f>
        <v/>
      </c>
      <c r="AA101">
        <f>HYPERLINK("https://klasma.github.io/Logging_0881/klagomål/A 18402-2026 FSC-klagomål.docx", "A 18402-2026")</f>
        <v/>
      </c>
      <c r="AB101">
        <f>HYPERLINK("https://klasma.github.io/Logging_0881/klagomålsmail/A 18402-2026 FSC-klagomål mail.docx", "A 18402-2026")</f>
        <v/>
      </c>
      <c r="AC101">
        <f>HYPERLINK("https://klasma.github.io/Logging_0881/tillsyn/A 18402-2026 tillsynsbegäran.docx", "A 18402-2026")</f>
        <v/>
      </c>
      <c r="AD101">
        <f>HYPERLINK("https://klasma.github.io/Logging_0881/tillsynsmail/A 18402-2026 tillsynsbegäran mail.docx", "A 18402-2026")</f>
        <v/>
      </c>
      <c r="AE101">
        <f>HYPERLINK("https://klasma.github.io/Logging_0881/fåglar/A 18402-2026 prioriterade fågelarter.docx", "A 18402-2026")</f>
        <v/>
      </c>
    </row>
    <row r="102" ht="15" customHeight="1">
      <c r="A102" t="inlineStr">
        <is>
          <t>A 6061-2025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46263</v>
      </c>
      <c r="F102" t="inlineStr">
        <is>
          <t>KALMAR LÄN</t>
        </is>
      </c>
      <c r="G102" t="inlineStr">
        <is>
          <t>NYBRO</t>
        </is>
      </c>
      <c r="I102" t="n">
        <v>1.9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Purpurknipprot</t>
        </is>
      </c>
      <c r="W102">
        <f>HYPERLINK("https://klasma.github.io/Logging_0881/artfynd/A 6061-2025 artfynd.xlsx", "A 6061-2025")</f>
        <v/>
      </c>
      <c r="X102">
        <f>HYPERLINK("https://klasma.github.io/Logging_0881/kartor/A 6061-2025 karta.png", "A 6061-2025")</f>
        <v/>
      </c>
      <c r="Y102">
        <f>HYPERLINK("https://klasma.github.io/Logging_0881/kartor_geotiff/A 6061-2025 georefererad karta.tif", "A 6061-2025")</f>
        <v/>
      </c>
      <c r="AA102">
        <f>HYPERLINK("https://klasma.github.io/Logging_0881/klagomål/A 6061-2025 FSC-klagomål.docx", "A 6061-2025")</f>
        <v/>
      </c>
      <c r="AB102">
        <f>HYPERLINK("https://klasma.github.io/Logging_0881/klagomålsmail/A 6061-2025 FSC-klagomål mail.docx", "A 6061-2025")</f>
        <v/>
      </c>
      <c r="AC102">
        <f>HYPERLINK("https://klasma.github.io/Logging_0881/tillsyn/A 6061-2025 tillsynsbegäran.docx", "A 6061-2025")</f>
        <v/>
      </c>
      <c r="AD102">
        <f>HYPERLINK("https://klasma.github.io/Logging_0881/tillsynsmail/A 6061-2025 tillsynsbegäran mail.docx", "A 6061-2025")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46263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brunfladdermus</t>
        </is>
      </c>
      <c r="W103">
        <f>HYPERLINK("https://klasma.github.io/Logging_0881/artfynd/A 16715-2025 artfynd.xlsx", "A 16715-2025")</f>
        <v/>
      </c>
      <c r="X103">
        <f>HYPERLINK("https://klasma.github.io/Logging_0881/kartor/A 16715-2025 karta.png", "A 16715-2025")</f>
        <v/>
      </c>
      <c r="Y103">
        <f>HYPERLINK("https://klasma.github.io/Logging_0881/kartor_geotiff/A 16715-2025 georefererad karta.tif", "A 16715-2025")</f>
        <v/>
      </c>
      <c r="AA103">
        <f>HYPERLINK("https://klasma.github.io/Logging_0881/klagomål/A 16715-2025 FSC-klagomål.docx", "A 16715-2025")</f>
        <v/>
      </c>
      <c r="AB103">
        <f>HYPERLINK("https://klasma.github.io/Logging_0881/klagomålsmail/A 16715-2025 FSC-klagomål mail.docx", "A 16715-2025")</f>
        <v/>
      </c>
      <c r="AC103">
        <f>HYPERLINK("https://klasma.github.io/Logging_0881/tillsyn/A 16715-2025 tillsynsbegäran.docx", "A 16715-2025")</f>
        <v/>
      </c>
      <c r="AD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46263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HYPERLINK("https://klasma.github.io/Logging_0881/artfynd/A 1717-2024 artfynd.xlsx", "A 1717-2024")</f>
        <v/>
      </c>
      <c r="X104">
        <f>HYPERLINK("https://klasma.github.io/Logging_0881/kartor/A 1717-2024 karta.png", "A 1717-2024")</f>
        <v/>
      </c>
      <c r="Y104">
        <f>HYPERLINK("https://klasma.github.io/Logging_0881/kartor_geotiff/A 1717-2024 georefererad karta.tif", "A 1717-2024")</f>
        <v/>
      </c>
      <c r="AA104">
        <f>HYPERLINK("https://klasma.github.io/Logging_0881/klagomål/A 1717-2024 FSC-klagomål.docx", "A 1717-2024")</f>
        <v/>
      </c>
      <c r="AB104">
        <f>HYPERLINK("https://klasma.github.io/Logging_0881/klagomålsmail/A 1717-2024 FSC-klagomål mail.docx", "A 1717-2024")</f>
        <v/>
      </c>
      <c r="AC104">
        <f>HYPERLINK("https://klasma.github.io/Logging_0881/tillsyn/A 1717-2024 tillsynsbegäran.docx", "A 1717-2024")</f>
        <v/>
      </c>
      <c r="AD104">
        <f>HYPERLINK("https://klasma.github.io/Logging_0881/tillsynsmail/A 1717-2024 tillsynsbegäran mail.docx", "A 1717-2024")</f>
        <v/>
      </c>
    </row>
    <row r="105" ht="15" customHeight="1">
      <c r="A105" t="inlineStr">
        <is>
          <t>A 12323-2025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46263</v>
      </c>
      <c r="F105" t="inlineStr">
        <is>
          <t>KALMAR LÄN</t>
        </is>
      </c>
      <c r="G105" t="inlineStr">
        <is>
          <t>NYBRO</t>
        </is>
      </c>
      <c r="I105" t="n">
        <v>14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HYPERLINK("https://klasma.github.io/Logging_0881/artfynd/A 12323-2025 artfynd.xlsx", "A 12323-2025")</f>
        <v/>
      </c>
      <c r="X105">
        <f>HYPERLINK("https://klasma.github.io/Logging_0881/kartor/A 12323-2025 karta.png", "A 12323-2025")</f>
        <v/>
      </c>
      <c r="Y105">
        <f>HYPERLINK("https://klasma.github.io/Logging_0881/kartor_geotiff/A 12323-2025 georefererad karta.tif", "A 12323-2025")</f>
        <v/>
      </c>
      <c r="AA105">
        <f>HYPERLINK("https://klasma.github.io/Logging_0881/klagomål/A 12323-2025 FSC-klagomål.docx", "A 12323-2025")</f>
        <v/>
      </c>
      <c r="AB105">
        <f>HYPERLINK("https://klasma.github.io/Logging_0881/klagomålsmail/A 12323-2025 FSC-klagomål mail.docx", "A 12323-2025")</f>
        <v/>
      </c>
      <c r="AC105">
        <f>HYPERLINK("https://klasma.github.io/Logging_0881/tillsyn/A 12323-2025 tillsynsbegäran.docx", "A 12323-2025")</f>
        <v/>
      </c>
      <c r="AD105">
        <f>HYPERLINK("https://klasma.github.io/Logging_0881/tillsynsmail/A 12323-2025 tillsynsbegäran mail.docx", "A 12323-2025")</f>
        <v/>
      </c>
      <c r="AE105">
        <f>HYPERLINK("https://klasma.github.io/Logging_0881/fåglar/A 12323-2025 prioriterade fågelarter.docx", "A 12323-2025")</f>
        <v/>
      </c>
    </row>
    <row r="106" ht="15" customHeight="1">
      <c r="A106" t="inlineStr">
        <is>
          <t>A 61790-2022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46263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3.7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61790-2022 artfynd.xlsx", "A 61790-2022")</f>
        <v/>
      </c>
      <c r="X106">
        <f>HYPERLINK("https://klasma.github.io/Logging_0881/kartor/A 61790-2022 karta.png", "A 61790-2022")</f>
        <v/>
      </c>
      <c r="Y106">
        <f>HYPERLINK("https://klasma.github.io/Logging_0881/kartor_geotiff/A 61790-2022 georefererad karta.tif", "A 61790-2022")</f>
        <v/>
      </c>
      <c r="AA106">
        <f>HYPERLINK("https://klasma.github.io/Logging_0881/klagomål/A 61790-2022 FSC-klagomål.docx", "A 61790-2022")</f>
        <v/>
      </c>
      <c r="AB106">
        <f>HYPERLINK("https://klasma.github.io/Logging_0881/klagomålsmail/A 61790-2022 FSC-klagomål mail.docx", "A 61790-2022")</f>
        <v/>
      </c>
      <c r="AC106">
        <f>HYPERLINK("https://klasma.github.io/Logging_0881/tillsyn/A 61790-2022 tillsynsbegäran.docx", "A 61790-2022")</f>
        <v/>
      </c>
      <c r="AD106">
        <f>HYPERLINK("https://klasma.github.io/Logging_0881/tillsynsmail/A 61790-2022 tillsynsbegäran mail.docx", "A 61790-2022")</f>
        <v/>
      </c>
    </row>
    <row r="107" ht="15" customHeight="1">
      <c r="A107" t="inlineStr">
        <is>
          <t>A 35388-2022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46263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Motaggsvamp</t>
        </is>
      </c>
      <c r="W107">
        <f>HYPERLINK("https://klasma.github.io/Logging_0881/artfynd/A 35388-2022 artfynd.xlsx", "A 35388-2022")</f>
        <v/>
      </c>
      <c r="X107">
        <f>HYPERLINK("https://klasma.github.io/Logging_0881/kartor/A 35388-2022 karta.png", "A 35388-2022")</f>
        <v/>
      </c>
      <c r="Y107">
        <f>HYPERLINK("https://klasma.github.io/Logging_0881/kartor_geotiff/A 35388-2022 georefererad karta.tif", "A 35388-2022")</f>
        <v/>
      </c>
      <c r="AA107">
        <f>HYPERLINK("https://klasma.github.io/Logging_0881/klagomål/A 35388-2022 FSC-klagomål.docx", "A 35388-2022")</f>
        <v/>
      </c>
      <c r="AB107">
        <f>HYPERLINK("https://klasma.github.io/Logging_0881/klagomålsmail/A 35388-2022 FSC-klagomål mail.docx", "A 35388-2022")</f>
        <v/>
      </c>
      <c r="AC107">
        <f>HYPERLINK("https://klasma.github.io/Logging_0881/tillsyn/A 35388-2022 tillsynsbegäran.docx", "A 35388-2022")</f>
        <v/>
      </c>
      <c r="AD107">
        <f>HYPERLINK("https://klasma.github.io/Logging_0881/tillsynsmail/A 35388-2022 tillsynsbegäran mail.docx", "A 35388-2022")</f>
        <v/>
      </c>
    </row>
    <row r="108" ht="15" customHeight="1">
      <c r="A108" t="inlineStr">
        <is>
          <t>A 22171-2023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46263</v>
      </c>
      <c r="F108" t="inlineStr">
        <is>
          <t>KALMAR LÄN</t>
        </is>
      </c>
      <c r="G108" t="inlineStr">
        <is>
          <t>NYBRO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Blåmossa</t>
        </is>
      </c>
      <c r="W108">
        <f>HYPERLINK("https://klasma.github.io/Logging_0881/artfynd/A 22171-2023 artfynd.xlsx", "A 22171-2023")</f>
        <v/>
      </c>
      <c r="X108">
        <f>HYPERLINK("https://klasma.github.io/Logging_0881/kartor/A 22171-2023 karta.png", "A 22171-2023")</f>
        <v/>
      </c>
      <c r="Y108">
        <f>HYPERLINK("https://klasma.github.io/Logging_0881/kartor_geotiff/A 22171-2023 georefererad karta.tif", "A 22171-2023")</f>
        <v/>
      </c>
      <c r="AA108">
        <f>HYPERLINK("https://klasma.github.io/Logging_0881/klagomål/A 22171-2023 FSC-klagomål.docx", "A 22171-2023")</f>
        <v/>
      </c>
      <c r="AB108">
        <f>HYPERLINK("https://klasma.github.io/Logging_0881/klagomålsmail/A 22171-2023 FSC-klagomål mail.docx", "A 22171-2023")</f>
        <v/>
      </c>
      <c r="AC108">
        <f>HYPERLINK("https://klasma.github.io/Logging_0881/tillsyn/A 22171-2023 tillsynsbegäran.docx", "A 22171-2023")</f>
        <v/>
      </c>
      <c r="AD108">
        <f>HYPERLINK("https://klasma.github.io/Logging_0881/tillsynsmail/A 22171-2023 tillsynsbegäran mail.docx", "A 22171-2023")</f>
        <v/>
      </c>
    </row>
    <row r="109" ht="15" customHeight="1">
      <c r="A109" t="inlineStr">
        <is>
          <t>A 30510-2023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46263</v>
      </c>
      <c r="F109" t="inlineStr">
        <is>
          <t>KALMAR LÄN</t>
        </is>
      </c>
      <c r="G109" t="inlineStr">
        <is>
          <t>NYBRO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HYPERLINK("https://klasma.github.io/Logging_0881/artfynd/A 30510-2023 artfynd.xlsx", "A 30510-2023")</f>
        <v/>
      </c>
      <c r="X109">
        <f>HYPERLINK("https://klasma.github.io/Logging_0881/kartor/A 30510-2023 karta.png", "A 30510-2023")</f>
        <v/>
      </c>
      <c r="Y109">
        <f>HYPERLINK("https://klasma.github.io/Logging_0881/kartor_geotiff/A 30510-2023 georefererad karta.tif", "A 30510-2023")</f>
        <v/>
      </c>
      <c r="AA109">
        <f>HYPERLINK("https://klasma.github.io/Logging_0881/klagomål/A 30510-2023 FSC-klagomål.docx", "A 30510-2023")</f>
        <v/>
      </c>
      <c r="AB109">
        <f>HYPERLINK("https://klasma.github.io/Logging_0881/klagomålsmail/A 30510-2023 FSC-klagomål mail.docx", "A 30510-2023")</f>
        <v/>
      </c>
      <c r="AC109">
        <f>HYPERLINK("https://klasma.github.io/Logging_0881/tillsyn/A 30510-2023 tillsynsbegäran.docx", "A 30510-2023")</f>
        <v/>
      </c>
      <c r="AD109">
        <f>HYPERLINK("https://klasma.github.io/Logging_0881/tillsynsmail/A 30510-2023 tillsynsbegäran mail.docx", "A 30510-2023")</f>
        <v/>
      </c>
      <c r="AE109">
        <f>HYPERLINK("https://klasma.github.io/Logging_0881/fåglar/A 30510-2023 prioriterade fågelarter.docx", "A 30510-2023")</f>
        <v/>
      </c>
    </row>
    <row r="110" ht="15" customHeight="1">
      <c r="A110" t="inlineStr">
        <is>
          <t>A 6676-2023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44966</v>
      </c>
      <c r="E110" s="1" t="n">
        <v>46263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Etternässla</t>
        </is>
      </c>
      <c r="W110">
        <f>HYPERLINK("https://klasma.github.io/Logging_0881/artfynd/A 6676-2023 artfynd.xlsx", "A 6676-2023")</f>
        <v/>
      </c>
      <c r="X110">
        <f>HYPERLINK("https://klasma.github.io/Logging_0881/kartor/A 6676-2023 karta.png", "A 6676-2023")</f>
        <v/>
      </c>
      <c r="Y110">
        <f>HYPERLINK("https://klasma.github.io/Logging_0881/kartor_geotiff/A 6676-2023 georefererad karta.tif", "A 6676-2023")</f>
        <v/>
      </c>
      <c r="AA110">
        <f>HYPERLINK("https://klasma.github.io/Logging_0881/klagomål/A 6676-2023 FSC-klagomål.docx", "A 6676-2023")</f>
        <v/>
      </c>
      <c r="AB110">
        <f>HYPERLINK("https://klasma.github.io/Logging_0881/klagomålsmail/A 6676-2023 FSC-klagomål mail.docx", "A 6676-2023")</f>
        <v/>
      </c>
      <c r="AC110">
        <f>HYPERLINK("https://klasma.github.io/Logging_0881/tillsyn/A 6676-2023 tillsynsbegäran.docx", "A 6676-2023")</f>
        <v/>
      </c>
      <c r="AD110">
        <f>HYPERLINK("https://klasma.github.io/Logging_0881/tillsynsmail/A 6676-2023 tillsynsbegäran mail.docx", "A 6676-2023")</f>
        <v/>
      </c>
    </row>
    <row r="111" ht="15" customHeight="1">
      <c r="A111" t="inlineStr">
        <is>
          <t>A 3726-2023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44951</v>
      </c>
      <c r="E111" s="1" t="n">
        <v>46263</v>
      </c>
      <c r="F111" t="inlineStr">
        <is>
          <t>KALMAR LÄN</t>
        </is>
      </c>
      <c r="G111" t="inlineStr">
        <is>
          <t>NYBRO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HYPERLINK("https://klasma.github.io/Logging_0881/artfynd/A 3726-2023 artfynd.xlsx", "A 3726-2023")</f>
        <v/>
      </c>
      <c r="X111">
        <f>HYPERLINK("https://klasma.github.io/Logging_0881/kartor/A 3726-2023 karta.png", "A 3726-2023")</f>
        <v/>
      </c>
      <c r="Y111">
        <f>HYPERLINK("https://klasma.github.io/Logging_0881/kartor_geotiff/A 3726-2023 georefererad karta.tif", "A 3726-2023")</f>
        <v/>
      </c>
      <c r="AA111">
        <f>HYPERLINK("https://klasma.github.io/Logging_0881/klagomål/A 3726-2023 FSC-klagomål.docx", "A 3726-2023")</f>
        <v/>
      </c>
      <c r="AB111">
        <f>HYPERLINK("https://klasma.github.io/Logging_0881/klagomålsmail/A 3726-2023 FSC-klagomål mail.docx", "A 3726-2023")</f>
        <v/>
      </c>
      <c r="AC111">
        <f>HYPERLINK("https://klasma.github.io/Logging_0881/tillsyn/A 3726-2023 tillsynsbegäran.docx", "A 3726-2023")</f>
        <v/>
      </c>
      <c r="AD111">
        <f>HYPERLINK("https://klasma.github.io/Logging_0881/tillsynsmail/A 3726-2023 tillsynsbegäran mail.docx", "A 3726-2023")</f>
        <v/>
      </c>
    </row>
    <row r="112" ht="15" customHeight="1">
      <c r="A112" t="inlineStr">
        <is>
          <t>A 61809-2024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46263</v>
      </c>
      <c r="F112" t="inlineStr">
        <is>
          <t>KALMAR LÄN</t>
        </is>
      </c>
      <c r="G112" t="inlineStr">
        <is>
          <t>NYBRO</t>
        </is>
      </c>
      <c r="I112" t="n">
        <v>15.8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HYPERLINK("https://klasma.github.io/Logging_0881/artfynd/A 61809-2024 artfynd.xlsx", "A 61809-2024")</f>
        <v/>
      </c>
      <c r="X112">
        <f>HYPERLINK("https://klasma.github.io/Logging_0881/kartor/A 61809-2024 karta.png", "A 61809-2024")</f>
        <v/>
      </c>
      <c r="Y112">
        <f>HYPERLINK("https://klasma.github.io/Logging_0881/kartor_geotiff/A 61809-2024 georefererad karta.tif", "A 61809-2024")</f>
        <v/>
      </c>
      <c r="AA112">
        <f>HYPERLINK("https://klasma.github.io/Logging_0881/klagomål/A 61809-2024 FSC-klagomål.docx", "A 61809-2024")</f>
        <v/>
      </c>
      <c r="AB112">
        <f>HYPERLINK("https://klasma.github.io/Logging_0881/klagomålsmail/A 61809-2024 FSC-klagomål mail.docx", "A 61809-2024")</f>
        <v/>
      </c>
      <c r="AC112">
        <f>HYPERLINK("https://klasma.github.io/Logging_0881/tillsyn/A 61809-2024 tillsynsbegäran.docx", "A 61809-2024")</f>
        <v/>
      </c>
      <c r="AD112">
        <f>HYPERLINK("https://klasma.github.io/Logging_0881/tillsynsmail/A 61809-2024 tillsynsbegäran mail.docx", "A 61809-2024")</f>
        <v/>
      </c>
      <c r="AE112">
        <f>HYPERLINK("https://klasma.github.io/Logging_0881/fåglar/A 61809-2024 prioriterade fågelarter.docx", "A 61809-2024")</f>
        <v/>
      </c>
    </row>
    <row r="113" ht="15" customHeight="1">
      <c r="A113" t="inlineStr">
        <is>
          <t>A 54314-2022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46263</v>
      </c>
      <c r="F113" t="inlineStr">
        <is>
          <t>KALMAR LÄN</t>
        </is>
      </c>
      <c r="G113" t="inlineStr">
        <is>
          <t>NYBRO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6</v>
      </c>
      <c r="U113" t="n">
        <v>0</v>
      </c>
      <c r="V113" s="2" t="inlineStr">
        <is>
          <t>Ask</t>
        </is>
      </c>
      <c r="W113">
        <f>HYPERLINK("https://klasma.github.io/Logging_0881/artfynd/A 54314-2022 artfynd.xlsx", "A 54314-2022")</f>
        <v/>
      </c>
      <c r="X113">
        <f>HYPERLINK("https://klasma.github.io/Logging_0881/kartor/A 54314-2022 karta.png", "A 54314-2022")</f>
        <v/>
      </c>
      <c r="Y113">
        <f>HYPERLINK("https://klasma.github.io/Logging_0881/kartor_geotiff/A 54314-2022 georefererad karta.tif", "A 54314-2022")</f>
        <v/>
      </c>
      <c r="AA113">
        <f>HYPERLINK("https://klasma.github.io/Logging_0881/klagomål/A 54314-2022 FSC-klagomål.docx", "A 54314-2022")</f>
        <v/>
      </c>
      <c r="AB113">
        <f>HYPERLINK("https://klasma.github.io/Logging_0881/klagomålsmail/A 54314-2022 FSC-klagomål mail.docx", "A 54314-2022")</f>
        <v/>
      </c>
      <c r="AC113">
        <f>HYPERLINK("https://klasma.github.io/Logging_0881/tillsyn/A 54314-2022 tillsynsbegäran.docx", "A 54314-2022")</f>
        <v/>
      </c>
      <c r="AD113">
        <f>HYPERLINK("https://klasma.github.io/Logging_0881/tillsynsmail/A 54314-2022 tillsynsbegäran mail.docx", "A 54314-2022")</f>
        <v/>
      </c>
    </row>
    <row r="114" ht="15" customHeight="1">
      <c r="A114" t="inlineStr">
        <is>
          <t>A 20647-2026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46263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Ljungögontröst</t>
        </is>
      </c>
      <c r="W114">
        <f>HYPERLINK("https://klasma.github.io/Logging_0881/artfynd/A 20647-2026 artfynd.xlsx", "A 20647-2026")</f>
        <v/>
      </c>
      <c r="X114">
        <f>HYPERLINK("https://klasma.github.io/Logging_0881/kartor/A 20647-2026 karta.png", "A 20647-2026")</f>
        <v/>
      </c>
      <c r="Y114">
        <f>HYPERLINK("https://klasma.github.io/Logging_0881/kartor_geotiff/A 20647-2026 georefererad karta.tif", "A 20647-2026")</f>
        <v/>
      </c>
      <c r="AA114">
        <f>HYPERLINK("https://klasma.github.io/Logging_0881/klagomål/A 20647-2026 FSC-klagomål.docx", "A 20647-2026")</f>
        <v/>
      </c>
      <c r="AB114">
        <f>HYPERLINK("https://klasma.github.io/Logging_0881/klagomålsmail/A 20647-2026 FSC-klagomål mail.docx", "A 20647-2026")</f>
        <v/>
      </c>
      <c r="AC114">
        <f>HYPERLINK("https://klasma.github.io/Logging_0881/tillsyn/A 20647-2026 tillsynsbegäran.docx", "A 20647-2026")</f>
        <v/>
      </c>
      <c r="AD114">
        <f>HYPERLINK("https://klasma.github.io/Logging_0881/tillsynsmail/A 20647-2026 tillsynsbegäran mail.docx", "A 20647-2026")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46263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22086-2026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46263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2.6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5</v>
      </c>
      <c r="U116" t="n">
        <v>0</v>
      </c>
      <c r="V116" s="2" t="inlineStr">
        <is>
          <t>Talltita</t>
        </is>
      </c>
      <c r="W116">
        <f>HYPERLINK("https://klasma.github.io/Logging_0881/artfynd/A 22086-2026 artfynd.xlsx", "A 22086-2026")</f>
        <v/>
      </c>
      <c r="X116">
        <f>HYPERLINK("https://klasma.github.io/Logging_0881/kartor/A 22086-2026 karta.png", "A 22086-2026")</f>
        <v/>
      </c>
      <c r="Y116">
        <f>HYPERLINK("https://klasma.github.io/Logging_0881/kartor_geotiff/A 22086-2026 georefererad karta.tif", "A 22086-2026")</f>
        <v/>
      </c>
      <c r="AA116">
        <f>HYPERLINK("https://klasma.github.io/Logging_0881/klagomål/A 22086-2026 FSC-klagomål.docx", "A 22086-2026")</f>
        <v/>
      </c>
      <c r="AB116">
        <f>HYPERLINK("https://klasma.github.io/Logging_0881/klagomålsmail/A 22086-2026 FSC-klagomål mail.docx", "A 22086-2026")</f>
        <v/>
      </c>
      <c r="AC116">
        <f>HYPERLINK("https://klasma.github.io/Logging_0881/tillsyn/A 22086-2026 tillsynsbegäran.docx", "A 22086-2026")</f>
        <v/>
      </c>
      <c r="AD116">
        <f>HYPERLINK("https://klasma.github.io/Logging_0881/tillsynsmail/A 22086-2026 tillsynsbegäran mail.docx", "A 22086-2026")</f>
        <v/>
      </c>
      <c r="AE116">
        <f>HYPERLINK("https://klasma.github.io/Logging_0881/fåglar/A 22086-2026 prioriterade fågelarter.docx", "A 22086-2026")</f>
        <v/>
      </c>
    </row>
    <row r="117" ht="15" customHeight="1">
      <c r="A117" t="inlineStr">
        <is>
          <t>A 22097-2026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46263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2.1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Talltita</t>
        </is>
      </c>
      <c r="W117">
        <f>HYPERLINK("https://klasma.github.io/Logging_0881/artfynd/A 22097-2026 artfynd.xlsx", "A 22097-2026")</f>
        <v/>
      </c>
      <c r="X117">
        <f>HYPERLINK("https://klasma.github.io/Logging_0881/kartor/A 22097-2026 karta.png", "A 22097-2026")</f>
        <v/>
      </c>
      <c r="Y117">
        <f>HYPERLINK("https://klasma.github.io/Logging_0881/kartor_geotiff/A 22097-2026 georefererad karta.tif", "A 22097-2026")</f>
        <v/>
      </c>
      <c r="AA117">
        <f>HYPERLINK("https://klasma.github.io/Logging_0881/klagomål/A 22097-2026 FSC-klagomål.docx", "A 22097-2026")</f>
        <v/>
      </c>
      <c r="AB117">
        <f>HYPERLINK("https://klasma.github.io/Logging_0881/klagomålsmail/A 22097-2026 FSC-klagomål mail.docx", "A 22097-2026")</f>
        <v/>
      </c>
      <c r="AC117">
        <f>HYPERLINK("https://klasma.github.io/Logging_0881/tillsyn/A 22097-2026 tillsynsbegäran.docx", "A 22097-2026")</f>
        <v/>
      </c>
      <c r="AD117">
        <f>HYPERLINK("https://klasma.github.io/Logging_0881/tillsynsmail/A 22097-2026 tillsynsbegäran mail.docx", "A 22097-2026")</f>
        <v/>
      </c>
      <c r="AE117">
        <f>HYPERLINK("https://klasma.github.io/Logging_0881/fåglar/A 22097-2026 prioriterade fågelarter.docx", "A 22097-2026")</f>
        <v/>
      </c>
    </row>
    <row r="118" ht="15" customHeight="1">
      <c r="A118" t="inlineStr">
        <is>
          <t>A 22089-2026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46263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Talltita</t>
        </is>
      </c>
      <c r="W118">
        <f>HYPERLINK("https://klasma.github.io/Logging_0881/artfynd/A 22089-2026 artfynd.xlsx", "A 22089-2026")</f>
        <v/>
      </c>
      <c r="X118">
        <f>HYPERLINK("https://klasma.github.io/Logging_0881/kartor/A 22089-2026 karta.png", "A 22089-2026")</f>
        <v/>
      </c>
      <c r="Y118">
        <f>HYPERLINK("https://klasma.github.io/Logging_0881/kartor_geotiff/A 22089-2026 georefererad karta.tif", "A 22089-2026")</f>
        <v/>
      </c>
      <c r="AA118">
        <f>HYPERLINK("https://klasma.github.io/Logging_0881/klagomål/A 22089-2026 FSC-klagomål.docx", "A 22089-2026")</f>
        <v/>
      </c>
      <c r="AB118">
        <f>HYPERLINK("https://klasma.github.io/Logging_0881/klagomålsmail/A 22089-2026 FSC-klagomål mail.docx", "A 22089-2026")</f>
        <v/>
      </c>
      <c r="AC118">
        <f>HYPERLINK("https://klasma.github.io/Logging_0881/tillsyn/A 22089-2026 tillsynsbegäran.docx", "A 22089-2026")</f>
        <v/>
      </c>
      <c r="AD118">
        <f>HYPERLINK("https://klasma.github.io/Logging_0881/tillsynsmail/A 22089-2026 tillsynsbegäran mail.docx", "A 22089-2026")</f>
        <v/>
      </c>
      <c r="AE118">
        <f>HYPERLINK("https://klasma.github.io/Logging_0881/fåglar/A 22089-2026 prioriterade fågelarter.docx", "A 22089-2026")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46263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A 24315-2026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46263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8.5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Grönpyrola</t>
        </is>
      </c>
      <c r="W120">
        <f>HYPERLINK("https://klasma.github.io/Logging_0881/artfynd/A 24315-2026 artfynd.xlsx", "A 24315-2026")</f>
        <v/>
      </c>
      <c r="X120">
        <f>HYPERLINK("https://klasma.github.io/Logging_0881/kartor/A 24315-2026 karta.png", "A 24315-2026")</f>
        <v/>
      </c>
      <c r="Y120">
        <f>HYPERLINK("https://klasma.github.io/Logging_0881/kartor_geotiff/A 24315-2026 georefererad karta.tif", "A 24315-2026")</f>
        <v/>
      </c>
      <c r="AA120">
        <f>HYPERLINK("https://klasma.github.io/Logging_0881/klagomål/A 24315-2026 FSC-klagomål.docx", "A 24315-2026")</f>
        <v/>
      </c>
      <c r="AB120">
        <f>HYPERLINK("https://klasma.github.io/Logging_0881/klagomålsmail/A 24315-2026 FSC-klagomål mail.docx", "A 24315-2026")</f>
        <v/>
      </c>
      <c r="AC120">
        <f>HYPERLINK("https://klasma.github.io/Logging_0881/tillsyn/A 24315-2026 tillsynsbegäran.docx", "A 24315-2026")</f>
        <v/>
      </c>
      <c r="AD120">
        <f>HYPERLINK("https://klasma.github.io/Logging_0881/tillsynsmail/A 24315-2026 tillsynsbegäran mail.docx", "A 24315-2026")</f>
        <v/>
      </c>
    </row>
    <row r="121" ht="15" customHeight="1">
      <c r="A121" t="inlineStr">
        <is>
          <t>A 26463-2026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46183</v>
      </c>
      <c r="E121" s="1" t="n">
        <v>46263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5</v>
      </c>
      <c r="U121" t="n">
        <v>0</v>
      </c>
      <c r="V121" s="2" t="inlineStr">
        <is>
          <t>Blåmossa</t>
        </is>
      </c>
      <c r="W121">
        <f>HYPERLINK("https://klasma.github.io/Logging_0881/artfynd/A 26463-2026 artfynd.xlsx", "A 26463-2026")</f>
        <v/>
      </c>
      <c r="X121">
        <f>HYPERLINK("https://klasma.github.io/Logging_0881/kartor/A 26463-2026 karta.png", "A 26463-2026")</f>
        <v/>
      </c>
      <c r="Y121">
        <f>HYPERLINK("https://klasma.github.io/Logging_0881/kartor_geotiff/A 26463-2026 georefererad karta.tif", "A 26463-2026")</f>
        <v/>
      </c>
      <c r="AA121">
        <f>HYPERLINK("https://klasma.github.io/Logging_0881/klagomål/A 26463-2026 FSC-klagomål.docx", "A 26463-2026")</f>
        <v/>
      </c>
      <c r="AB121">
        <f>HYPERLINK("https://klasma.github.io/Logging_0881/klagomålsmail/A 26463-2026 FSC-klagomål mail.docx", "A 26463-2026")</f>
        <v/>
      </c>
      <c r="AC121">
        <f>HYPERLINK("https://klasma.github.io/Logging_0881/tillsyn/A 26463-2026 tillsynsbegäran.docx", "A 26463-2026")</f>
        <v/>
      </c>
      <c r="AD121">
        <f>HYPERLINK("https://klasma.github.io/Logging_0881/tillsynsmail/A 26463-2026 tillsynsbegäran mail.docx", "A 26463-2026")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46263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A 27669-2026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46263</v>
      </c>
      <c r="F123" t="inlineStr">
        <is>
          <t>KALMAR LÄN</t>
        </is>
      </c>
      <c r="G123" t="inlineStr">
        <is>
          <t>NYBRO</t>
        </is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Blomkålssvamp</t>
        </is>
      </c>
      <c r="W123">
        <f>HYPERLINK("https://klasma.github.io/Logging_0881/artfynd/A 27669-2026 artfynd.xlsx", "A 27669-2026")</f>
        <v/>
      </c>
      <c r="X123">
        <f>HYPERLINK("https://klasma.github.io/Logging_0881/kartor/A 27669-2026 karta.png", "A 27669-2026")</f>
        <v/>
      </c>
      <c r="Y123">
        <f>HYPERLINK("https://klasma.github.io/Logging_0881/kartor_geotiff/A 27669-2026 georefererad karta.tif", "A 27669-2026")</f>
        <v/>
      </c>
      <c r="AA123">
        <f>HYPERLINK("https://klasma.github.io/Logging_0881/klagomål/A 27669-2026 FSC-klagomål.docx", "A 27669-2026")</f>
        <v/>
      </c>
      <c r="AB123">
        <f>HYPERLINK("https://klasma.github.io/Logging_0881/klagomålsmail/A 27669-2026 FSC-klagomål mail.docx", "A 27669-2026")</f>
        <v/>
      </c>
      <c r="AC123">
        <f>HYPERLINK("https://klasma.github.io/Logging_0881/tillsyn/A 27669-2026 tillsynsbegäran.docx", "A 27669-2026")</f>
        <v/>
      </c>
      <c r="AD123">
        <f>HYPERLINK("https://klasma.github.io/Logging_0881/tillsynsmail/A 27669-2026 tillsynsbegäran mail.docx", "A 27669-2026")</f>
        <v/>
      </c>
    </row>
    <row r="124" ht="15" customHeight="1">
      <c r="A124" t="inlineStr">
        <is>
          <t>A 34361-2026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46254</v>
      </c>
      <c r="E124" s="1" t="n">
        <v>46263</v>
      </c>
      <c r="F124" t="inlineStr">
        <is>
          <t>KALMAR LÄN</t>
        </is>
      </c>
      <c r="G124" t="inlineStr">
        <is>
          <t>NYBRO</t>
        </is>
      </c>
      <c r="H124" t="inlineStr">
        <is>
          <t>Sveaskog</t>
        </is>
      </c>
      <c r="I124" t="n">
        <v>9.5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Havsörn</t>
        </is>
      </c>
      <c r="W124">
        <f>HYPERLINK("https://klasma.github.io/Logging_0881/artfynd/A 34361-2026 artfynd.xlsx", "A 34361-2026")</f>
        <v/>
      </c>
      <c r="X124">
        <f>HYPERLINK("https://klasma.github.io/Logging_0881/kartor/A 34361-2026 karta.png", "A 34361-2026")</f>
        <v/>
      </c>
      <c r="Y124">
        <f>HYPERLINK("https://klasma.github.io/Logging_0881/kartor_geotiff/A 34361-2026 georefererad karta.tif", "A 34361-2026")</f>
        <v/>
      </c>
      <c r="AA124">
        <f>HYPERLINK("https://klasma.github.io/Logging_0881/klagomål/A 34361-2026 FSC-klagomål.docx", "A 34361-2026")</f>
        <v/>
      </c>
      <c r="AB124">
        <f>HYPERLINK("https://klasma.github.io/Logging_0881/klagomålsmail/A 34361-2026 FSC-klagomål mail.docx", "A 34361-2026")</f>
        <v/>
      </c>
      <c r="AC124">
        <f>HYPERLINK("https://klasma.github.io/Logging_0881/tillsyn/A 34361-2026 tillsynsbegäran.docx", "A 34361-2026")</f>
        <v/>
      </c>
      <c r="AD124">
        <f>HYPERLINK("https://klasma.github.io/Logging_0881/tillsynsmail/A 34361-2026 tillsynsbegäran mail.docx", "A 34361-2026")</f>
        <v/>
      </c>
      <c r="AE124">
        <f>HYPERLINK("https://klasma.github.io/Logging_0881/fåglar/A 34361-2026 prioriterade fågelarter.docx", "A 34361-2026")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46263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46263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46263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46263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46263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46263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46263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46263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46263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46263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46263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46263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46263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46263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46263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46263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46263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46263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46263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46263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46263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46263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46263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46263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46263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46263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46263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46263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46263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46263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46263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46263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46263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46263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46263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46263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46263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46263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46263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46263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46263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46263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46263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46263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46263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46263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46263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59684-2021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44494</v>
      </c>
      <c r="E172" s="1" t="n">
        <v>46263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44449</v>
      </c>
      <c r="E173" s="1" t="n">
        <v>46263</v>
      </c>
      <c r="F173" t="inlineStr">
        <is>
          <t>KALMAR LÄN</t>
        </is>
      </c>
      <c r="G173" t="inlineStr">
        <is>
          <t>NYBRO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46263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46263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46263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46263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46263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46263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46263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46263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46263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46263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46263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46263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46263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46263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46263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46263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46263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46263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46263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46263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46263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46263</v>
      </c>
      <c r="F195" t="inlineStr">
        <is>
          <t>KALMAR LÄN</t>
        </is>
      </c>
      <c r="G195" t="inlineStr">
        <is>
          <t>NYBRO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46263</v>
      </c>
      <c r="F196" t="inlineStr">
        <is>
          <t>KALMAR LÄN</t>
        </is>
      </c>
      <c r="G196" t="inlineStr">
        <is>
          <t>NYBRO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46263</v>
      </c>
      <c r="F197" t="inlineStr">
        <is>
          <t>KALMAR LÄN</t>
        </is>
      </c>
      <c r="G197" t="inlineStr">
        <is>
          <t>NYBRO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46263</v>
      </c>
      <c r="F198" t="inlineStr">
        <is>
          <t>KALMAR LÄN</t>
        </is>
      </c>
      <c r="G198" t="inlineStr">
        <is>
          <t>NYBRO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46263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44779-2023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45190</v>
      </c>
      <c r="E200" s="1" t="n">
        <v>46263</v>
      </c>
      <c r="F200" t="inlineStr">
        <is>
          <t>KALMAR LÄN</t>
        </is>
      </c>
      <c r="G200" t="inlineStr">
        <is>
          <t>NYBRO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46263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46263</v>
      </c>
      <c r="F202" t="inlineStr">
        <is>
          <t>KALMAR LÄN</t>
        </is>
      </c>
      <c r="G202" t="inlineStr">
        <is>
          <t>NYBRO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44755</v>
      </c>
      <c r="E203" s="1" t="n">
        <v>46263</v>
      </c>
      <c r="F203" t="inlineStr">
        <is>
          <t>KALMAR LÄN</t>
        </is>
      </c>
      <c r="G203" t="inlineStr">
        <is>
          <t>NYBRO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44867</v>
      </c>
      <c r="E204" s="1" t="n">
        <v>46263</v>
      </c>
      <c r="F204" t="inlineStr">
        <is>
          <t>KALMAR LÄN</t>
        </is>
      </c>
      <c r="G204" t="inlineStr">
        <is>
          <t>NYBRO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46263</v>
      </c>
      <c r="F205" t="inlineStr">
        <is>
          <t>KALMAR LÄN</t>
        </is>
      </c>
      <c r="G205" t="inlineStr">
        <is>
          <t>NYBRO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44827</v>
      </c>
      <c r="E206" s="1" t="n">
        <v>46263</v>
      </c>
      <c r="F206" t="inlineStr">
        <is>
          <t>KALMAR LÄN</t>
        </is>
      </c>
      <c r="G206" t="inlineStr">
        <is>
          <t>NYBRO</t>
        </is>
      </c>
      <c r="I206" t="n">
        <v>12.1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46263</v>
      </c>
      <c r="F207" t="inlineStr">
        <is>
          <t>KALMAR LÄN</t>
        </is>
      </c>
      <c r="G207" t="inlineStr">
        <is>
          <t>NYBRO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46263</v>
      </c>
      <c r="F208" t="inlineStr">
        <is>
          <t>KALMAR LÄN</t>
        </is>
      </c>
      <c r="G208" t="inlineStr">
        <is>
          <t>NYBRO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46263</v>
      </c>
      <c r="F209" t="inlineStr">
        <is>
          <t>KALMAR LÄN</t>
        </is>
      </c>
      <c r="G209" t="inlineStr">
        <is>
          <t>NYBRO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46263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46263</v>
      </c>
      <c r="F211" t="inlineStr">
        <is>
          <t>KALMAR LÄN</t>
        </is>
      </c>
      <c r="G211" t="inlineStr">
        <is>
          <t>NYBRO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46263</v>
      </c>
      <c r="F212" t="inlineStr">
        <is>
          <t>KALMAR LÄN</t>
        </is>
      </c>
      <c r="G212" t="inlineStr">
        <is>
          <t>NYBRO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46263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46263</v>
      </c>
      <c r="F214" t="inlineStr">
        <is>
          <t>KALMAR LÄN</t>
        </is>
      </c>
      <c r="G214" t="inlineStr">
        <is>
          <t>NYBRO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46263</v>
      </c>
      <c r="F215" t="inlineStr">
        <is>
          <t>KALMAR LÄN</t>
        </is>
      </c>
      <c r="G215" t="inlineStr">
        <is>
          <t>NYBRO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44890</v>
      </c>
      <c r="E216" s="1" t="n">
        <v>46263</v>
      </c>
      <c r="F216" t="inlineStr">
        <is>
          <t>KALMAR LÄN</t>
        </is>
      </c>
      <c r="G216" t="inlineStr">
        <is>
          <t>NYBRO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46263</v>
      </c>
      <c r="F217" t="inlineStr">
        <is>
          <t>KALMAR LÄN</t>
        </is>
      </c>
      <c r="G217" t="inlineStr">
        <is>
          <t>NYBRO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46263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46263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46263</v>
      </c>
      <c r="F220" t="inlineStr">
        <is>
          <t>KALMAR LÄN</t>
        </is>
      </c>
      <c r="G220" t="inlineStr">
        <is>
          <t>NYBRO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46263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46263</v>
      </c>
      <c r="F222" t="inlineStr">
        <is>
          <t>KALMAR LÄN</t>
        </is>
      </c>
      <c r="G222" t="inlineStr">
        <is>
          <t>NYBRO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46263</v>
      </c>
      <c r="F223" t="inlineStr">
        <is>
          <t>KALMAR LÄN</t>
        </is>
      </c>
      <c r="G223" t="inlineStr">
        <is>
          <t>NYBRO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46263</v>
      </c>
      <c r="F224" t="inlineStr">
        <is>
          <t>KALMAR LÄN</t>
        </is>
      </c>
      <c r="G224" t="inlineStr">
        <is>
          <t>NYBRO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44505</v>
      </c>
      <c r="E225" s="1" t="n">
        <v>46263</v>
      </c>
      <c r="F225" t="inlineStr">
        <is>
          <t>KALMAR LÄN</t>
        </is>
      </c>
      <c r="G225" t="inlineStr">
        <is>
          <t>NYBRO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46263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46263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21388-2024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45440</v>
      </c>
      <c r="E228" s="1" t="n">
        <v>46263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46263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46263</v>
      </c>
      <c r="F230" t="inlineStr">
        <is>
          <t>KALMAR LÄN</t>
        </is>
      </c>
      <c r="G230" t="inlineStr">
        <is>
          <t>NYBRO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46263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46263</v>
      </c>
      <c r="F232" t="inlineStr">
        <is>
          <t>KALMAR LÄN</t>
        </is>
      </c>
      <c r="G232" t="inlineStr">
        <is>
          <t>NYBRO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45230</v>
      </c>
      <c r="E233" s="1" t="n">
        <v>46263</v>
      </c>
      <c r="F233" t="inlineStr">
        <is>
          <t>KALMAR LÄN</t>
        </is>
      </c>
      <c r="G233" t="inlineStr">
        <is>
          <t>NYBRO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45698</v>
      </c>
      <c r="E234" s="1" t="n">
        <v>46263</v>
      </c>
      <c r="F234" t="inlineStr">
        <is>
          <t>KALMAR LÄN</t>
        </is>
      </c>
      <c r="G234" t="inlineStr">
        <is>
          <t>NYBRO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46263</v>
      </c>
      <c r="F235" t="inlineStr">
        <is>
          <t>KALMAR LÄN</t>
        </is>
      </c>
      <c r="G235" t="inlineStr">
        <is>
          <t>NYBRO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44868</v>
      </c>
      <c r="E236" s="1" t="n">
        <v>46263</v>
      </c>
      <c r="F236" t="inlineStr">
        <is>
          <t>KALMAR LÄN</t>
        </is>
      </c>
      <c r="G236" t="inlineStr">
        <is>
          <t>NYBRO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45370</v>
      </c>
      <c r="E237" s="1" t="n">
        <v>46263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46263</v>
      </c>
      <c r="F238" t="inlineStr">
        <is>
          <t>KALMAR LÄN</t>
        </is>
      </c>
      <c r="G238" t="inlineStr">
        <is>
          <t>NYBRO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46263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46263</v>
      </c>
      <c r="F240" t="inlineStr">
        <is>
          <t>KALMAR LÄN</t>
        </is>
      </c>
      <c r="G240" t="inlineStr">
        <is>
          <t>NYBRO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46263</v>
      </c>
      <c r="F241" t="inlineStr">
        <is>
          <t>KALMAR LÄN</t>
        </is>
      </c>
      <c r="G241" t="inlineStr">
        <is>
          <t>NYBRO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46263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46263</v>
      </c>
      <c r="F243" t="inlineStr">
        <is>
          <t>KALMAR LÄN</t>
        </is>
      </c>
      <c r="G243" t="inlineStr">
        <is>
          <t>NYBRO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28728-2024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46263</v>
      </c>
      <c r="F244" t="inlineStr">
        <is>
          <t>KALMAR LÄN</t>
        </is>
      </c>
      <c r="G244" t="inlineStr">
        <is>
          <t>NYBRO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46263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44982</v>
      </c>
      <c r="E246" s="1" t="n">
        <v>46263</v>
      </c>
      <c r="F246" t="inlineStr">
        <is>
          <t>KALMAR LÄN</t>
        </is>
      </c>
      <c r="G246" t="inlineStr">
        <is>
          <t>NYBRO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46263</v>
      </c>
      <c r="F247" t="inlineStr">
        <is>
          <t>KALMAR LÄN</t>
        </is>
      </c>
      <c r="G247" t="inlineStr">
        <is>
          <t>NYBRO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46263</v>
      </c>
      <c r="F248" t="inlineStr">
        <is>
          <t>KALMAR LÄN</t>
        </is>
      </c>
      <c r="G248" t="inlineStr">
        <is>
          <t>NYBRO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46263</v>
      </c>
      <c r="F249" t="inlineStr">
        <is>
          <t>KALMAR LÄN</t>
        </is>
      </c>
      <c r="G249" t="inlineStr">
        <is>
          <t>NYBRO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45489</v>
      </c>
      <c r="E250" s="1" t="n">
        <v>46263</v>
      </c>
      <c r="F250" t="inlineStr">
        <is>
          <t>KALMAR LÄN</t>
        </is>
      </c>
      <c r="G250" t="inlineStr">
        <is>
          <t>NYBRO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45785</v>
      </c>
      <c r="E251" s="1" t="n">
        <v>46263</v>
      </c>
      <c r="F251" t="inlineStr">
        <is>
          <t>KALMAR LÄN</t>
        </is>
      </c>
      <c r="G251" t="inlineStr">
        <is>
          <t>NYBRO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46263</v>
      </c>
      <c r="F252" t="inlineStr">
        <is>
          <t>KALMAR LÄN</t>
        </is>
      </c>
      <c r="G252" t="inlineStr">
        <is>
          <t>NYBRO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46263</v>
      </c>
      <c r="F253" t="inlineStr">
        <is>
          <t>KALMAR LÄN</t>
        </is>
      </c>
      <c r="G253" t="inlineStr">
        <is>
          <t>NYBRO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46263</v>
      </c>
      <c r="F254" t="inlineStr">
        <is>
          <t>KALMAR LÄN</t>
        </is>
      </c>
      <c r="G254" t="inlineStr">
        <is>
          <t>NYBRO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46263</v>
      </c>
      <c r="F255" t="inlineStr">
        <is>
          <t>KALMAR LÄN</t>
        </is>
      </c>
      <c r="G255" t="inlineStr">
        <is>
          <t>NYBRO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44936</v>
      </c>
      <c r="E256" s="1" t="n">
        <v>46263</v>
      </c>
      <c r="F256" t="inlineStr">
        <is>
          <t>KALMAR LÄN</t>
        </is>
      </c>
      <c r="G256" t="inlineStr">
        <is>
          <t>NYBRO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44839</v>
      </c>
      <c r="E257" s="1" t="n">
        <v>46263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45786</v>
      </c>
      <c r="E258" s="1" t="n">
        <v>46263</v>
      </c>
      <c r="F258" t="inlineStr">
        <is>
          <t>KALMAR LÄN</t>
        </is>
      </c>
      <c r="G258" t="inlineStr">
        <is>
          <t>NYBRO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8150-2022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44609</v>
      </c>
      <c r="E259" s="1" t="n">
        <v>46263</v>
      </c>
      <c r="F259" t="inlineStr">
        <is>
          <t>KALMAR LÄN</t>
        </is>
      </c>
      <c r="G259" t="inlineStr">
        <is>
          <t>NYBRO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46263</v>
      </c>
      <c r="F260" t="inlineStr">
        <is>
          <t>KALMAR LÄN</t>
        </is>
      </c>
      <c r="G260" t="inlineStr">
        <is>
          <t>NYBRO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46263</v>
      </c>
      <c r="F261" t="inlineStr">
        <is>
          <t>KALMAR LÄN</t>
        </is>
      </c>
      <c r="G261" t="inlineStr">
        <is>
          <t>NYBRO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45401</v>
      </c>
      <c r="E262" s="1" t="n">
        <v>46263</v>
      </c>
      <c r="F262" t="inlineStr">
        <is>
          <t>KALMAR LÄN</t>
        </is>
      </c>
      <c r="G262" t="inlineStr">
        <is>
          <t>NYBRO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46263</v>
      </c>
      <c r="F263" t="inlineStr">
        <is>
          <t>KALMAR LÄN</t>
        </is>
      </c>
      <c r="G263" t="inlineStr">
        <is>
          <t>NYBRO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45166</v>
      </c>
      <c r="E264" s="1" t="n">
        <v>46263</v>
      </c>
      <c r="F264" t="inlineStr">
        <is>
          <t>KALMAR LÄN</t>
        </is>
      </c>
      <c r="G264" t="inlineStr">
        <is>
          <t>NYBRO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46263</v>
      </c>
      <c r="F265" t="inlineStr">
        <is>
          <t>KALMAR LÄN</t>
        </is>
      </c>
      <c r="G265" t="inlineStr">
        <is>
          <t>NYBRO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46263</v>
      </c>
      <c r="F266" t="inlineStr">
        <is>
          <t>KALMAR LÄN</t>
        </is>
      </c>
      <c r="G266" t="inlineStr">
        <is>
          <t>NYBRO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46263</v>
      </c>
      <c r="F267" t="inlineStr">
        <is>
          <t>KALMAR LÄN</t>
        </is>
      </c>
      <c r="G267" t="inlineStr">
        <is>
          <t>NYBRO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46263</v>
      </c>
      <c r="F268" t="inlineStr">
        <is>
          <t>KALMAR LÄN</t>
        </is>
      </c>
      <c r="G268" t="inlineStr">
        <is>
          <t>NYBRO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46263</v>
      </c>
      <c r="F269" t="inlineStr">
        <is>
          <t>KALMAR LÄN</t>
        </is>
      </c>
      <c r="G269" t="inlineStr">
        <is>
          <t>NYBRO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46263</v>
      </c>
      <c r="F270" t="inlineStr">
        <is>
          <t>KALMAR LÄN</t>
        </is>
      </c>
      <c r="G270" t="inlineStr">
        <is>
          <t>NYBRO</t>
        </is>
      </c>
      <c r="H270" t="inlineStr">
        <is>
          <t>Sveaskog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54512-2023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45233</v>
      </c>
      <c r="E271" s="1" t="n">
        <v>46263</v>
      </c>
      <c r="F271" t="inlineStr">
        <is>
          <t>KALMAR LÄN</t>
        </is>
      </c>
      <c r="G271" t="inlineStr">
        <is>
          <t>NYBRO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46263</v>
      </c>
      <c r="F272" t="inlineStr">
        <is>
          <t>KALMAR LÄN</t>
        </is>
      </c>
      <c r="G272" t="inlineStr">
        <is>
          <t>NYBRO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46263</v>
      </c>
      <c r="F273" t="inlineStr">
        <is>
          <t>KALMAR LÄN</t>
        </is>
      </c>
      <c r="G273" t="inlineStr">
        <is>
          <t>NYBRO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46263</v>
      </c>
      <c r="F274" t="inlineStr">
        <is>
          <t>KALMAR LÄN</t>
        </is>
      </c>
      <c r="G274" t="inlineStr">
        <is>
          <t>NYBRO</t>
        </is>
      </c>
      <c r="I274" t="n">
        <v>16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45852</v>
      </c>
      <c r="E275" s="1" t="n">
        <v>46263</v>
      </c>
      <c r="F275" t="inlineStr">
        <is>
          <t>KALMAR LÄN</t>
        </is>
      </c>
      <c r="G275" t="inlineStr">
        <is>
          <t>NYBRO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46263</v>
      </c>
      <c r="F276" t="inlineStr">
        <is>
          <t>KALMAR LÄN</t>
        </is>
      </c>
      <c r="G276" t="inlineStr">
        <is>
          <t>NYBRO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45342</v>
      </c>
      <c r="E277" s="1" t="n">
        <v>46263</v>
      </c>
      <c r="F277" t="inlineStr">
        <is>
          <t>KALMAR LÄN</t>
        </is>
      </c>
      <c r="G277" t="inlineStr">
        <is>
          <t>NYBRO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68345-2021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44528</v>
      </c>
      <c r="E278" s="1" t="n">
        <v>46263</v>
      </c>
      <c r="F278" t="inlineStr">
        <is>
          <t>KALMAR LÄN</t>
        </is>
      </c>
      <c r="G278" t="inlineStr">
        <is>
          <t>NYBRO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46263</v>
      </c>
      <c r="F279" t="inlineStr">
        <is>
          <t>KALMAR LÄN</t>
        </is>
      </c>
      <c r="G279" t="inlineStr">
        <is>
          <t>NYBRO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46263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46263</v>
      </c>
      <c r="F281" t="inlineStr">
        <is>
          <t>KALMAR LÄN</t>
        </is>
      </c>
      <c r="G281" t="inlineStr">
        <is>
          <t>NYBRO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46263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46263</v>
      </c>
      <c r="F283" t="inlineStr">
        <is>
          <t>KALMAR LÄN</t>
        </is>
      </c>
      <c r="G283" t="inlineStr">
        <is>
          <t>NYBRO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45475</v>
      </c>
      <c r="E284" s="1" t="n">
        <v>46263</v>
      </c>
      <c r="F284" t="inlineStr">
        <is>
          <t>KALMAR LÄN</t>
        </is>
      </c>
      <c r="G284" t="inlineStr">
        <is>
          <t>NYBRO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46263</v>
      </c>
      <c r="F285" t="inlineStr">
        <is>
          <t>KALMAR LÄN</t>
        </is>
      </c>
      <c r="G285" t="inlineStr">
        <is>
          <t>NYBRO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46263</v>
      </c>
      <c r="F286" t="inlineStr">
        <is>
          <t>KALMAR LÄN</t>
        </is>
      </c>
      <c r="G286" t="inlineStr">
        <is>
          <t>NYBRO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46263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45729</v>
      </c>
      <c r="E288" s="1" t="n">
        <v>46263</v>
      </c>
      <c r="F288" t="inlineStr">
        <is>
          <t>KALMAR LÄN</t>
        </is>
      </c>
      <c r="G288" t="inlineStr">
        <is>
          <t>NYBRO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44915</v>
      </c>
      <c r="E289" s="1" t="n">
        <v>46263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46263</v>
      </c>
      <c r="F290" t="inlineStr">
        <is>
          <t>KALMAR LÄN</t>
        </is>
      </c>
      <c r="G290" t="inlineStr">
        <is>
          <t>NYBRO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46263</v>
      </c>
      <c r="F291" t="inlineStr">
        <is>
          <t>KALMAR LÄN</t>
        </is>
      </c>
      <c r="G291" t="inlineStr">
        <is>
          <t>NYBRO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46263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46263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46263</v>
      </c>
      <c r="F294" t="inlineStr">
        <is>
          <t>KALMAR LÄN</t>
        </is>
      </c>
      <c r="G294" t="inlineStr">
        <is>
          <t>NYBRO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39351-2024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45551</v>
      </c>
      <c r="E295" s="1" t="n">
        <v>46263</v>
      </c>
      <c r="F295" t="inlineStr">
        <is>
          <t>KALMAR LÄN</t>
        </is>
      </c>
      <c r="G295" t="inlineStr">
        <is>
          <t>NYBRO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46263</v>
      </c>
      <c r="F296" t="inlineStr">
        <is>
          <t>KALMAR LÄN</t>
        </is>
      </c>
      <c r="G296" t="inlineStr">
        <is>
          <t>NYBRO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19943-2022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44697</v>
      </c>
      <c r="E297" s="1" t="n">
        <v>46263</v>
      </c>
      <c r="F297" t="inlineStr">
        <is>
          <t>KALMAR LÄN</t>
        </is>
      </c>
      <c r="G297" t="inlineStr">
        <is>
          <t>NYBRO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34362-2024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45525</v>
      </c>
      <c r="E298" s="1" t="n">
        <v>46263</v>
      </c>
      <c r="F298" t="inlineStr">
        <is>
          <t>KALMAR LÄN</t>
        </is>
      </c>
      <c r="G298" t="inlineStr">
        <is>
          <t>NYBRO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46263</v>
      </c>
      <c r="F299" t="inlineStr">
        <is>
          <t>KALMAR LÄN</t>
        </is>
      </c>
      <c r="G299" t="inlineStr">
        <is>
          <t>NYBRO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60896-2022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46263</v>
      </c>
      <c r="F300" t="inlineStr">
        <is>
          <t>KALMAR LÄN</t>
        </is>
      </c>
      <c r="G300" t="inlineStr">
        <is>
          <t>NYBRO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46263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46263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46263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46263</v>
      </c>
      <c r="F304" t="inlineStr">
        <is>
          <t>KALMAR LÄN</t>
        </is>
      </c>
      <c r="G304" t="inlineStr">
        <is>
          <t>NYBRO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46263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46263</v>
      </c>
      <c r="F306" t="inlineStr">
        <is>
          <t>KALMAR LÄN</t>
        </is>
      </c>
      <c r="G306" t="inlineStr">
        <is>
          <t>NYBRO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46263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46263</v>
      </c>
      <c r="F308" t="inlineStr">
        <is>
          <t>KALMAR LÄN</t>
        </is>
      </c>
      <c r="G308" t="inlineStr">
        <is>
          <t>NYBRO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46263</v>
      </c>
      <c r="F309" t="inlineStr">
        <is>
          <t>KALMAR LÄN</t>
        </is>
      </c>
      <c r="G309" t="inlineStr">
        <is>
          <t>NYBRO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45987</v>
      </c>
      <c r="E310" s="1" t="n">
        <v>46263</v>
      </c>
      <c r="F310" t="inlineStr">
        <is>
          <t>KALMAR LÄN</t>
        </is>
      </c>
      <c r="G310" t="inlineStr">
        <is>
          <t>NYBRO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46263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46263</v>
      </c>
      <c r="F312" t="inlineStr">
        <is>
          <t>KALMAR LÄN</t>
        </is>
      </c>
      <c r="G312" t="inlineStr">
        <is>
          <t>NYBRO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46263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49338-2025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45938</v>
      </c>
      <c r="E314" s="1" t="n">
        <v>46263</v>
      </c>
      <c r="F314" t="inlineStr">
        <is>
          <t>KALMAR LÄN</t>
        </is>
      </c>
      <c r="G314" t="inlineStr">
        <is>
          <t>NYBRO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46263</v>
      </c>
      <c r="F315" t="inlineStr">
        <is>
          <t>KALMAR LÄN</t>
        </is>
      </c>
      <c r="G315" t="inlineStr">
        <is>
          <t>NYBRO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72166-2021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44544</v>
      </c>
      <c r="E316" s="1" t="n">
        <v>46263</v>
      </c>
      <c r="F316" t="inlineStr">
        <is>
          <t>KALMAR LÄN</t>
        </is>
      </c>
      <c r="G316" t="inlineStr">
        <is>
          <t>NYBRO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46263</v>
      </c>
      <c r="F317" t="inlineStr">
        <is>
          <t>KALMAR LÄN</t>
        </is>
      </c>
      <c r="G317" t="inlineStr">
        <is>
          <t>NYBRO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46263</v>
      </c>
      <c r="F318" t="inlineStr">
        <is>
          <t>KALMAR LÄN</t>
        </is>
      </c>
      <c r="G318" t="inlineStr">
        <is>
          <t>NYBRO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46263</v>
      </c>
      <c r="F319" t="inlineStr">
        <is>
          <t>KALMAR LÄN</t>
        </is>
      </c>
      <c r="G319" t="inlineStr">
        <is>
          <t>NYBRO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19244-2022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44692</v>
      </c>
      <c r="E320" s="1" t="n">
        <v>46263</v>
      </c>
      <c r="F320" t="inlineStr">
        <is>
          <t>KALMAR LÄN</t>
        </is>
      </c>
      <c r="G320" t="inlineStr">
        <is>
          <t>NYBRO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46263</v>
      </c>
      <c r="F321" t="inlineStr">
        <is>
          <t>KALMAR LÄN</t>
        </is>
      </c>
      <c r="G321" t="inlineStr">
        <is>
          <t>NYBRO</t>
        </is>
      </c>
      <c r="H321" t="inlineStr">
        <is>
          <t>Kyrkan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46263</v>
      </c>
      <c r="F322" t="inlineStr">
        <is>
          <t>KALMAR LÄN</t>
        </is>
      </c>
      <c r="G322" t="inlineStr">
        <is>
          <t>NYBRO</t>
        </is>
      </c>
      <c r="H322" t="inlineStr">
        <is>
          <t>Kyrkan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46263</v>
      </c>
      <c r="F323" t="inlineStr">
        <is>
          <t>KALMAR LÄN</t>
        </is>
      </c>
      <c r="G323" t="inlineStr">
        <is>
          <t>NYBRO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46263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46263</v>
      </c>
      <c r="F325" t="inlineStr">
        <is>
          <t>KALMAR LÄN</t>
        </is>
      </c>
      <c r="G325" t="inlineStr">
        <is>
          <t>NYBRO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46263</v>
      </c>
      <c r="F326" t="inlineStr">
        <is>
          <t>KALMAR LÄN</t>
        </is>
      </c>
      <c r="G326" t="inlineStr">
        <is>
          <t>NYBRO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46263</v>
      </c>
      <c r="F327" t="inlineStr">
        <is>
          <t>KALMAR LÄN</t>
        </is>
      </c>
      <c r="G327" t="inlineStr">
        <is>
          <t>NYBRO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46263</v>
      </c>
      <c r="F328" t="inlineStr">
        <is>
          <t>KALMAR LÄN</t>
        </is>
      </c>
      <c r="G328" t="inlineStr">
        <is>
          <t>NYBRO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46263</v>
      </c>
      <c r="F329" t="inlineStr">
        <is>
          <t>KALMAR LÄN</t>
        </is>
      </c>
      <c r="G329" t="inlineStr">
        <is>
          <t>NYBRO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44992</v>
      </c>
      <c r="E330" s="1" t="n">
        <v>46263</v>
      </c>
      <c r="F330" t="inlineStr">
        <is>
          <t>KALMAR LÄN</t>
        </is>
      </c>
      <c r="G330" t="inlineStr">
        <is>
          <t>NYBRO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45946</v>
      </c>
      <c r="E331" s="1" t="n">
        <v>46263</v>
      </c>
      <c r="F331" t="inlineStr">
        <is>
          <t>KALMAR LÄN</t>
        </is>
      </c>
      <c r="G331" t="inlineStr">
        <is>
          <t>NYBRO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46263</v>
      </c>
      <c r="F332" t="inlineStr">
        <is>
          <t>KALMAR LÄN</t>
        </is>
      </c>
      <c r="G332" t="inlineStr">
        <is>
          <t>NYBRO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46263</v>
      </c>
      <c r="F333" t="inlineStr">
        <is>
          <t>KALMAR LÄN</t>
        </is>
      </c>
      <c r="G333" t="inlineStr">
        <is>
          <t>NYBRO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46263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52311-2022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46263</v>
      </c>
      <c r="F335" t="inlineStr">
        <is>
          <t>KALMAR LÄN</t>
        </is>
      </c>
      <c r="G335" t="inlineStr">
        <is>
          <t>NYBRO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45825</v>
      </c>
      <c r="E336" s="1" t="n">
        <v>46263</v>
      </c>
      <c r="F336" t="inlineStr">
        <is>
          <t>KALMAR LÄN</t>
        </is>
      </c>
      <c r="G336" t="inlineStr">
        <is>
          <t>NYBRO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46263</v>
      </c>
      <c r="F337" t="inlineStr">
        <is>
          <t>KALMAR LÄN</t>
        </is>
      </c>
      <c r="G337" t="inlineStr">
        <is>
          <t>NYBRO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46263</v>
      </c>
      <c r="F338" t="inlineStr">
        <is>
          <t>KALMAR LÄN</t>
        </is>
      </c>
      <c r="G338" t="inlineStr">
        <is>
          <t>NYBRO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46263</v>
      </c>
      <c r="F339" t="inlineStr">
        <is>
          <t>KALMAR LÄN</t>
        </is>
      </c>
      <c r="G339" t="inlineStr">
        <is>
          <t>NYBRO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46263</v>
      </c>
      <c r="F340" t="inlineStr">
        <is>
          <t>KALMAR LÄN</t>
        </is>
      </c>
      <c r="G340" t="inlineStr">
        <is>
          <t>NYBRO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46263</v>
      </c>
      <c r="F341" t="inlineStr">
        <is>
          <t>KALMAR LÄN</t>
        </is>
      </c>
      <c r="G341" t="inlineStr">
        <is>
          <t>NYBRO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46263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46263</v>
      </c>
      <c r="F343" t="inlineStr">
        <is>
          <t>KALMAR LÄN</t>
        </is>
      </c>
      <c r="G343" t="inlineStr">
        <is>
          <t>NYBRO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61499-2022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46263</v>
      </c>
      <c r="F344" t="inlineStr">
        <is>
          <t>KALMAR LÄN</t>
        </is>
      </c>
      <c r="G344" t="inlineStr">
        <is>
          <t>NYBRO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45834</v>
      </c>
      <c r="E345" s="1" t="n">
        <v>46263</v>
      </c>
      <c r="F345" t="inlineStr">
        <is>
          <t>KALMAR LÄN</t>
        </is>
      </c>
      <c r="G345" t="inlineStr">
        <is>
          <t>NYBRO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45834</v>
      </c>
      <c r="E346" s="1" t="n">
        <v>46263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46263</v>
      </c>
      <c r="F347" t="inlineStr">
        <is>
          <t>KALMAR LÄN</t>
        </is>
      </c>
      <c r="G347" t="inlineStr">
        <is>
          <t>NYBRO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46263</v>
      </c>
      <c r="F348" t="inlineStr">
        <is>
          <t>KALMAR LÄN</t>
        </is>
      </c>
      <c r="G348" t="inlineStr">
        <is>
          <t>NYBRO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46263</v>
      </c>
      <c r="F349" t="inlineStr">
        <is>
          <t>KALMAR LÄN</t>
        </is>
      </c>
      <c r="G349" t="inlineStr">
        <is>
          <t>NYBRO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45037</v>
      </c>
      <c r="E350" s="1" t="n">
        <v>46263</v>
      </c>
      <c r="F350" t="inlineStr">
        <is>
          <t>KALMAR LÄN</t>
        </is>
      </c>
      <c r="G350" t="inlineStr">
        <is>
          <t>NYBRO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46263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44939</v>
      </c>
      <c r="E352" s="1" t="n">
        <v>46263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46263</v>
      </c>
      <c r="F353" t="inlineStr">
        <is>
          <t>KALMAR LÄN</t>
        </is>
      </c>
      <c r="G353" t="inlineStr">
        <is>
          <t>NYBRO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46263</v>
      </c>
      <c r="F354" t="inlineStr">
        <is>
          <t>KALMAR LÄN</t>
        </is>
      </c>
      <c r="G354" t="inlineStr">
        <is>
          <t>NYBRO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45367</v>
      </c>
      <c r="E355" s="1" t="n">
        <v>46263</v>
      </c>
      <c r="F355" t="inlineStr">
        <is>
          <t>KALMAR LÄN</t>
        </is>
      </c>
      <c r="G355" t="inlineStr">
        <is>
          <t>NYBRO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46263</v>
      </c>
      <c r="F356" t="inlineStr">
        <is>
          <t>KALMAR LÄN</t>
        </is>
      </c>
      <c r="G356" t="inlineStr">
        <is>
          <t>NYBRO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45837</v>
      </c>
      <c r="E357" s="1" t="n">
        <v>46263</v>
      </c>
      <c r="F357" t="inlineStr">
        <is>
          <t>KALMAR LÄN</t>
        </is>
      </c>
      <c r="G357" t="inlineStr">
        <is>
          <t>NYBRO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44733</v>
      </c>
      <c r="E358" s="1" t="n">
        <v>46263</v>
      </c>
      <c r="F358" t="inlineStr">
        <is>
          <t>KALMAR LÄN</t>
        </is>
      </c>
      <c r="G358" t="inlineStr">
        <is>
          <t>NYBRO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50976-2022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44867</v>
      </c>
      <c r="E359" s="1" t="n">
        <v>46263</v>
      </c>
      <c r="F359" t="inlineStr">
        <is>
          <t>KALMAR LÄN</t>
        </is>
      </c>
      <c r="G359" t="inlineStr">
        <is>
          <t>NYBRO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46263</v>
      </c>
      <c r="F360" t="inlineStr">
        <is>
          <t>KALMAR LÄN</t>
        </is>
      </c>
      <c r="G360" t="inlineStr">
        <is>
          <t>NYBRO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45191</v>
      </c>
      <c r="E361" s="1" t="n">
        <v>46263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45616</v>
      </c>
      <c r="E362" s="1" t="n">
        <v>46263</v>
      </c>
      <c r="F362" t="inlineStr">
        <is>
          <t>KALMAR LÄN</t>
        </is>
      </c>
      <c r="G362" t="inlineStr">
        <is>
          <t>NYBRO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46263</v>
      </c>
      <c r="F363" t="inlineStr">
        <is>
          <t>KALMAR LÄN</t>
        </is>
      </c>
      <c r="G363" t="inlineStr">
        <is>
          <t>NYBRO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46263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46263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54245-2024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45616</v>
      </c>
      <c r="E366" s="1" t="n">
        <v>46263</v>
      </c>
      <c r="F366" t="inlineStr">
        <is>
          <t>KALMAR LÄN</t>
        </is>
      </c>
      <c r="G366" t="inlineStr">
        <is>
          <t>NYBRO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45095</v>
      </c>
      <c r="E367" s="1" t="n">
        <v>46263</v>
      </c>
      <c r="F367" t="inlineStr">
        <is>
          <t>KALMAR LÄN</t>
        </is>
      </c>
      <c r="G367" t="inlineStr">
        <is>
          <t>NYBRO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45695</v>
      </c>
      <c r="E368" s="1" t="n">
        <v>46263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44713</v>
      </c>
      <c r="E369" s="1" t="n">
        <v>46263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46263</v>
      </c>
      <c r="F370" t="inlineStr">
        <is>
          <t>KALMAR LÄN</t>
        </is>
      </c>
      <c r="G370" t="inlineStr">
        <is>
          <t>NYBRO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45071</v>
      </c>
      <c r="E371" s="1" t="n">
        <v>46263</v>
      </c>
      <c r="F371" t="inlineStr">
        <is>
          <t>KALMAR LÄN</t>
        </is>
      </c>
      <c r="G371" t="inlineStr">
        <is>
          <t>NYBRO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47270-2024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45586</v>
      </c>
      <c r="E372" s="1" t="n">
        <v>46263</v>
      </c>
      <c r="F372" t="inlineStr">
        <is>
          <t>KALMAR LÄN</t>
        </is>
      </c>
      <c r="G372" t="inlineStr">
        <is>
          <t>NYBRO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45439</v>
      </c>
      <c r="E373" s="1" t="n">
        <v>46263</v>
      </c>
      <c r="F373" t="inlineStr">
        <is>
          <t>KALMAR LÄN</t>
        </is>
      </c>
      <c r="G373" t="inlineStr">
        <is>
          <t>NYBRO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46263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45852</v>
      </c>
      <c r="E375" s="1" t="n">
        <v>46263</v>
      </c>
      <c r="F375" t="inlineStr">
        <is>
          <t>KALMAR LÄN</t>
        </is>
      </c>
      <c r="G375" t="inlineStr">
        <is>
          <t>NYBRO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40902-2022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44825</v>
      </c>
      <c r="E376" s="1" t="n">
        <v>46263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22429-2023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45070</v>
      </c>
      <c r="E377" s="1" t="n">
        <v>46263</v>
      </c>
      <c r="F377" t="inlineStr">
        <is>
          <t>KALMAR LÄN</t>
        </is>
      </c>
      <c r="G377" t="inlineStr">
        <is>
          <t>NYBRO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45367</v>
      </c>
      <c r="E378" s="1" t="n">
        <v>46263</v>
      </c>
      <c r="F378" t="inlineStr">
        <is>
          <t>KALMAR LÄN</t>
        </is>
      </c>
      <c r="G378" t="inlineStr">
        <is>
          <t>NYBRO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45411</v>
      </c>
      <c r="E379" s="1" t="n">
        <v>46263</v>
      </c>
      <c r="F379" t="inlineStr">
        <is>
          <t>KALMAR LÄN</t>
        </is>
      </c>
      <c r="G379" t="inlineStr">
        <is>
          <t>NYBRO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45856</v>
      </c>
      <c r="E380" s="1" t="n">
        <v>46263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46263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44713</v>
      </c>
      <c r="E382" s="1" t="n">
        <v>46263</v>
      </c>
      <c r="F382" t="inlineStr">
        <is>
          <t>KALMAR LÄN</t>
        </is>
      </c>
      <c r="G382" t="inlineStr">
        <is>
          <t>NYBRO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45121</v>
      </c>
      <c r="E383" s="1" t="n">
        <v>46263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46263</v>
      </c>
      <c r="F384" t="inlineStr">
        <is>
          <t>KALMAR LÄN</t>
        </is>
      </c>
      <c r="G384" t="inlineStr">
        <is>
          <t>NYBRO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28164-2022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44746</v>
      </c>
      <c r="E385" s="1" t="n">
        <v>46263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44798</v>
      </c>
      <c r="E386" s="1" t="n">
        <v>46263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46263</v>
      </c>
      <c r="F387" t="inlineStr">
        <is>
          <t>KALMAR LÄN</t>
        </is>
      </c>
      <c r="G387" t="inlineStr">
        <is>
          <t>NYBRO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46263</v>
      </c>
      <c r="F388" t="inlineStr">
        <is>
          <t>KALMAR LÄN</t>
        </is>
      </c>
      <c r="G388" t="inlineStr">
        <is>
          <t>NYBRO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45307</v>
      </c>
      <c r="E389" s="1" t="n">
        <v>46263</v>
      </c>
      <c r="F389" t="inlineStr">
        <is>
          <t>KALMAR LÄN</t>
        </is>
      </c>
      <c r="G389" t="inlineStr">
        <is>
          <t>NYBRO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9519-2024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45359</v>
      </c>
      <c r="E390" s="1" t="n">
        <v>46263</v>
      </c>
      <c r="F390" t="inlineStr">
        <is>
          <t>KALMAR LÄN</t>
        </is>
      </c>
      <c r="G390" t="inlineStr">
        <is>
          <t>NYBRO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45089</v>
      </c>
      <c r="E391" s="1" t="n">
        <v>46263</v>
      </c>
      <c r="F391" t="inlineStr">
        <is>
          <t>KALMAR LÄN</t>
        </is>
      </c>
      <c r="G391" t="inlineStr">
        <is>
          <t>NYBRO</t>
        </is>
      </c>
      <c r="H391" t="inlineStr">
        <is>
          <t>Kommuner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57224-2024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45629</v>
      </c>
      <c r="E392" s="1" t="n">
        <v>46263</v>
      </c>
      <c r="F392" t="inlineStr">
        <is>
          <t>KALMAR LÄN</t>
        </is>
      </c>
      <c r="G392" t="inlineStr">
        <is>
          <t>NYBRO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44931</v>
      </c>
      <c r="E393" s="1" t="n">
        <v>46263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46263</v>
      </c>
      <c r="F394" t="inlineStr">
        <is>
          <t>KALMAR LÄN</t>
        </is>
      </c>
      <c r="G394" t="inlineStr">
        <is>
          <t>NYBRO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46263</v>
      </c>
      <c r="F395" t="inlineStr">
        <is>
          <t>KALMAR LÄN</t>
        </is>
      </c>
      <c r="G395" t="inlineStr">
        <is>
          <t>NYBRO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45057</v>
      </c>
      <c r="E396" s="1" t="n">
        <v>46263</v>
      </c>
      <c r="F396" t="inlineStr">
        <is>
          <t>KALMAR LÄN</t>
        </is>
      </c>
      <c r="G396" t="inlineStr">
        <is>
          <t>NYBRO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46263</v>
      </c>
      <c r="F397" t="inlineStr">
        <is>
          <t>KALMAR LÄN</t>
        </is>
      </c>
      <c r="G397" t="inlineStr">
        <is>
          <t>NYBRO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46263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45881</v>
      </c>
      <c r="E399" s="1" t="n">
        <v>46263</v>
      </c>
      <c r="F399" t="inlineStr">
        <is>
          <t>KALMAR LÄN</t>
        </is>
      </c>
      <c r="G399" t="inlineStr">
        <is>
          <t>NYBRO</t>
        </is>
      </c>
      <c r="H399" t="inlineStr">
        <is>
          <t>Kommuner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40444-2022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44819</v>
      </c>
      <c r="E400" s="1" t="n">
        <v>46263</v>
      </c>
      <c r="F400" t="inlineStr">
        <is>
          <t>KALMAR LÄN</t>
        </is>
      </c>
      <c r="G400" t="inlineStr">
        <is>
          <t>NYBRO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45882</v>
      </c>
      <c r="E401" s="1" t="n">
        <v>46263</v>
      </c>
      <c r="F401" t="inlineStr">
        <is>
          <t>KALMAR LÄN</t>
        </is>
      </c>
      <c r="G401" t="inlineStr">
        <is>
          <t>NYBRO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45791</v>
      </c>
      <c r="E402" s="1" t="n">
        <v>46263</v>
      </c>
      <c r="F402" t="inlineStr">
        <is>
          <t>KALMAR LÄN</t>
        </is>
      </c>
      <c r="G402" t="inlineStr">
        <is>
          <t>NYBRO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46263</v>
      </c>
      <c r="F403" t="inlineStr">
        <is>
          <t>KALMAR LÄN</t>
        </is>
      </c>
      <c r="G403" t="inlineStr">
        <is>
          <t>NYBRO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46263</v>
      </c>
      <c r="F404" t="inlineStr">
        <is>
          <t>KALMAR LÄN</t>
        </is>
      </c>
      <c r="G404" t="inlineStr">
        <is>
          <t>NYBRO</t>
        </is>
      </c>
      <c r="H404" t="inlineStr">
        <is>
          <t>Kyrkan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46263</v>
      </c>
      <c r="F405" t="inlineStr">
        <is>
          <t>KALMAR LÄN</t>
        </is>
      </c>
      <c r="G405" t="inlineStr">
        <is>
          <t>NYBRO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46263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46263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46263</v>
      </c>
      <c r="F408" t="inlineStr">
        <is>
          <t>KALMAR LÄN</t>
        </is>
      </c>
      <c r="G408" t="inlineStr">
        <is>
          <t>NYBRO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44999</v>
      </c>
      <c r="E409" s="1" t="n">
        <v>46263</v>
      </c>
      <c r="F409" t="inlineStr">
        <is>
          <t>KALMAR LÄN</t>
        </is>
      </c>
      <c r="G409" t="inlineStr">
        <is>
          <t>NYBRO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46263</v>
      </c>
      <c r="F410" t="inlineStr">
        <is>
          <t>KALMAR LÄN</t>
        </is>
      </c>
      <c r="G410" t="inlineStr">
        <is>
          <t>NYBRO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46263</v>
      </c>
      <c r="F411" t="inlineStr">
        <is>
          <t>KALMAR LÄN</t>
        </is>
      </c>
      <c r="G411" t="inlineStr">
        <is>
          <t>NYBRO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45484</v>
      </c>
      <c r="E412" s="1" t="n">
        <v>46263</v>
      </c>
      <c r="F412" t="inlineStr">
        <is>
          <t>KALMAR LÄN</t>
        </is>
      </c>
      <c r="G412" t="inlineStr">
        <is>
          <t>NYBRO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45409</v>
      </c>
      <c r="E413" s="1" t="n">
        <v>46263</v>
      </c>
      <c r="F413" t="inlineStr">
        <is>
          <t>KALMAR LÄN</t>
        </is>
      </c>
      <c r="G413" t="inlineStr">
        <is>
          <t>NYBRO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45694</v>
      </c>
      <c r="E414" s="1" t="n">
        <v>46263</v>
      </c>
      <c r="F414" t="inlineStr">
        <is>
          <t>KALMAR LÄN</t>
        </is>
      </c>
      <c r="G414" t="inlineStr">
        <is>
          <t>NYBRO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46263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45111</v>
      </c>
      <c r="E416" s="1" t="n">
        <v>46263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46263</v>
      </c>
      <c r="F417" t="inlineStr">
        <is>
          <t>KALMAR LÄN</t>
        </is>
      </c>
      <c r="G417" t="inlineStr">
        <is>
          <t>NYBRO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46263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44818</v>
      </c>
      <c r="E419" s="1" t="n">
        <v>46263</v>
      </c>
      <c r="F419" t="inlineStr">
        <is>
          <t>KALMAR LÄN</t>
        </is>
      </c>
      <c r="G419" t="inlineStr">
        <is>
          <t>NYBRO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46263</v>
      </c>
      <c r="F420" t="inlineStr">
        <is>
          <t>KALMAR LÄN</t>
        </is>
      </c>
      <c r="G420" t="inlineStr">
        <is>
          <t>NYBRO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45369</v>
      </c>
      <c r="E421" s="1" t="n">
        <v>46263</v>
      </c>
      <c r="F421" t="inlineStr">
        <is>
          <t>KALMAR LÄN</t>
        </is>
      </c>
      <c r="G421" t="inlineStr">
        <is>
          <t>NYBRO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46263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46263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59689-2021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46263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45733</v>
      </c>
      <c r="E425" s="1" t="n">
        <v>46263</v>
      </c>
      <c r="F425" t="inlineStr">
        <is>
          <t>KALMAR LÄN</t>
        </is>
      </c>
      <c r="G425" t="inlineStr">
        <is>
          <t>NYBRO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46263</v>
      </c>
      <c r="F426" t="inlineStr">
        <is>
          <t>KALMAR LÄN</t>
        </is>
      </c>
      <c r="G426" t="inlineStr">
        <is>
          <t>NYBRO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45554</v>
      </c>
      <c r="E427" s="1" t="n">
        <v>46263</v>
      </c>
      <c r="F427" t="inlineStr">
        <is>
          <t>KALMAR LÄN</t>
        </is>
      </c>
      <c r="G427" t="inlineStr">
        <is>
          <t>NYBRO</t>
        </is>
      </c>
      <c r="H427" t="inlineStr">
        <is>
          <t>Kyrkan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44816</v>
      </c>
      <c r="E428" s="1" t="n">
        <v>46263</v>
      </c>
      <c r="F428" t="inlineStr">
        <is>
          <t>KALMAR LÄN</t>
        </is>
      </c>
      <c r="G428" t="inlineStr">
        <is>
          <t>NYBRO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46263</v>
      </c>
      <c r="F429" t="inlineStr">
        <is>
          <t>KALMAR LÄN</t>
        </is>
      </c>
      <c r="G429" t="inlineStr">
        <is>
          <t>NYBRO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44844</v>
      </c>
      <c r="E430" s="1" t="n">
        <v>46263</v>
      </c>
      <c r="F430" t="inlineStr">
        <is>
          <t>KALMAR LÄN</t>
        </is>
      </c>
      <c r="G430" t="inlineStr">
        <is>
          <t>NYBRO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45509</v>
      </c>
      <c r="E431" s="1" t="n">
        <v>46263</v>
      </c>
      <c r="F431" t="inlineStr">
        <is>
          <t>KALMAR LÄN</t>
        </is>
      </c>
      <c r="G431" t="inlineStr">
        <is>
          <t>NYBRO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46263</v>
      </c>
      <c r="F432" t="inlineStr">
        <is>
          <t>KALMAR LÄN</t>
        </is>
      </c>
      <c r="G432" t="inlineStr">
        <is>
          <t>NYBRO</t>
        </is>
      </c>
      <c r="H432" t="inlineStr">
        <is>
          <t>Kyrkan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11968-2025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45728</v>
      </c>
      <c r="E433" s="1" t="n">
        <v>46263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44700</v>
      </c>
      <c r="E434" s="1" t="n">
        <v>46263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46263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56143-2022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46263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45135</v>
      </c>
      <c r="E437" s="1" t="n">
        <v>46263</v>
      </c>
      <c r="F437" t="inlineStr">
        <is>
          <t>KALMAR LÄN</t>
        </is>
      </c>
      <c r="G437" t="inlineStr">
        <is>
          <t>NYBRO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45055</v>
      </c>
      <c r="E438" s="1" t="n">
        <v>46263</v>
      </c>
      <c r="F438" t="inlineStr">
        <is>
          <t>KALMAR LÄN</t>
        </is>
      </c>
      <c r="G438" t="inlineStr">
        <is>
          <t>NYBRO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30442-2023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46263</v>
      </c>
      <c r="F439" t="inlineStr">
        <is>
          <t>KALMAR LÄN</t>
        </is>
      </c>
      <c r="G439" t="inlineStr">
        <is>
          <t>NYBRO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45761</v>
      </c>
      <c r="E440" s="1" t="n">
        <v>46263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45426</v>
      </c>
      <c r="E441" s="1" t="n">
        <v>46263</v>
      </c>
      <c r="F441" t="inlineStr">
        <is>
          <t>KALMAR LÄN</t>
        </is>
      </c>
      <c r="G441" t="inlineStr">
        <is>
          <t>NYBRO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46263</v>
      </c>
      <c r="F442" t="inlineStr">
        <is>
          <t>KALMAR LÄN</t>
        </is>
      </c>
      <c r="G442" t="inlineStr">
        <is>
          <t>NYBRO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46263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46263</v>
      </c>
      <c r="F444" t="inlineStr">
        <is>
          <t>KALMAR LÄN</t>
        </is>
      </c>
      <c r="G444" t="inlineStr">
        <is>
          <t>NYBRO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18586-2025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45763</v>
      </c>
      <c r="E445" s="1" t="n">
        <v>46263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52382-2022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44874</v>
      </c>
      <c r="E446" s="1" t="n">
        <v>46263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45013</v>
      </c>
      <c r="E447" s="1" t="n">
        <v>46263</v>
      </c>
      <c r="F447" t="inlineStr">
        <is>
          <t>KALMAR LÄN</t>
        </is>
      </c>
      <c r="G447" t="inlineStr">
        <is>
          <t>NYBRO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46263</v>
      </c>
      <c r="F448" t="inlineStr">
        <is>
          <t>KALMAR LÄN</t>
        </is>
      </c>
      <c r="G448" t="inlineStr">
        <is>
          <t>NYBRO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46263</v>
      </c>
      <c r="F449" t="inlineStr">
        <is>
          <t>KALMAR LÄN</t>
        </is>
      </c>
      <c r="G449" t="inlineStr">
        <is>
          <t>NYBRO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45210</v>
      </c>
      <c r="E450" s="1" t="n">
        <v>46263</v>
      </c>
      <c r="F450" t="inlineStr">
        <is>
          <t>KALMAR LÄN</t>
        </is>
      </c>
      <c r="G450" t="inlineStr">
        <is>
          <t>NYBRO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46263</v>
      </c>
      <c r="F451" t="inlineStr">
        <is>
          <t>KALMAR LÄN</t>
        </is>
      </c>
      <c r="G451" t="inlineStr">
        <is>
          <t>NYBRO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46051</v>
      </c>
      <c r="E452" s="1" t="n">
        <v>46263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44825</v>
      </c>
      <c r="E453" s="1" t="n">
        <v>46263</v>
      </c>
      <c r="F453" t="inlineStr">
        <is>
          <t>KALMAR LÄN</t>
        </is>
      </c>
      <c r="G453" t="inlineStr">
        <is>
          <t>NYBRO</t>
        </is>
      </c>
      <c r="I453" t="n">
        <v>18.6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45342</v>
      </c>
      <c r="E454" s="1" t="n">
        <v>46263</v>
      </c>
      <c r="F454" t="inlineStr">
        <is>
          <t>KALMAR LÄN</t>
        </is>
      </c>
      <c r="G454" t="inlineStr">
        <is>
          <t>NYBRO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46263</v>
      </c>
      <c r="F455" t="inlineStr">
        <is>
          <t>KALMAR LÄN</t>
        </is>
      </c>
      <c r="G455" t="inlineStr">
        <is>
          <t>NYBRO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46263</v>
      </c>
      <c r="F456" t="inlineStr">
        <is>
          <t>KALMAR LÄN</t>
        </is>
      </c>
      <c r="G456" t="inlineStr">
        <is>
          <t>NYBRO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45575</v>
      </c>
      <c r="E457" s="1" t="n">
        <v>46263</v>
      </c>
      <c r="F457" t="inlineStr">
        <is>
          <t>KALMAR LÄN</t>
        </is>
      </c>
      <c r="G457" t="inlineStr">
        <is>
          <t>NYBRO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46263</v>
      </c>
      <c r="F458" t="inlineStr">
        <is>
          <t>KALMAR LÄN</t>
        </is>
      </c>
      <c r="G458" t="inlineStr">
        <is>
          <t>NYBRO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45313</v>
      </c>
      <c r="E459" s="1" t="n">
        <v>46263</v>
      </c>
      <c r="F459" t="inlineStr">
        <is>
          <t>KALMAR LÄN</t>
        </is>
      </c>
      <c r="G459" t="inlineStr">
        <is>
          <t>NYBRO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41958-2024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46263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46263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46263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45368</v>
      </c>
      <c r="E463" s="1" t="n">
        <v>46263</v>
      </c>
      <c r="F463" t="inlineStr">
        <is>
          <t>KALMAR LÄN</t>
        </is>
      </c>
      <c r="G463" t="inlineStr">
        <is>
          <t>NYBRO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46263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46263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46263</v>
      </c>
      <c r="F466" t="inlineStr">
        <is>
          <t>KALMAR LÄN</t>
        </is>
      </c>
      <c r="G466" t="inlineStr">
        <is>
          <t>NYBRO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46263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45123</v>
      </c>
      <c r="E468" s="1" t="n">
        <v>46263</v>
      </c>
      <c r="F468" t="inlineStr">
        <is>
          <t>KALMAR LÄN</t>
        </is>
      </c>
      <c r="G468" t="inlineStr">
        <is>
          <t>NYBRO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46263</v>
      </c>
      <c r="F469" t="inlineStr">
        <is>
          <t>KALMAR LÄN</t>
        </is>
      </c>
      <c r="G469" t="inlineStr">
        <is>
          <t>NYBRO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46263</v>
      </c>
      <c r="F470" t="inlineStr">
        <is>
          <t>KALMAR LÄN</t>
        </is>
      </c>
      <c r="G470" t="inlineStr">
        <is>
          <t>NYBRO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46263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58761-2021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44489</v>
      </c>
      <c r="E472" s="1" t="n">
        <v>46263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45079</v>
      </c>
      <c r="E473" s="1" t="n">
        <v>46263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49051-2021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44453</v>
      </c>
      <c r="E474" s="1" t="n">
        <v>46263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46263</v>
      </c>
      <c r="F475" t="inlineStr">
        <is>
          <t>KALMAR LÄN</t>
        </is>
      </c>
      <c r="G475" t="inlineStr">
        <is>
          <t>NYBRO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52367-2021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44465</v>
      </c>
      <c r="E476" s="1" t="n">
        <v>46263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46263</v>
      </c>
      <c r="F477" t="inlineStr">
        <is>
          <t>KALMAR LÄN</t>
        </is>
      </c>
      <c r="G477" t="inlineStr">
        <is>
          <t>NYBRO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46263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46263</v>
      </c>
      <c r="F479" t="inlineStr">
        <is>
          <t>KALMAR LÄN</t>
        </is>
      </c>
      <c r="G479" t="inlineStr">
        <is>
          <t>NYBRO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46263</v>
      </c>
      <c r="F480" t="inlineStr">
        <is>
          <t>KALMAR LÄN</t>
        </is>
      </c>
      <c r="G480" t="inlineStr">
        <is>
          <t>NYBRO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44973</v>
      </c>
      <c r="E481" s="1" t="n">
        <v>46263</v>
      </c>
      <c r="F481" t="inlineStr">
        <is>
          <t>KALMAR LÄN</t>
        </is>
      </c>
      <c r="G481" t="inlineStr">
        <is>
          <t>NYBRO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46263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46064</v>
      </c>
      <c r="E483" s="1" t="n">
        <v>46263</v>
      </c>
      <c r="F483" t="inlineStr">
        <is>
          <t>KALMAR LÄN</t>
        </is>
      </c>
      <c r="G483" t="inlineStr">
        <is>
          <t>NYBRO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9009-2026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46263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8883-2026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46067</v>
      </c>
      <c r="E485" s="1" t="n">
        <v>46263</v>
      </c>
      <c r="F485" t="inlineStr">
        <is>
          <t>KALMAR LÄN</t>
        </is>
      </c>
      <c r="G485" t="inlineStr">
        <is>
          <t>NYBRO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15200-2025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45744</v>
      </c>
      <c r="E486" s="1" t="n">
        <v>46263</v>
      </c>
      <c r="F486" t="inlineStr">
        <is>
          <t>KALMAR LÄN</t>
        </is>
      </c>
      <c r="G486" t="inlineStr">
        <is>
          <t>NYBRO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45260</v>
      </c>
      <c r="E487" s="1" t="n">
        <v>46263</v>
      </c>
      <c r="F487" t="inlineStr">
        <is>
          <t>KALMAR LÄN</t>
        </is>
      </c>
      <c r="G487" t="inlineStr">
        <is>
          <t>NYBRO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46263</v>
      </c>
      <c r="F488" t="inlineStr">
        <is>
          <t>KALMAR LÄN</t>
        </is>
      </c>
      <c r="G488" t="inlineStr">
        <is>
          <t>NYBRO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46072</v>
      </c>
      <c r="E489" s="1" t="n">
        <v>46263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46263</v>
      </c>
      <c r="F490" t="inlineStr">
        <is>
          <t>KALMAR LÄN</t>
        </is>
      </c>
      <c r="G490" t="inlineStr">
        <is>
          <t>NYBRO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46263</v>
      </c>
      <c r="F491" t="inlineStr">
        <is>
          <t>KALMAR LÄN</t>
        </is>
      </c>
      <c r="G491" t="inlineStr">
        <is>
          <t>NYBRO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28149-2023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45096</v>
      </c>
      <c r="E492" s="1" t="n">
        <v>46263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46263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46263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40335-2023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46263</v>
      </c>
      <c r="F495" t="inlineStr">
        <is>
          <t>KALMAR LÄN</t>
        </is>
      </c>
      <c r="G495" t="inlineStr">
        <is>
          <t>NYBRO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44580</v>
      </c>
      <c r="E496" s="1" t="n">
        <v>46263</v>
      </c>
      <c r="F496" t="inlineStr">
        <is>
          <t>KALMAR LÄN</t>
        </is>
      </c>
      <c r="G496" t="inlineStr">
        <is>
          <t>NYBRO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45079</v>
      </c>
      <c r="E497" s="1" t="n">
        <v>46263</v>
      </c>
      <c r="F497" t="inlineStr">
        <is>
          <t>KALMAR LÄN</t>
        </is>
      </c>
      <c r="G497" t="inlineStr">
        <is>
          <t>NYBRO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45320</v>
      </c>
      <c r="E498" s="1" t="n">
        <v>46263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46263</v>
      </c>
      <c r="F499" t="inlineStr">
        <is>
          <t>KALMAR LÄN</t>
        </is>
      </c>
      <c r="G499" t="inlineStr">
        <is>
          <t>NYBRO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46263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46263</v>
      </c>
      <c r="F501" t="inlineStr">
        <is>
          <t>KALMAR LÄN</t>
        </is>
      </c>
      <c r="G501" t="inlineStr">
        <is>
          <t>NYBRO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46263</v>
      </c>
      <c r="F502" t="inlineStr">
        <is>
          <t>KALMAR LÄN</t>
        </is>
      </c>
      <c r="G502" t="inlineStr">
        <is>
          <t>NYBRO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46087</v>
      </c>
      <c r="E503" s="1" t="n">
        <v>46263</v>
      </c>
      <c r="F503" t="inlineStr">
        <is>
          <t>KALMAR LÄN</t>
        </is>
      </c>
      <c r="G503" t="inlineStr">
        <is>
          <t>NYBRO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45131</v>
      </c>
      <c r="E504" s="1" t="n">
        <v>46263</v>
      </c>
      <c r="F504" t="inlineStr">
        <is>
          <t>KALMAR LÄN</t>
        </is>
      </c>
      <c r="G504" t="inlineStr">
        <is>
          <t>NYBRO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46263</v>
      </c>
      <c r="F505" t="inlineStr">
        <is>
          <t>KALMAR LÄN</t>
        </is>
      </c>
      <c r="G505" t="inlineStr">
        <is>
          <t>NYBRO</t>
        </is>
      </c>
      <c r="I505" t="n">
        <v>30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45315</v>
      </c>
      <c r="E506" s="1" t="n">
        <v>46263</v>
      </c>
      <c r="F506" t="inlineStr">
        <is>
          <t>KALMAR LÄN</t>
        </is>
      </c>
      <c r="G506" t="inlineStr">
        <is>
          <t>NYBRO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45016</v>
      </c>
      <c r="E507" s="1" t="n">
        <v>46263</v>
      </c>
      <c r="F507" t="inlineStr">
        <is>
          <t>KALMAR LÄN</t>
        </is>
      </c>
      <c r="G507" t="inlineStr">
        <is>
          <t>NYBRO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46263</v>
      </c>
      <c r="F508" t="inlineStr">
        <is>
          <t>KALMAR LÄN</t>
        </is>
      </c>
      <c r="G508" t="inlineStr">
        <is>
          <t>NYBRO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44566</v>
      </c>
      <c r="E509" s="1" t="n">
        <v>46263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46263</v>
      </c>
      <c r="F510" t="inlineStr">
        <is>
          <t>KALMAR LÄN</t>
        </is>
      </c>
      <c r="G510" t="inlineStr">
        <is>
          <t>NYBRO</t>
        </is>
      </c>
      <c r="H510" t="inlineStr">
        <is>
          <t>Kommuner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46282-2023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45197</v>
      </c>
      <c r="E511" s="1" t="n">
        <v>46263</v>
      </c>
      <c r="F511" t="inlineStr">
        <is>
          <t>KALMAR LÄN</t>
        </is>
      </c>
      <c r="G511" t="inlineStr">
        <is>
          <t>NYBRO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46263</v>
      </c>
      <c r="F512" t="inlineStr">
        <is>
          <t>KALMAR LÄN</t>
        </is>
      </c>
      <c r="G512" t="inlineStr">
        <is>
          <t>NYBRO</t>
        </is>
      </c>
      <c r="I512" t="n">
        <v>15.1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42740-2022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44832</v>
      </c>
      <c r="E513" s="1" t="n">
        <v>46263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50905-2023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46263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46086</v>
      </c>
      <c r="E515" s="1" t="n">
        <v>46263</v>
      </c>
      <c r="F515" t="inlineStr">
        <is>
          <t>KALMAR LÄN</t>
        </is>
      </c>
      <c r="G515" t="inlineStr">
        <is>
          <t>NYBRO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6306-2024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45338</v>
      </c>
      <c r="E516" s="1" t="n">
        <v>46263</v>
      </c>
      <c r="F516" t="inlineStr">
        <is>
          <t>KALMAR LÄN</t>
        </is>
      </c>
      <c r="G516" t="inlineStr">
        <is>
          <t>NYBRO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41679-2024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45560</v>
      </c>
      <c r="E517" s="1" t="n">
        <v>46263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44645</v>
      </c>
      <c r="E518" s="1" t="n">
        <v>46263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46263</v>
      </c>
      <c r="F519" t="inlineStr">
        <is>
          <t>KALMAR LÄN</t>
        </is>
      </c>
      <c r="G519" t="inlineStr">
        <is>
          <t>NYBRO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46092</v>
      </c>
      <c r="E520" s="1" t="n">
        <v>46263</v>
      </c>
      <c r="F520" t="inlineStr">
        <is>
          <t>KALMAR LÄN</t>
        </is>
      </c>
      <c r="G520" t="inlineStr">
        <is>
          <t>NYBRO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46263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44677</v>
      </c>
      <c r="E522" s="1" t="n">
        <v>46263</v>
      </c>
      <c r="F522" t="inlineStr">
        <is>
          <t>KALMAR LÄN</t>
        </is>
      </c>
      <c r="G522" t="inlineStr">
        <is>
          <t>NYBRO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46263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46263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46263</v>
      </c>
      <c r="F525" t="inlineStr">
        <is>
          <t>KALMAR LÄN</t>
        </is>
      </c>
      <c r="G525" t="inlineStr">
        <is>
          <t>NYBRO</t>
        </is>
      </c>
      <c r="H525" t="inlineStr">
        <is>
          <t>Kommuner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45074-2023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45191</v>
      </c>
      <c r="E526" s="1" t="n">
        <v>46263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46263</v>
      </c>
      <c r="F527" t="inlineStr">
        <is>
          <t>KALMAR LÄN</t>
        </is>
      </c>
      <c r="G527" t="inlineStr">
        <is>
          <t>NYBRO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44657</v>
      </c>
      <c r="E528" s="1" t="n">
        <v>46263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15436-2026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46106</v>
      </c>
      <c r="E529" s="1" t="n">
        <v>46263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44594</v>
      </c>
      <c r="E530" s="1" t="n">
        <v>46263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46263</v>
      </c>
      <c r="F531" t="inlineStr">
        <is>
          <t>KALMAR LÄN</t>
        </is>
      </c>
      <c r="G531" t="inlineStr">
        <is>
          <t>NYBRO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46263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44622</v>
      </c>
      <c r="E533" s="1" t="n">
        <v>46263</v>
      </c>
      <c r="F533" t="inlineStr">
        <is>
          <t>KALMAR LÄN</t>
        </is>
      </c>
      <c r="G533" t="inlineStr">
        <is>
          <t>NYBRO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45637</v>
      </c>
      <c r="E534" s="1" t="n">
        <v>46263</v>
      </c>
      <c r="F534" t="inlineStr">
        <is>
          <t>KALMAR LÄN</t>
        </is>
      </c>
      <c r="G534" t="inlineStr">
        <is>
          <t>NYBRO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46263</v>
      </c>
      <c r="F535" t="inlineStr">
        <is>
          <t>KALMAR LÄN</t>
        </is>
      </c>
      <c r="G535" t="inlineStr">
        <is>
          <t>NYBRO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46263</v>
      </c>
      <c r="F536" t="inlineStr">
        <is>
          <t>KALMAR LÄN</t>
        </is>
      </c>
      <c r="G536" t="inlineStr">
        <is>
          <t>NYBRO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46263</v>
      </c>
      <c r="F537" t="inlineStr">
        <is>
          <t>KALMAR LÄN</t>
        </is>
      </c>
      <c r="G537" t="inlineStr">
        <is>
          <t>NYBRO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46263</v>
      </c>
      <c r="F538" t="inlineStr">
        <is>
          <t>KALMAR LÄN</t>
        </is>
      </c>
      <c r="G538" t="inlineStr">
        <is>
          <t>NYBRO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46263</v>
      </c>
      <c r="F539" t="inlineStr">
        <is>
          <t>KALMAR LÄN</t>
        </is>
      </c>
      <c r="G539" t="inlineStr">
        <is>
          <t>NYBRO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46263</v>
      </c>
      <c r="F540" t="inlineStr">
        <is>
          <t>KALMAR LÄN</t>
        </is>
      </c>
      <c r="G540" t="inlineStr">
        <is>
          <t>NYBRO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45762</v>
      </c>
      <c r="E541" s="1" t="n">
        <v>46263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31791-2023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45118</v>
      </c>
      <c r="E542" s="1" t="n">
        <v>46263</v>
      </c>
      <c r="F542" t="inlineStr">
        <is>
          <t>KALMAR LÄN</t>
        </is>
      </c>
      <c r="G542" t="inlineStr">
        <is>
          <t>NYBRO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14057-2024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46263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46263</v>
      </c>
      <c r="F544" t="inlineStr">
        <is>
          <t>KALMAR LÄN</t>
        </is>
      </c>
      <c r="G544" t="inlineStr">
        <is>
          <t>NYBRO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46122</v>
      </c>
      <c r="E545" s="1" t="n">
        <v>46263</v>
      </c>
      <c r="F545" t="inlineStr">
        <is>
          <t>KALMAR LÄN</t>
        </is>
      </c>
      <c r="G545" t="inlineStr">
        <is>
          <t>NYBRO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46122</v>
      </c>
      <c r="E546" s="1" t="n">
        <v>46263</v>
      </c>
      <c r="F546" t="inlineStr">
        <is>
          <t>KALMAR LÄN</t>
        </is>
      </c>
      <c r="G546" t="inlineStr">
        <is>
          <t>NYBRO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46263</v>
      </c>
      <c r="F547" t="inlineStr">
        <is>
          <t>KALMAR LÄN</t>
        </is>
      </c>
      <c r="G547" t="inlineStr">
        <is>
          <t>NYBRO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46263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43118-2022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44833</v>
      </c>
      <c r="E549" s="1" t="n">
        <v>46263</v>
      </c>
      <c r="F549" t="inlineStr">
        <is>
          <t>KALMAR LÄN</t>
        </is>
      </c>
      <c r="G549" t="inlineStr">
        <is>
          <t>NYBRO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46127</v>
      </c>
      <c r="E550" s="1" t="n">
        <v>46263</v>
      </c>
      <c r="F550" t="inlineStr">
        <is>
          <t>KALMAR LÄN</t>
        </is>
      </c>
      <c r="G550" t="inlineStr">
        <is>
          <t>NYBRO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18884-2022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44690</v>
      </c>
      <c r="E551" s="1" t="n">
        <v>46263</v>
      </c>
      <c r="F551" t="inlineStr">
        <is>
          <t>KALMAR LÄN</t>
        </is>
      </c>
      <c r="G551" t="inlineStr">
        <is>
          <t>NYBRO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46263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44684</v>
      </c>
      <c r="E553" s="1" t="n">
        <v>46263</v>
      </c>
      <c r="F553" t="inlineStr">
        <is>
          <t>KALMAR LÄN</t>
        </is>
      </c>
      <c r="G553" t="inlineStr">
        <is>
          <t>NYBRO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42817-2023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45182</v>
      </c>
      <c r="E554" s="1" t="n">
        <v>46263</v>
      </c>
      <c r="F554" t="inlineStr">
        <is>
          <t>KALMAR LÄN</t>
        </is>
      </c>
      <c r="G554" t="inlineStr">
        <is>
          <t>NYBRO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46263</v>
      </c>
      <c r="F555" t="inlineStr">
        <is>
          <t>KALMAR LÄN</t>
        </is>
      </c>
      <c r="G555" t="inlineStr">
        <is>
          <t>NYBRO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46263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46263</v>
      </c>
      <c r="F557" t="inlineStr">
        <is>
          <t>KALMAR LÄN</t>
        </is>
      </c>
      <c r="G557" t="inlineStr">
        <is>
          <t>NYBRO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46263</v>
      </c>
      <c r="F558" t="inlineStr">
        <is>
          <t>KALMAR LÄN</t>
        </is>
      </c>
      <c r="G558" t="inlineStr">
        <is>
          <t>NYBRO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46263</v>
      </c>
      <c r="F559" t="inlineStr">
        <is>
          <t>KALMAR LÄN</t>
        </is>
      </c>
      <c r="G559" t="inlineStr">
        <is>
          <t>NYBRO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46263</v>
      </c>
      <c r="F560" t="inlineStr">
        <is>
          <t>KALMAR LÄN</t>
        </is>
      </c>
      <c r="G560" t="inlineStr">
        <is>
          <t>NYBRO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46263</v>
      </c>
      <c r="F561" t="inlineStr">
        <is>
          <t>KALMAR LÄN</t>
        </is>
      </c>
      <c r="G561" t="inlineStr">
        <is>
          <t>NYBRO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57809-2023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46263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19474-2026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46263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46263</v>
      </c>
      <c r="F564" t="inlineStr">
        <is>
          <t>KALMAR LÄN</t>
        </is>
      </c>
      <c r="G564" t="inlineStr">
        <is>
          <t>NYBRO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45756</v>
      </c>
      <c r="E565" s="1" t="n">
        <v>46263</v>
      </c>
      <c r="F565" t="inlineStr">
        <is>
          <t>KALMAR LÄN</t>
        </is>
      </c>
      <c r="G565" t="inlineStr">
        <is>
          <t>NYBRO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45478</v>
      </c>
      <c r="E566" s="1" t="n">
        <v>46263</v>
      </c>
      <c r="F566" t="inlineStr">
        <is>
          <t>KALMAR LÄN</t>
        </is>
      </c>
      <c r="G566" t="inlineStr">
        <is>
          <t>NYBRO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45966</v>
      </c>
      <c r="E567" s="1" t="n">
        <v>46263</v>
      </c>
      <c r="F567" t="inlineStr">
        <is>
          <t>KALMAR LÄN</t>
        </is>
      </c>
      <c r="G567" t="inlineStr">
        <is>
          <t>NYBRO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46263</v>
      </c>
      <c r="F568" t="inlineStr">
        <is>
          <t>KALMAR LÄN</t>
        </is>
      </c>
      <c r="G568" t="inlineStr">
        <is>
          <t>NYBRO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45914</v>
      </c>
      <c r="E569" s="1" t="n">
        <v>46263</v>
      </c>
      <c r="F569" t="inlineStr">
        <is>
          <t>KALMAR LÄN</t>
        </is>
      </c>
      <c r="G569" t="inlineStr">
        <is>
          <t>NYBRO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45930</v>
      </c>
      <c r="E570" s="1" t="n">
        <v>46263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49340-2023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46263</v>
      </c>
      <c r="F571" t="inlineStr">
        <is>
          <t>KALMAR LÄN</t>
        </is>
      </c>
      <c r="G571" t="inlineStr">
        <is>
          <t>NYBRO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28756-2025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45820</v>
      </c>
      <c r="E572" s="1" t="n">
        <v>46263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46263</v>
      </c>
      <c r="F573" t="inlineStr">
        <is>
          <t>KALMAR LÄN</t>
        </is>
      </c>
      <c r="G573" t="inlineStr">
        <is>
          <t>NYBRO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45966</v>
      </c>
      <c r="E574" s="1" t="n">
        <v>46263</v>
      </c>
      <c r="F574" t="inlineStr">
        <is>
          <t>KALMAR LÄN</t>
        </is>
      </c>
      <c r="G574" t="inlineStr">
        <is>
          <t>NYBRO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46263</v>
      </c>
      <c r="F575" t="inlineStr">
        <is>
          <t>KALMAR LÄN</t>
        </is>
      </c>
      <c r="G575" t="inlineStr">
        <is>
          <t>NYBRO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46263</v>
      </c>
      <c r="F576" t="inlineStr">
        <is>
          <t>KALMAR LÄN</t>
        </is>
      </c>
      <c r="G576" t="inlineStr">
        <is>
          <t>NYBRO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45951</v>
      </c>
      <c r="E577" s="1" t="n">
        <v>46263</v>
      </c>
      <c r="F577" t="inlineStr">
        <is>
          <t>KALMAR LÄN</t>
        </is>
      </c>
      <c r="G577" t="inlineStr">
        <is>
          <t>NYBRO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45478</v>
      </c>
      <c r="E578" s="1" t="n">
        <v>46263</v>
      </c>
      <c r="F578" t="inlineStr">
        <is>
          <t>KALMAR LÄN</t>
        </is>
      </c>
      <c r="G578" t="inlineStr">
        <is>
          <t>NYBRO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16268-2024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45407</v>
      </c>
      <c r="E579" s="1" t="n">
        <v>46263</v>
      </c>
      <c r="F579" t="inlineStr">
        <is>
          <t>KALMAR LÄN</t>
        </is>
      </c>
      <c r="G579" t="inlineStr">
        <is>
          <t>NYBRO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45577</v>
      </c>
      <c r="E580" s="1" t="n">
        <v>46263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46263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47627-2025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45931</v>
      </c>
      <c r="E582" s="1" t="n">
        <v>46263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46263</v>
      </c>
      <c r="F583" t="inlineStr">
        <is>
          <t>KALMAR LÄN</t>
        </is>
      </c>
      <c r="G583" t="inlineStr">
        <is>
          <t>NYBRO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45859</v>
      </c>
      <c r="E584" s="1" t="n">
        <v>46263</v>
      </c>
      <c r="F584" t="inlineStr">
        <is>
          <t>KALMAR LÄN</t>
        </is>
      </c>
      <c r="G584" t="inlineStr">
        <is>
          <t>NYBRO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55723-2023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45239</v>
      </c>
      <c r="E585" s="1" t="n">
        <v>46263</v>
      </c>
      <c r="F585" t="inlineStr">
        <is>
          <t>KALMAR LÄN</t>
        </is>
      </c>
      <c r="G585" t="inlineStr">
        <is>
          <t>NYBRO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27419-2022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44742</v>
      </c>
      <c r="E586" s="1" t="n">
        <v>46263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56574-2025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45975</v>
      </c>
      <c r="E587" s="1" t="n">
        <v>46263</v>
      </c>
      <c r="F587" t="inlineStr">
        <is>
          <t>KALMAR LÄN</t>
        </is>
      </c>
      <c r="G587" t="inlineStr">
        <is>
          <t>NYBRO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59940-2022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44909</v>
      </c>
      <c r="E588" s="1" t="n">
        <v>46263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60706-2024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45644</v>
      </c>
      <c r="E589" s="1" t="n">
        <v>46263</v>
      </c>
      <c r="F589" t="inlineStr">
        <is>
          <t>KALMAR LÄN</t>
        </is>
      </c>
      <c r="G589" t="inlineStr">
        <is>
          <t>NYBRO</t>
        </is>
      </c>
      <c r="I589" t="n">
        <v>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39354-2024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45551</v>
      </c>
      <c r="E590" s="1" t="n">
        <v>46263</v>
      </c>
      <c r="F590" t="inlineStr">
        <is>
          <t>KALMAR LÄN</t>
        </is>
      </c>
      <c r="G590" t="inlineStr">
        <is>
          <t>NYBRO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46263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47632-2025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45931</v>
      </c>
      <c r="E592" s="1" t="n">
        <v>46263</v>
      </c>
      <c r="F592" t="inlineStr">
        <is>
          <t>KALMAR LÄN</t>
        </is>
      </c>
      <c r="G592" t="inlineStr">
        <is>
          <t>NYBRO</t>
        </is>
      </c>
      <c r="H592" t="inlineStr">
        <is>
          <t>Kyrkan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35931-2025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45862</v>
      </c>
      <c r="E593" s="1" t="n">
        <v>46263</v>
      </c>
      <c r="F593" t="inlineStr">
        <is>
          <t>KALMAR LÄN</t>
        </is>
      </c>
      <c r="G593" t="inlineStr">
        <is>
          <t>NYBRO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46684-2023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46263</v>
      </c>
      <c r="F594" t="inlineStr">
        <is>
          <t>KALMAR LÄN</t>
        </is>
      </c>
      <c r="G594" t="inlineStr">
        <is>
          <t>NYBRO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49405-2023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46263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45713</v>
      </c>
      <c r="E596" s="1" t="n">
        <v>46263</v>
      </c>
      <c r="F596" t="inlineStr">
        <is>
          <t>KALMAR LÄN</t>
        </is>
      </c>
      <c r="G596" t="inlineStr">
        <is>
          <t>NYBRO</t>
        </is>
      </c>
      <c r="I596" t="n">
        <v>13.2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28795-2022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44749</v>
      </c>
      <c r="E597" s="1" t="n">
        <v>46263</v>
      </c>
      <c r="F597" t="inlineStr">
        <is>
          <t>KALMAR LÄN</t>
        </is>
      </c>
      <c r="G597" t="inlineStr">
        <is>
          <t>NYBRO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38780-2025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45887</v>
      </c>
      <c r="E598" s="1" t="n">
        <v>46263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44721</v>
      </c>
      <c r="E599" s="1" t="n">
        <v>46263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45327</v>
      </c>
      <c r="E600" s="1" t="n">
        <v>46263</v>
      </c>
      <c r="F600" t="inlineStr">
        <is>
          <t>KALMAR LÄN</t>
        </is>
      </c>
      <c r="G600" t="inlineStr">
        <is>
          <t>NYBRO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44743</v>
      </c>
      <c r="E601" s="1" t="n">
        <v>46263</v>
      </c>
      <c r="F601" t="inlineStr">
        <is>
          <t>KALMAR LÄN</t>
        </is>
      </c>
      <c r="G601" t="inlineStr">
        <is>
          <t>NYBRO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41632-2023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45175</v>
      </c>
      <c r="E602" s="1" t="n">
        <v>46263</v>
      </c>
      <c r="F602" t="inlineStr">
        <is>
          <t>KALMAR LÄN</t>
        </is>
      </c>
      <c r="G602" t="inlineStr">
        <is>
          <t>NYBRO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46263</v>
      </c>
      <c r="F603" t="inlineStr">
        <is>
          <t>KALMAR LÄN</t>
        </is>
      </c>
      <c r="G603" t="inlineStr">
        <is>
          <t>NYBRO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17229-2025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45756</v>
      </c>
      <c r="E604" s="1" t="n">
        <v>46263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46263</v>
      </c>
      <c r="F605" t="inlineStr">
        <is>
          <t>KALMAR LÄN</t>
        </is>
      </c>
      <c r="G605" t="inlineStr">
        <is>
          <t>NYBRO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45244</v>
      </c>
      <c r="E606" s="1" t="n">
        <v>46263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44801-2022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44841</v>
      </c>
      <c r="E607" s="1" t="n">
        <v>46263</v>
      </c>
      <c r="F607" t="inlineStr">
        <is>
          <t>KALMAR LÄN</t>
        </is>
      </c>
      <c r="G607" t="inlineStr">
        <is>
          <t>NYBRO</t>
        </is>
      </c>
      <c r="I607" t="n">
        <v>7.3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46263</v>
      </c>
      <c r="F608" t="inlineStr">
        <is>
          <t>KALMAR LÄN</t>
        </is>
      </c>
      <c r="G608" t="inlineStr">
        <is>
          <t>NYBRO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20536-2025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45775</v>
      </c>
      <c r="E609" s="1" t="n">
        <v>46263</v>
      </c>
      <c r="F609" t="inlineStr">
        <is>
          <t>KALMAR LÄN</t>
        </is>
      </c>
      <c r="G609" t="inlineStr">
        <is>
          <t>NYBRO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36247-2022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44803</v>
      </c>
      <c r="E610" s="1" t="n">
        <v>46263</v>
      </c>
      <c r="F610" t="inlineStr">
        <is>
          <t>KALMAR LÄN</t>
        </is>
      </c>
      <c r="G610" t="inlineStr">
        <is>
          <t>NYBRO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19451-2022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44693</v>
      </c>
      <c r="E611" s="1" t="n">
        <v>46263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45448</v>
      </c>
      <c r="E612" s="1" t="n">
        <v>46263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26715-2022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44739</v>
      </c>
      <c r="E613" s="1" t="n">
        <v>46263</v>
      </c>
      <c r="F613" t="inlineStr">
        <is>
          <t>KALMAR LÄN</t>
        </is>
      </c>
      <c r="G613" t="inlineStr">
        <is>
          <t>NYBRO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44746</v>
      </c>
      <c r="E614" s="1" t="n">
        <v>46263</v>
      </c>
      <c r="F614" t="inlineStr">
        <is>
          <t>KALMAR LÄN</t>
        </is>
      </c>
      <c r="G614" t="inlineStr">
        <is>
          <t>NYBRO</t>
        </is>
      </c>
      <c r="I614" t="n">
        <v>8.4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59545-2023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45254</v>
      </c>
      <c r="E615" s="1" t="n">
        <v>46263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45330</v>
      </c>
      <c r="E616" s="1" t="n">
        <v>46263</v>
      </c>
      <c r="F616" t="inlineStr">
        <is>
          <t>KALMAR LÄN</t>
        </is>
      </c>
      <c r="G616" t="inlineStr">
        <is>
          <t>NYBRO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61060-2021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44497</v>
      </c>
      <c r="E617" s="1" t="n">
        <v>46263</v>
      </c>
      <c r="F617" t="inlineStr">
        <is>
          <t>KALMAR LÄN</t>
        </is>
      </c>
      <c r="G617" t="inlineStr">
        <is>
          <t>NYBRO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8100-2023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44974</v>
      </c>
      <c r="E618" s="1" t="n">
        <v>46263</v>
      </c>
      <c r="F618" t="inlineStr">
        <is>
          <t>KALMAR LÄN</t>
        </is>
      </c>
      <c r="G618" t="inlineStr">
        <is>
          <t>NYBRO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45366</v>
      </c>
      <c r="E619" s="1" t="n">
        <v>46263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50662-2023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46263</v>
      </c>
      <c r="F620" t="inlineStr">
        <is>
          <t>KALMAR LÄN</t>
        </is>
      </c>
      <c r="G620" t="inlineStr">
        <is>
          <t>NYBRO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44917</v>
      </c>
      <c r="E621" s="1" t="n">
        <v>46263</v>
      </c>
      <c r="F621" t="inlineStr">
        <is>
          <t>KALMAR LÄN</t>
        </is>
      </c>
      <c r="G621" t="inlineStr">
        <is>
          <t>NYBRO</t>
        </is>
      </c>
      <c r="H621" t="inlineStr">
        <is>
          <t>Kommuner</t>
        </is>
      </c>
      <c r="I621" t="n">
        <v>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44959</v>
      </c>
      <c r="E622" s="1" t="n">
        <v>46263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63111-2023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45273</v>
      </c>
      <c r="E623" s="1" t="n">
        <v>46263</v>
      </c>
      <c r="F623" t="inlineStr">
        <is>
          <t>KALMAR LÄN</t>
        </is>
      </c>
      <c r="G623" t="inlineStr">
        <is>
          <t>NYBRO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39771-2022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46263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46263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45301</v>
      </c>
      <c r="E626" s="1" t="n">
        <v>46263</v>
      </c>
      <c r="F626" t="inlineStr">
        <is>
          <t>KALMAR LÄN</t>
        </is>
      </c>
      <c r="G626" t="inlineStr">
        <is>
          <t>NYBRO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45763</v>
      </c>
      <c r="E627" s="1" t="n">
        <v>46263</v>
      </c>
      <c r="F627" t="inlineStr">
        <is>
          <t>KALMAR LÄN</t>
        </is>
      </c>
      <c r="G627" t="inlineStr">
        <is>
          <t>NYBRO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45327</v>
      </c>
      <c r="E628" s="1" t="n">
        <v>46263</v>
      </c>
      <c r="F628" t="inlineStr">
        <is>
          <t>KALMAR LÄN</t>
        </is>
      </c>
      <c r="G628" t="inlineStr">
        <is>
          <t>NYBRO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46263</v>
      </c>
      <c r="F629" t="inlineStr">
        <is>
          <t>KALMAR LÄN</t>
        </is>
      </c>
      <c r="G629" t="inlineStr">
        <is>
          <t>NYBRO</t>
        </is>
      </c>
      <c r="I629" t="n">
        <v>10.3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45744</v>
      </c>
      <c r="E630" s="1" t="n">
        <v>46263</v>
      </c>
      <c r="F630" t="inlineStr">
        <is>
          <t>KALMAR LÄN</t>
        </is>
      </c>
      <c r="G630" t="inlineStr">
        <is>
          <t>NYBRO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26422-2023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46263</v>
      </c>
      <c r="F631" t="inlineStr">
        <is>
          <t>KALMAR LÄN</t>
        </is>
      </c>
      <c r="G631" t="inlineStr">
        <is>
          <t>NYBRO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50753-2025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45946</v>
      </c>
      <c r="E632" s="1" t="n">
        <v>46263</v>
      </c>
      <c r="F632" t="inlineStr">
        <is>
          <t>KALMAR LÄN</t>
        </is>
      </c>
      <c r="G632" t="inlineStr">
        <is>
          <t>NYBRO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7481-2024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45346</v>
      </c>
      <c r="E633" s="1" t="n">
        <v>46263</v>
      </c>
      <c r="F633" t="inlineStr">
        <is>
          <t>KALMAR LÄN</t>
        </is>
      </c>
      <c r="G633" t="inlineStr">
        <is>
          <t>NYBRO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46263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45278</v>
      </c>
      <c r="E635" s="1" t="n">
        <v>46263</v>
      </c>
      <c r="F635" t="inlineStr">
        <is>
          <t>KALMAR LÄN</t>
        </is>
      </c>
      <c r="G635" t="inlineStr">
        <is>
          <t>NYBRO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46263</v>
      </c>
      <c r="F636" t="inlineStr">
        <is>
          <t>KALMAR LÄN</t>
        </is>
      </c>
      <c r="G636" t="inlineStr">
        <is>
          <t>NYBRO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52752-2024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45610</v>
      </c>
      <c r="E637" s="1" t="n">
        <v>46263</v>
      </c>
      <c r="F637" t="inlineStr">
        <is>
          <t>KALMAR LÄN</t>
        </is>
      </c>
      <c r="G637" t="inlineStr">
        <is>
          <t>NYBRO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29847-2022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44756</v>
      </c>
      <c r="E638" s="1" t="n">
        <v>46263</v>
      </c>
      <c r="F638" t="inlineStr">
        <is>
          <t>KALMAR LÄN</t>
        </is>
      </c>
      <c r="G638" t="inlineStr">
        <is>
          <t>NYBRO</t>
        </is>
      </c>
      <c r="H638" t="inlineStr">
        <is>
          <t>Kyrkan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26129-2023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45091</v>
      </c>
      <c r="E639" s="1" t="n">
        <v>46263</v>
      </c>
      <c r="F639" t="inlineStr">
        <is>
          <t>KALMAR LÄN</t>
        </is>
      </c>
      <c r="G639" t="inlineStr">
        <is>
          <t>NYBRO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51082-2022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44868</v>
      </c>
      <c r="E640" s="1" t="n">
        <v>46263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10114-2022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44621</v>
      </c>
      <c r="E641" s="1" t="n">
        <v>46263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46263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49929-2022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46263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44985</v>
      </c>
      <c r="E644" s="1" t="n">
        <v>46263</v>
      </c>
      <c r="F644" t="inlineStr">
        <is>
          <t>KALMAR LÄN</t>
        </is>
      </c>
      <c r="G644" t="inlineStr">
        <is>
          <t>NYBRO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45463</v>
      </c>
      <c r="E645" s="1" t="n">
        <v>46263</v>
      </c>
      <c r="F645" t="inlineStr">
        <is>
          <t>KALMAR LÄN</t>
        </is>
      </c>
      <c r="G645" t="inlineStr">
        <is>
          <t>NYBRO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36366-2024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45534</v>
      </c>
      <c r="E646" s="1" t="n">
        <v>46263</v>
      </c>
      <c r="F646" t="inlineStr">
        <is>
          <t>KALMAR LÄN</t>
        </is>
      </c>
      <c r="G646" t="inlineStr">
        <is>
          <t>NYBRO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46263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46263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6895-2024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45342</v>
      </c>
      <c r="E649" s="1" t="n">
        <v>46263</v>
      </c>
      <c r="F649" t="inlineStr">
        <is>
          <t>KALMAR LÄN</t>
        </is>
      </c>
      <c r="G649" t="inlineStr">
        <is>
          <t>NYBRO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15332-2024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46263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39624-2024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45552</v>
      </c>
      <c r="E651" s="1" t="n">
        <v>46263</v>
      </c>
      <c r="F651" t="inlineStr">
        <is>
          <t>KALMAR LÄN</t>
        </is>
      </c>
      <c r="G651" t="inlineStr">
        <is>
          <t>NYBRO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44909</v>
      </c>
      <c r="E652" s="1" t="n">
        <v>46263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8000-2023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44973</v>
      </c>
      <c r="E653" s="1" t="n">
        <v>46263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59052-2022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44904</v>
      </c>
      <c r="E654" s="1" t="n">
        <v>46263</v>
      </c>
      <c r="F654" t="inlineStr">
        <is>
          <t>KALMAR LÄN</t>
        </is>
      </c>
      <c r="G654" t="inlineStr">
        <is>
          <t>NYBRO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41161-2023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45174</v>
      </c>
      <c r="E655" s="1" t="n">
        <v>46263</v>
      </c>
      <c r="F655" t="inlineStr">
        <is>
          <t>KALMAR LÄN</t>
        </is>
      </c>
      <c r="G655" t="inlineStr">
        <is>
          <t>NYBRO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45335</v>
      </c>
      <c r="E656" s="1" t="n">
        <v>46263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11155-2023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44992</v>
      </c>
      <c r="E657" s="1" t="n">
        <v>46263</v>
      </c>
      <c r="F657" t="inlineStr">
        <is>
          <t>KALMAR LÄN</t>
        </is>
      </c>
      <c r="G657" t="inlineStr">
        <is>
          <t>NYBRO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36162-2024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45534</v>
      </c>
      <c r="E658" s="1" t="n">
        <v>46263</v>
      </c>
      <c r="F658" t="inlineStr">
        <is>
          <t>KALMAR LÄN</t>
        </is>
      </c>
      <c r="G658" t="inlineStr">
        <is>
          <t>NYBRO</t>
        </is>
      </c>
      <c r="I658" t="n">
        <v>13.2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43982-2024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45572</v>
      </c>
      <c r="E659" s="1" t="n">
        <v>46263</v>
      </c>
      <c r="F659" t="inlineStr">
        <is>
          <t>KALMAR LÄN</t>
        </is>
      </c>
      <c r="G659" t="inlineStr">
        <is>
          <t>NYBRO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52133-2021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44462</v>
      </c>
      <c r="E660" s="1" t="n">
        <v>46263</v>
      </c>
      <c r="F660" t="inlineStr">
        <is>
          <t>KALMAR LÄN</t>
        </is>
      </c>
      <c r="G660" t="inlineStr">
        <is>
          <t>NYBRO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44463</v>
      </c>
      <c r="E661" s="1" t="n">
        <v>46263</v>
      </c>
      <c r="F661" t="inlineStr">
        <is>
          <t>KALMAR LÄN</t>
        </is>
      </c>
      <c r="G661" t="inlineStr">
        <is>
          <t>NYBRO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44579</v>
      </c>
      <c r="E662" s="1" t="n">
        <v>46263</v>
      </c>
      <c r="F662" t="inlineStr">
        <is>
          <t>KALMAR LÄN</t>
        </is>
      </c>
      <c r="G662" t="inlineStr">
        <is>
          <t>NYBRO</t>
        </is>
      </c>
      <c r="I662" t="n">
        <v>8.4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46263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5150-2022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44594</v>
      </c>
      <c r="E664" s="1" t="n">
        <v>46263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44933</v>
      </c>
      <c r="E665" s="1" t="n">
        <v>46263</v>
      </c>
      <c r="F665" t="inlineStr">
        <is>
          <t>KALMAR LÄN</t>
        </is>
      </c>
      <c r="G665" t="inlineStr">
        <is>
          <t>NYBRO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46263</v>
      </c>
      <c r="F666" t="inlineStr">
        <is>
          <t>KALMAR LÄN</t>
        </is>
      </c>
      <c r="G666" t="inlineStr">
        <is>
          <t>NYBRO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54051-2022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44881</v>
      </c>
      <c r="E667" s="1" t="n">
        <v>46263</v>
      </c>
      <c r="F667" t="inlineStr">
        <is>
          <t>KALMAR LÄN</t>
        </is>
      </c>
      <c r="G667" t="inlineStr">
        <is>
          <t>NYBRO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45188</v>
      </c>
      <c r="E668" s="1" t="n">
        <v>46263</v>
      </c>
      <c r="F668" t="inlineStr">
        <is>
          <t>KALMAR LÄN</t>
        </is>
      </c>
      <c r="G668" t="inlineStr">
        <is>
          <t>NYBRO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46263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45072</v>
      </c>
      <c r="E670" s="1" t="n">
        <v>46263</v>
      </c>
      <c r="F670" t="inlineStr">
        <is>
          <t>KALMAR LÄN</t>
        </is>
      </c>
      <c r="G670" t="inlineStr">
        <is>
          <t>NYBRO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11150-2024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46263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60819-2022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44914</v>
      </c>
      <c r="E672" s="1" t="n">
        <v>46263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60794-2021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44497</v>
      </c>
      <c r="E673" s="1" t="n">
        <v>46263</v>
      </c>
      <c r="F673" t="inlineStr">
        <is>
          <t>KALMAR LÄN</t>
        </is>
      </c>
      <c r="G673" t="inlineStr">
        <is>
          <t>NYBRO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46263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46263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60603-2023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45260</v>
      </c>
      <c r="E676" s="1" t="n">
        <v>46263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46263</v>
      </c>
      <c r="F677" t="inlineStr">
        <is>
          <t>KALMAR LÄN</t>
        </is>
      </c>
      <c r="G677" t="inlineStr">
        <is>
          <t>NYBRO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44030-2023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46263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46263</v>
      </c>
      <c r="F679" t="inlineStr">
        <is>
          <t>KALMAR LÄN</t>
        </is>
      </c>
      <c r="G679" t="inlineStr">
        <is>
          <t>NYBRO</t>
        </is>
      </c>
      <c r="I679" t="n">
        <v>7.6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12943-2024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45385</v>
      </c>
      <c r="E680" s="1" t="n">
        <v>46263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45056</v>
      </c>
      <c r="E681" s="1" t="n">
        <v>46263</v>
      </c>
      <c r="F681" t="inlineStr">
        <is>
          <t>KALMAR LÄN</t>
        </is>
      </c>
      <c r="G681" t="inlineStr">
        <is>
          <t>NYBRO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45606</v>
      </c>
      <c r="E682" s="1" t="n">
        <v>46263</v>
      </c>
      <c r="F682" t="inlineStr">
        <is>
          <t>KALMAR LÄN</t>
        </is>
      </c>
      <c r="G682" t="inlineStr">
        <is>
          <t>NYBRO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45075</v>
      </c>
      <c r="E683" s="1" t="n">
        <v>46263</v>
      </c>
      <c r="F683" t="inlineStr">
        <is>
          <t>KALMAR LÄN</t>
        </is>
      </c>
      <c r="G683" t="inlineStr">
        <is>
          <t>NYBRO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44900</v>
      </c>
      <c r="E684" s="1" t="n">
        <v>46263</v>
      </c>
      <c r="F684" t="inlineStr">
        <is>
          <t>KALMAR LÄN</t>
        </is>
      </c>
      <c r="G684" t="inlineStr">
        <is>
          <t>NYBRO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49895-2023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45213</v>
      </c>
      <c r="E685" s="1" t="n">
        <v>46263</v>
      </c>
      <c r="F685" t="inlineStr">
        <is>
          <t>KALMAR LÄN</t>
        </is>
      </c>
      <c r="G685" t="inlineStr">
        <is>
          <t>NYBRO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59053-2022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44904</v>
      </c>
      <c r="E686" s="1" t="n">
        <v>46263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60041-2022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44909</v>
      </c>
      <c r="E687" s="1" t="n">
        <v>46263</v>
      </c>
      <c r="F687" t="inlineStr">
        <is>
          <t>KALMAR LÄN</t>
        </is>
      </c>
      <c r="G687" t="inlineStr">
        <is>
          <t>NYBRO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45832</v>
      </c>
      <c r="E688" s="1" t="n">
        <v>46263</v>
      </c>
      <c r="F688" t="inlineStr">
        <is>
          <t>KALMAR LÄN</t>
        </is>
      </c>
      <c r="G688" t="inlineStr">
        <is>
          <t>NYBRO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45091</v>
      </c>
      <c r="E689" s="1" t="n">
        <v>46263</v>
      </c>
      <c r="F689" t="inlineStr">
        <is>
          <t>KALMAR LÄN</t>
        </is>
      </c>
      <c r="G689" t="inlineStr">
        <is>
          <t>NYBRO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59687-2021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44494</v>
      </c>
      <c r="E690" s="1" t="n">
        <v>46263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52137-2021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44463</v>
      </c>
      <c r="E691" s="1" t="n">
        <v>46263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46263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35406-2022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44798</v>
      </c>
      <c r="E693" s="1" t="n">
        <v>46263</v>
      </c>
      <c r="F693" t="inlineStr">
        <is>
          <t>KALMAR LÄN</t>
        </is>
      </c>
      <c r="G693" t="inlineStr">
        <is>
          <t>NYBRO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47435-2022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44853</v>
      </c>
      <c r="E694" s="1" t="n">
        <v>46263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45470</v>
      </c>
      <c r="E695" s="1" t="n">
        <v>46263</v>
      </c>
      <c r="F695" t="inlineStr">
        <is>
          <t>KALMAR LÄN</t>
        </is>
      </c>
      <c r="G695" t="inlineStr">
        <is>
          <t>NYBRO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15735-2023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45021</v>
      </c>
      <c r="E696" s="1" t="n">
        <v>46263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24183-2023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45079</v>
      </c>
      <c r="E697" s="1" t="n">
        <v>46263</v>
      </c>
      <c r="F697" t="inlineStr">
        <is>
          <t>KALMAR LÄN</t>
        </is>
      </c>
      <c r="G697" t="inlineStr">
        <is>
          <t>NYBRO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45668</v>
      </c>
      <c r="E698" s="1" t="n">
        <v>46263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22487-2022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44713</v>
      </c>
      <c r="E699" s="1" t="n">
        <v>46263</v>
      </c>
      <c r="F699" t="inlineStr">
        <is>
          <t>KALMAR LÄN</t>
        </is>
      </c>
      <c r="G699" t="inlineStr">
        <is>
          <t>NYBRO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61136-2022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46263</v>
      </c>
      <c r="F700" t="inlineStr">
        <is>
          <t>KALMAR LÄN</t>
        </is>
      </c>
      <c r="G700" t="inlineStr">
        <is>
          <t>NYBRO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8069-2023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44974</v>
      </c>
      <c r="E701" s="1" t="n">
        <v>46263</v>
      </c>
      <c r="F701" t="inlineStr">
        <is>
          <t>KALMAR LÄN</t>
        </is>
      </c>
      <c r="G701" t="inlineStr">
        <is>
          <t>NYBRO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45079</v>
      </c>
      <c r="E702" s="1" t="n">
        <v>46263</v>
      </c>
      <c r="F702" t="inlineStr">
        <is>
          <t>KALMAR LÄN</t>
        </is>
      </c>
      <c r="G702" t="inlineStr">
        <is>
          <t>NYBRO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46263</v>
      </c>
      <c r="F703" t="inlineStr">
        <is>
          <t>KALMAR LÄN</t>
        </is>
      </c>
      <c r="G703" t="inlineStr">
        <is>
          <t>NYBRO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34345-2024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45525</v>
      </c>
      <c r="E704" s="1" t="n">
        <v>46263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48312-2024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45590</v>
      </c>
      <c r="E705" s="1" t="n">
        <v>46263</v>
      </c>
      <c r="F705" t="inlineStr">
        <is>
          <t>KALMAR LÄN</t>
        </is>
      </c>
      <c r="G705" t="inlineStr">
        <is>
          <t>NYBRO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46078</v>
      </c>
      <c r="E706" s="1" t="n">
        <v>46263</v>
      </c>
      <c r="F706" t="inlineStr">
        <is>
          <t>KALMAR LÄN</t>
        </is>
      </c>
      <c r="G706" t="inlineStr">
        <is>
          <t>NYBRO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41635-2023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46263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7958-2023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46263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45078</v>
      </c>
      <c r="E709" s="1" t="n">
        <v>46263</v>
      </c>
      <c r="F709" t="inlineStr">
        <is>
          <t>KALMAR LÄN</t>
        </is>
      </c>
      <c r="G709" t="inlineStr">
        <is>
          <t>NYBRO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29950-2024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45488</v>
      </c>
      <c r="E710" s="1" t="n">
        <v>46263</v>
      </c>
      <c r="F710" t="inlineStr">
        <is>
          <t>KALMAR LÄN</t>
        </is>
      </c>
      <c r="G710" t="inlineStr">
        <is>
          <t>NYBRO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45050</v>
      </c>
      <c r="E711" s="1" t="n">
        <v>46263</v>
      </c>
      <c r="F711" t="inlineStr">
        <is>
          <t>KALMAR LÄN</t>
        </is>
      </c>
      <c r="G711" t="inlineStr">
        <is>
          <t>NYBRO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15584-2024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45401</v>
      </c>
      <c r="E712" s="1" t="n">
        <v>46263</v>
      </c>
      <c r="F712" t="inlineStr">
        <is>
          <t>KALMAR LÄN</t>
        </is>
      </c>
      <c r="G712" t="inlineStr">
        <is>
          <t>NYBRO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36100-2023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45149</v>
      </c>
      <c r="E713" s="1" t="n">
        <v>46263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46263</v>
      </c>
      <c r="F714" t="inlineStr">
        <is>
          <t>KALMAR LÄN</t>
        </is>
      </c>
      <c r="G714" t="inlineStr">
        <is>
          <t>NYBRO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46263</v>
      </c>
      <c r="F715" t="inlineStr">
        <is>
          <t>KALMAR LÄN</t>
        </is>
      </c>
      <c r="G715" t="inlineStr">
        <is>
          <t>NYBRO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45679</v>
      </c>
      <c r="E716" s="1" t="n">
        <v>46263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53681-2022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44880</v>
      </c>
      <c r="E717" s="1" t="n">
        <v>46263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45606</v>
      </c>
      <c r="E718" s="1" t="n">
        <v>46263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46263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46263</v>
      </c>
      <c r="F720" t="inlineStr">
        <is>
          <t>KALMAR LÄN</t>
        </is>
      </c>
      <c r="G720" t="inlineStr">
        <is>
          <t>NYBRO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26729-2023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45093</v>
      </c>
      <c r="E721" s="1" t="n">
        <v>46263</v>
      </c>
      <c r="F721" t="inlineStr">
        <is>
          <t>KALMAR LÄN</t>
        </is>
      </c>
      <c r="G721" t="inlineStr">
        <is>
          <t>NYBRO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45162</v>
      </c>
      <c r="E722" s="1" t="n">
        <v>46263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49912-2022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44865</v>
      </c>
      <c r="E723" s="1" t="n">
        <v>46263</v>
      </c>
      <c r="F723" t="inlineStr">
        <is>
          <t>KALMAR LÄN</t>
        </is>
      </c>
      <c r="G723" t="inlineStr">
        <is>
          <t>NYBRO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60033-2022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44909</v>
      </c>
      <c r="E724" s="1" t="n">
        <v>46263</v>
      </c>
      <c r="F724" t="inlineStr">
        <is>
          <t>KALMAR LÄN</t>
        </is>
      </c>
      <c r="G724" t="inlineStr">
        <is>
          <t>NYBRO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45085</v>
      </c>
      <c r="E725" s="1" t="n">
        <v>46263</v>
      </c>
      <c r="F725" t="inlineStr">
        <is>
          <t>KALMAR LÄN</t>
        </is>
      </c>
      <c r="G725" t="inlineStr">
        <is>
          <t>NYBRO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46263</v>
      </c>
      <c r="F726" t="inlineStr">
        <is>
          <t>KALMAR LÄN</t>
        </is>
      </c>
      <c r="G726" t="inlineStr">
        <is>
          <t>NYBRO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61807-2024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45649</v>
      </c>
      <c r="E727" s="1" t="n">
        <v>46263</v>
      </c>
      <c r="F727" t="inlineStr">
        <is>
          <t>KALMAR LÄN</t>
        </is>
      </c>
      <c r="G727" t="inlineStr">
        <is>
          <t>NYBRO</t>
        </is>
      </c>
      <c r="I727" t="n">
        <v>14.2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61835-2024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45649</v>
      </c>
      <c r="E728" s="1" t="n">
        <v>46263</v>
      </c>
      <c r="F728" t="inlineStr">
        <is>
          <t>KALMAR LÄN</t>
        </is>
      </c>
      <c r="G728" t="inlineStr">
        <is>
          <t>NYBRO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56069-2023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45240</v>
      </c>
      <c r="E729" s="1" t="n">
        <v>46263</v>
      </c>
      <c r="F729" t="inlineStr">
        <is>
          <t>KALMAR LÄN</t>
        </is>
      </c>
      <c r="G729" t="inlineStr">
        <is>
          <t>NYBRO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33035-2022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44785</v>
      </c>
      <c r="E730" s="1" t="n">
        <v>46263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14299-2023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45011</v>
      </c>
      <c r="E731" s="1" t="n">
        <v>46263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49096-2023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45210</v>
      </c>
      <c r="E732" s="1" t="n">
        <v>46263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32542-2023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45110</v>
      </c>
      <c r="E733" s="1" t="n">
        <v>46263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48467-2024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45591</v>
      </c>
      <c r="E734" s="1" t="n">
        <v>46263</v>
      </c>
      <c r="F734" t="inlineStr">
        <is>
          <t>KALMAR LÄN</t>
        </is>
      </c>
      <c r="G734" t="inlineStr">
        <is>
          <t>NYBRO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58551-2024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45635</v>
      </c>
      <c r="E735" s="1" t="n">
        <v>46263</v>
      </c>
      <c r="F735" t="inlineStr">
        <is>
          <t>KALMAR LÄN</t>
        </is>
      </c>
      <c r="G735" t="inlineStr">
        <is>
          <t>NYBRO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16338-2023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45028</v>
      </c>
      <c r="E736" s="1" t="n">
        <v>46263</v>
      </c>
      <c r="F736" t="inlineStr">
        <is>
          <t>KALMAR LÄN</t>
        </is>
      </c>
      <c r="G736" t="inlineStr">
        <is>
          <t>NYBRO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37967-2022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44811</v>
      </c>
      <c r="E737" s="1" t="n">
        <v>46263</v>
      </c>
      <c r="F737" t="inlineStr">
        <is>
          <t>KALMAR LÄN</t>
        </is>
      </c>
      <c r="G737" t="inlineStr">
        <is>
          <t>NYBRO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50978-2022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44867</v>
      </c>
      <c r="E738" s="1" t="n">
        <v>46263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46263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44594</v>
      </c>
      <c r="E740" s="1" t="n">
        <v>46263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5405-2024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45331</v>
      </c>
      <c r="E741" s="1" t="n">
        <v>46263</v>
      </c>
      <c r="F741" t="inlineStr">
        <is>
          <t>KALMAR LÄN</t>
        </is>
      </c>
      <c r="G741" t="inlineStr">
        <is>
          <t>NYBRO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20643-2026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46141</v>
      </c>
      <c r="E742" s="1" t="n">
        <v>46263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15828-2023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45022</v>
      </c>
      <c r="E743" s="1" t="n">
        <v>46263</v>
      </c>
      <c r="F743" t="inlineStr">
        <is>
          <t>KALMAR LÄN</t>
        </is>
      </c>
      <c r="G743" t="inlineStr">
        <is>
          <t>NYBRO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32048-2022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44778</v>
      </c>
      <c r="E744" s="1" t="n">
        <v>46263</v>
      </c>
      <c r="F744" t="inlineStr">
        <is>
          <t>KALMAR LÄN</t>
        </is>
      </c>
      <c r="G744" t="inlineStr">
        <is>
          <t>NYBRO</t>
        </is>
      </c>
      <c r="I744" t="n">
        <v>13.7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20386-2023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45056</v>
      </c>
      <c r="E745" s="1" t="n">
        <v>46263</v>
      </c>
      <c r="F745" t="inlineStr">
        <is>
          <t>KALMAR LÄN</t>
        </is>
      </c>
      <c r="G745" t="inlineStr">
        <is>
          <t>NYBRO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36098-2023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46263</v>
      </c>
      <c r="F746" t="inlineStr">
        <is>
          <t>KALMAR LÄN</t>
        </is>
      </c>
      <c r="G746" t="inlineStr">
        <is>
          <t>NYBRO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46263</v>
      </c>
      <c r="F747" t="inlineStr">
        <is>
          <t>KALMAR LÄN</t>
        </is>
      </c>
      <c r="G747" t="inlineStr">
        <is>
          <t>NYBRO</t>
        </is>
      </c>
      <c r="H747" t="inlineStr">
        <is>
          <t>Kyrkan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45205</v>
      </c>
      <c r="E748" s="1" t="n">
        <v>46263</v>
      </c>
      <c r="F748" t="inlineStr">
        <is>
          <t>KALMAR LÄN</t>
        </is>
      </c>
      <c r="G748" t="inlineStr">
        <is>
          <t>NYBRO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28479-2023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45103</v>
      </c>
      <c r="E749" s="1" t="n">
        <v>46263</v>
      </c>
      <c r="F749" t="inlineStr">
        <is>
          <t>KALMAR LÄN</t>
        </is>
      </c>
      <c r="G749" t="inlineStr">
        <is>
          <t>NYBRO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45392</v>
      </c>
      <c r="E750" s="1" t="n">
        <v>46263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46263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45240</v>
      </c>
      <c r="E752" s="1" t="n">
        <v>46263</v>
      </c>
      <c r="F752" t="inlineStr">
        <is>
          <t>KALMAR LÄN</t>
        </is>
      </c>
      <c r="G752" t="inlineStr">
        <is>
          <t>NYBRO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58933-2022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44903</v>
      </c>
      <c r="E753" s="1" t="n">
        <v>46263</v>
      </c>
      <c r="F753" t="inlineStr">
        <is>
          <t>KALMAR LÄN</t>
        </is>
      </c>
      <c r="G753" t="inlineStr">
        <is>
          <t>NYBRO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28272-2024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45477</v>
      </c>
      <c r="E754" s="1" t="n">
        <v>46263</v>
      </c>
      <c r="F754" t="inlineStr">
        <is>
          <t>KALMAR LÄN</t>
        </is>
      </c>
      <c r="G754" t="inlineStr">
        <is>
          <t>NYBRO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16354-2024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45407</v>
      </c>
      <c r="E755" s="1" t="n">
        <v>46263</v>
      </c>
      <c r="F755" t="inlineStr">
        <is>
          <t>KALMAR LÄN</t>
        </is>
      </c>
      <c r="G755" t="inlineStr">
        <is>
          <t>NYBRO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54341-2022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44882</v>
      </c>
      <c r="E756" s="1" t="n">
        <v>46263</v>
      </c>
      <c r="F756" t="inlineStr">
        <is>
          <t>KALMAR LÄN</t>
        </is>
      </c>
      <c r="G756" t="inlineStr">
        <is>
          <t>NYBRO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22059-2023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45069</v>
      </c>
      <c r="E757" s="1" t="n">
        <v>46263</v>
      </c>
      <c r="F757" t="inlineStr">
        <is>
          <t>KALMAR LÄN</t>
        </is>
      </c>
      <c r="G757" t="inlineStr">
        <is>
          <t>NYBRO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38844-2023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45163</v>
      </c>
      <c r="E758" s="1" t="n">
        <v>46263</v>
      </c>
      <c r="F758" t="inlineStr">
        <is>
          <t>KALMAR LÄN</t>
        </is>
      </c>
      <c r="G758" t="inlineStr">
        <is>
          <t>NYBRO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46263</v>
      </c>
      <c r="F759" t="inlineStr">
        <is>
          <t>KALMAR LÄN</t>
        </is>
      </c>
      <c r="G759" t="inlineStr">
        <is>
          <t>NYBRO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11645-2024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45373</v>
      </c>
      <c r="E760" s="1" t="n">
        <v>46263</v>
      </c>
      <c r="F760" t="inlineStr">
        <is>
          <t>KALMAR LÄN</t>
        </is>
      </c>
      <c r="G760" t="inlineStr">
        <is>
          <t>NYBRO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10739-2024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45369</v>
      </c>
      <c r="E761" s="1" t="n">
        <v>46263</v>
      </c>
      <c r="F761" t="inlineStr">
        <is>
          <t>KALMAR LÄN</t>
        </is>
      </c>
      <c r="G761" t="inlineStr">
        <is>
          <t>NYBRO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8697-2024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45356</v>
      </c>
      <c r="E762" s="1" t="n">
        <v>46263</v>
      </c>
      <c r="F762" t="inlineStr">
        <is>
          <t>KALMAR LÄN</t>
        </is>
      </c>
      <c r="G762" t="inlineStr">
        <is>
          <t>NYBRO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46263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45321</v>
      </c>
      <c r="E764" s="1" t="n">
        <v>46263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14600-2023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45013</v>
      </c>
      <c r="E765" s="1" t="n">
        <v>46263</v>
      </c>
      <c r="F765" t="inlineStr">
        <is>
          <t>KALMAR LÄN</t>
        </is>
      </c>
      <c r="G765" t="inlineStr">
        <is>
          <t>NYBRO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41674-2024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45560</v>
      </c>
      <c r="E766" s="1" t="n">
        <v>46263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22576-2026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46263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46263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27340-2023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45096</v>
      </c>
      <c r="E769" s="1" t="n">
        <v>46263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40193-2025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45894</v>
      </c>
      <c r="E770" s="1" t="n">
        <v>46263</v>
      </c>
      <c r="F770" t="inlineStr">
        <is>
          <t>KALMAR LÄN</t>
        </is>
      </c>
      <c r="G770" t="inlineStr">
        <is>
          <t>NYBRO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45679</v>
      </c>
      <c r="E771" s="1" t="n">
        <v>46263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22872-2026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46160</v>
      </c>
      <c r="E772" s="1" t="n">
        <v>46263</v>
      </c>
      <c r="F772" t="inlineStr">
        <is>
          <t>KALMAR LÄN</t>
        </is>
      </c>
      <c r="G772" t="inlineStr">
        <is>
          <t>NYBRO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46263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61796-2024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45649</v>
      </c>
      <c r="E774" s="1" t="n">
        <v>46263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61816-2024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45649</v>
      </c>
      <c r="E775" s="1" t="n">
        <v>46263</v>
      </c>
      <c r="F775" t="inlineStr">
        <is>
          <t>KALMAR LÄN</t>
        </is>
      </c>
      <c r="G775" t="inlineStr">
        <is>
          <t>NYBRO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61839-2024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45649</v>
      </c>
      <c r="E776" s="1" t="n">
        <v>46263</v>
      </c>
      <c r="F776" t="inlineStr">
        <is>
          <t>KALMAR LÄN</t>
        </is>
      </c>
      <c r="G776" t="inlineStr">
        <is>
          <t>NYBRO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50783-2023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45217</v>
      </c>
      <c r="E777" s="1" t="n">
        <v>46263</v>
      </c>
      <c r="F777" t="inlineStr">
        <is>
          <t>KALMAR LÄN</t>
        </is>
      </c>
      <c r="G777" t="inlineStr">
        <is>
          <t>NYBRO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46263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12407-2023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44999</v>
      </c>
      <c r="E779" s="1" t="n">
        <v>46263</v>
      </c>
      <c r="F779" t="inlineStr">
        <is>
          <t>KALMAR LÄN</t>
        </is>
      </c>
      <c r="G779" t="inlineStr">
        <is>
          <t>NYBRO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45666</v>
      </c>
      <c r="E780" s="1" t="n">
        <v>46263</v>
      </c>
      <c r="F780" t="inlineStr">
        <is>
          <t>KALMAR LÄN</t>
        </is>
      </c>
      <c r="G780" t="inlineStr">
        <is>
          <t>NYBRO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42711-2023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46263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22435-2023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45070</v>
      </c>
      <c r="E782" s="1" t="n">
        <v>46263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7424-2022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44606</v>
      </c>
      <c r="E783" s="1" t="n">
        <v>46263</v>
      </c>
      <c r="F783" t="inlineStr">
        <is>
          <t>KALMAR LÄN</t>
        </is>
      </c>
      <c r="G783" t="inlineStr">
        <is>
          <t>NYBRO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46263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45449</v>
      </c>
      <c r="E785" s="1" t="n">
        <v>46263</v>
      </c>
      <c r="F785" t="inlineStr">
        <is>
          <t>KALMAR LÄN</t>
        </is>
      </c>
      <c r="G785" t="inlineStr">
        <is>
          <t>NYBRO</t>
        </is>
      </c>
      <c r="I785" t="n">
        <v>8.4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38170-2024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45545</v>
      </c>
      <c r="E786" s="1" t="n">
        <v>46263</v>
      </c>
      <c r="F786" t="inlineStr">
        <is>
          <t>KALMAR LÄN</t>
        </is>
      </c>
      <c r="G786" t="inlineStr">
        <is>
          <t>NYBRO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27966-2024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45476</v>
      </c>
      <c r="E787" s="1" t="n">
        <v>46263</v>
      </c>
      <c r="F787" t="inlineStr">
        <is>
          <t>KALMAR LÄN</t>
        </is>
      </c>
      <c r="G787" t="inlineStr">
        <is>
          <t>NYBRO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46057</v>
      </c>
      <c r="E788" s="1" t="n">
        <v>46263</v>
      </c>
      <c r="F788" t="inlineStr">
        <is>
          <t>KALMAR LÄN</t>
        </is>
      </c>
      <c r="G788" t="inlineStr">
        <is>
          <t>NYBRO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46263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1535-2025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45670</v>
      </c>
      <c r="E790" s="1" t="n">
        <v>46263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46175</v>
      </c>
      <c r="E791" s="1" t="n">
        <v>46263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46175</v>
      </c>
      <c r="E792" s="1" t="n">
        <v>46263</v>
      </c>
      <c r="F792" t="inlineStr">
        <is>
          <t>KALMAR LÄN</t>
        </is>
      </c>
      <c r="G792" t="inlineStr">
        <is>
          <t>NYBRO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24614-2026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46169</v>
      </c>
      <c r="E793" s="1" t="n">
        <v>46263</v>
      </c>
      <c r="F793" t="inlineStr">
        <is>
          <t>KALMAR LÄN</t>
        </is>
      </c>
      <c r="G793" t="inlineStr">
        <is>
          <t>NYBRO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25510-2026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46263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46263</v>
      </c>
      <c r="F795" t="inlineStr">
        <is>
          <t>KALMAR LÄN</t>
        </is>
      </c>
      <c r="G795" t="inlineStr">
        <is>
          <t>NYBRO</t>
        </is>
      </c>
      <c r="H795" t="inlineStr">
        <is>
          <t>Kyrkan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25717-2026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46178</v>
      </c>
      <c r="E796" s="1" t="n">
        <v>46263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25714-2026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46178</v>
      </c>
      <c r="E797" s="1" t="n">
        <v>46263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27138-2026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46263</v>
      </c>
      <c r="F798" t="inlineStr">
        <is>
          <t>KALMAR LÄN</t>
        </is>
      </c>
      <c r="G798" t="inlineStr">
        <is>
          <t>NYBRO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46184</v>
      </c>
      <c r="E799" s="1" t="n">
        <v>46263</v>
      </c>
      <c r="F799" t="inlineStr">
        <is>
          <t>KALMAR LÄN</t>
        </is>
      </c>
      <c r="G799" t="inlineStr">
        <is>
          <t>NYBRO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46263</v>
      </c>
      <c r="F800" t="inlineStr">
        <is>
          <t>KALMAR LÄN</t>
        </is>
      </c>
      <c r="G800" t="inlineStr">
        <is>
          <t>NYBRO</t>
        </is>
      </c>
      <c r="H800" t="inlineStr">
        <is>
          <t>Kommuner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27683-2026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46190</v>
      </c>
      <c r="E801" s="1" t="n">
        <v>46263</v>
      </c>
      <c r="F801" t="inlineStr">
        <is>
          <t>KALMAR LÄN</t>
        </is>
      </c>
      <c r="G801" t="inlineStr">
        <is>
          <t>NYBRO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27673-2026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46190</v>
      </c>
      <c r="E802" s="1" t="n">
        <v>46263</v>
      </c>
      <c r="F802" t="inlineStr">
        <is>
          <t>KALMAR LÄN</t>
        </is>
      </c>
      <c r="G802" t="inlineStr">
        <is>
          <t>NYBRO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32397-2026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46238</v>
      </c>
      <c r="E803" s="1" t="n">
        <v>46263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46238</v>
      </c>
      <c r="E804" s="1" t="n">
        <v>46263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10.3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46263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28438-2026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46263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46263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32788-2026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46241</v>
      </c>
      <c r="E808" s="1" t="n">
        <v>46263</v>
      </c>
      <c r="F808" t="inlineStr">
        <is>
          <t>KALMAR LÄN</t>
        </is>
      </c>
      <c r="G808" t="inlineStr">
        <is>
          <t>NYBRO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28927-2026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46263</v>
      </c>
      <c r="F809" t="inlineStr">
        <is>
          <t>KALMAR LÄN</t>
        </is>
      </c>
      <c r="G809" t="inlineStr">
        <is>
          <t>NYBRO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28791-2026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46263</v>
      </c>
      <c r="F810" t="inlineStr">
        <is>
          <t>KALMAR LÄN</t>
        </is>
      </c>
      <c r="G810" t="inlineStr">
        <is>
          <t>NYBRO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46246</v>
      </c>
      <c r="E811" s="1" t="n">
        <v>46263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46246</v>
      </c>
      <c r="E812" s="1" t="n">
        <v>46263</v>
      </c>
      <c r="F812" t="inlineStr">
        <is>
          <t>KALMAR LÄN</t>
        </is>
      </c>
      <c r="G812" t="inlineStr">
        <is>
          <t>NYBRO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46263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29922-2026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46263</v>
      </c>
      <c r="F814" t="inlineStr">
        <is>
          <t>KALMAR LÄN</t>
        </is>
      </c>
      <c r="G814" t="inlineStr">
        <is>
          <t>NYBRO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46263</v>
      </c>
      <c r="F815" t="inlineStr">
        <is>
          <t>KALMAR LÄN</t>
        </is>
      </c>
      <c r="G815" t="inlineStr">
        <is>
          <t>NYBRO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46250</v>
      </c>
      <c r="E816" s="1" t="n">
        <v>46263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33924-2026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46252</v>
      </c>
      <c r="E817" s="1" t="n">
        <v>46263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34363-2026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46254</v>
      </c>
      <c r="E818" s="1" t="n">
        <v>46263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12.3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34260-2026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46263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34261-2026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46253</v>
      </c>
      <c r="E820" s="1" t="n">
        <v>46263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34617-2026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46255</v>
      </c>
      <c r="E821" s="1" t="n">
        <v>46263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46263</v>
      </c>
      <c r="F822" t="inlineStr">
        <is>
          <t>KALMAR LÄN</t>
        </is>
      </c>
      <c r="G822" t="inlineStr">
        <is>
          <t>NYBRO</t>
        </is>
      </c>
      <c r="H822" t="inlineStr">
        <is>
          <t>Kyrkan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46263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46263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46263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46263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46263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46263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46263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46263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46263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46263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46263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46263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46263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46263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46263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46263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46263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46263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46263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46263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46263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46263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46263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46263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46263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46263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46263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46263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46263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46263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46263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46263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46263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46263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46263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46263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46263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2026-08-29T01:55:14Z</dcterms:created>
  <dcterms:modified xmlns:dcterms="http://purl.org/dc/terms/" xmlns:xsi="http://www.w3.org/2001/XMLSchema-instance" xsi:type="dcterms:W3CDTF">2026-08-29T01:55:15Z</dcterms:modified>
</cp:coreProperties>
</file>