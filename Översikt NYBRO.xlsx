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46286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46286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46286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46286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46286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46286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46286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46286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46286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46286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46286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46286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46286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46286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46286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46286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46286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46286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46286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46286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46286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46286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46286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46286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46286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46286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46286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46286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46286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46286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46286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39038-2025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45888</v>
      </c>
      <c r="E53" s="1" t="n">
        <v>46286</v>
      </c>
      <c r="F53" t="inlineStr">
        <is>
          <t>KALMAR LÄN</t>
        </is>
      </c>
      <c r="G53" t="inlineStr">
        <is>
          <t>NYBRO</t>
        </is>
      </c>
      <c r="I53" t="n">
        <v>1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Revlummer</t>
        </is>
      </c>
      <c r="W53">
        <f>HYPERLINK("https://klasma.github.io/Logging_0881/artfynd/A 39038-2025 artfynd.xlsx", "A 39038-2025")</f>
        <v/>
      </c>
      <c r="X53">
        <f>HYPERLINK("https://klasma.github.io/Logging_0881/kartor/A 39038-2025 karta.png", "A 39038-2025")</f>
        <v/>
      </c>
      <c r="Y53">
        <f>HYPERLINK("https://klasma.github.io/Logging_0881/kartor_geotiff/A 39038-2025 georefererad karta.tif", "A 39038-2025")</f>
        <v/>
      </c>
      <c r="AA53">
        <f>HYPERLINK("https://klasma.github.io/Logging_0881/klagomål/A 39038-2025 FSC-klagomål.docx", "A 39038-2025")</f>
        <v/>
      </c>
      <c r="AB53">
        <f>HYPERLINK("https://klasma.github.io/Logging_0881/klagomålsmail/A 39038-2025 FSC-klagomål mail.docx", "A 39038-2025")</f>
        <v/>
      </c>
      <c r="AC53">
        <f>HYPERLINK("https://klasma.github.io/Logging_0881/tillsyn/A 39038-2025 tillsynsbegäran.docx", "A 39038-2025")</f>
        <v/>
      </c>
      <c r="AD53">
        <f>HYPERLINK("https://klasma.github.io/Logging_0881/tillsynsmail/A 39038-2025 tillsynsbegäran mail.docx", "A 39038-2025")</f>
        <v/>
      </c>
      <c r="AE53">
        <f>HYPERLINK("https://klasma.github.io/Logging_0881/fåglar/A 39038-2025 prioriterade fågelarter.docx", "A 39038-2025")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46286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46286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46286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46286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46286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46286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46286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46286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46286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46286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46286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46286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46286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46286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46286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46286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46286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46286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46286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6676-2023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44966</v>
      </c>
      <c r="E77" s="1" t="n">
        <v>46286</v>
      </c>
      <c r="F77" t="inlineStr">
        <is>
          <t>KALMAR LÄN</t>
        </is>
      </c>
      <c r="G77" t="inlineStr">
        <is>
          <t>NYBRO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Etternässla</t>
        </is>
      </c>
      <c r="W77">
        <f>HYPERLINK("https://klasma.github.io/Logging_0881/artfynd/A 6676-2023 artfynd.xlsx", "A 6676-2023")</f>
        <v/>
      </c>
      <c r="X77">
        <f>HYPERLINK("https://klasma.github.io/Logging_0881/kartor/A 6676-2023 karta.png", "A 6676-2023")</f>
        <v/>
      </c>
      <c r="Y77">
        <f>HYPERLINK("https://klasma.github.io/Logging_0881/kartor_geotiff/A 6676-2023 georefererad karta.tif", "A 6676-2023")</f>
        <v/>
      </c>
      <c r="AA77">
        <f>HYPERLINK("https://klasma.github.io/Logging_0881/klagomål/A 6676-2023 FSC-klagomål.docx", "A 6676-2023")</f>
        <v/>
      </c>
      <c r="AB77">
        <f>HYPERLINK("https://klasma.github.io/Logging_0881/klagomålsmail/A 6676-2023 FSC-klagomål mail.docx", "A 6676-2023")</f>
        <v/>
      </c>
      <c r="AC77">
        <f>HYPERLINK("https://klasma.github.io/Logging_0881/tillsyn/A 6676-2023 tillsynsbegäran.docx", "A 6676-2023")</f>
        <v/>
      </c>
      <c r="AD77">
        <f>HYPERLINK("https://klasma.github.io/Logging_0881/tillsynsmail/A 6676-2023 tillsynsbegäran mail.docx", "A 6676-2023")</f>
        <v/>
      </c>
    </row>
    <row r="78" ht="15" customHeight="1">
      <c r="A78" t="inlineStr">
        <is>
          <t>A 30510-2023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46286</v>
      </c>
      <c r="F78" t="inlineStr">
        <is>
          <t>KALMAR LÄN</t>
        </is>
      </c>
      <c r="G78" t="inlineStr">
        <is>
          <t>NYBRO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HYPERLINK("https://klasma.github.io/Logging_0881/artfynd/A 30510-2023 artfynd.xlsx", "A 30510-2023")</f>
        <v/>
      </c>
      <c r="X78">
        <f>HYPERLINK("https://klasma.github.io/Logging_0881/kartor/A 30510-2023 karta.png", "A 30510-2023")</f>
        <v/>
      </c>
      <c r="Y78">
        <f>HYPERLINK("https://klasma.github.io/Logging_0881/kartor_geotiff/A 30510-2023 georefererad karta.tif", "A 30510-2023")</f>
        <v/>
      </c>
      <c r="AA78">
        <f>HYPERLINK("https://klasma.github.io/Logging_0881/klagomål/A 30510-2023 FSC-klagomål.docx", "A 30510-2023")</f>
        <v/>
      </c>
      <c r="AB78">
        <f>HYPERLINK("https://klasma.github.io/Logging_0881/klagomålsmail/A 30510-2023 FSC-klagomål mail.docx", "A 30510-2023")</f>
        <v/>
      </c>
      <c r="AC78">
        <f>HYPERLINK("https://klasma.github.io/Logging_0881/tillsyn/A 30510-2023 tillsynsbegäran.docx", "A 30510-2023")</f>
        <v/>
      </c>
      <c r="AD78">
        <f>HYPERLINK("https://klasma.github.io/Logging_0881/tillsynsmail/A 30510-2023 tillsynsbegäran mail.docx", "A 30510-2023")</f>
        <v/>
      </c>
      <c r="AE78">
        <f>HYPERLINK("https://klasma.github.io/Logging_0881/fåglar/A 30510-2023 prioriterade fågelarter.docx", "A 30510-2023")</f>
        <v/>
      </c>
    </row>
    <row r="79" ht="15" customHeight="1">
      <c r="A79" t="inlineStr">
        <is>
          <t>A 61790-2022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46286</v>
      </c>
      <c r="F79" t="inlineStr">
        <is>
          <t>KALMAR LÄN</t>
        </is>
      </c>
      <c r="G79" t="inlineStr">
        <is>
          <t>NYBRO</t>
        </is>
      </c>
      <c r="H79" t="inlineStr">
        <is>
          <t>Kommuner</t>
        </is>
      </c>
      <c r="I79" t="n">
        <v>3.7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Grönpyrola</t>
        </is>
      </c>
      <c r="W79">
        <f>HYPERLINK("https://klasma.github.io/Logging_0881/artfynd/A 61790-2022 artfynd.xlsx", "A 61790-2022")</f>
        <v/>
      </c>
      <c r="X79">
        <f>HYPERLINK("https://klasma.github.io/Logging_0881/kartor/A 61790-2022 karta.png", "A 61790-2022")</f>
        <v/>
      </c>
      <c r="Y79">
        <f>HYPERLINK("https://klasma.github.io/Logging_0881/kartor_geotiff/A 61790-2022 georefererad karta.tif", "A 61790-2022")</f>
        <v/>
      </c>
      <c r="AA79">
        <f>HYPERLINK("https://klasma.github.io/Logging_0881/klagomål/A 61790-2022 FSC-klagomål.docx", "A 61790-2022")</f>
        <v/>
      </c>
      <c r="AB79">
        <f>HYPERLINK("https://klasma.github.io/Logging_0881/klagomålsmail/A 61790-2022 FSC-klagomål mail.docx", "A 61790-2022")</f>
        <v/>
      </c>
      <c r="AC79">
        <f>HYPERLINK("https://klasma.github.io/Logging_0881/tillsyn/A 61790-2022 tillsynsbegäran.docx", "A 61790-2022")</f>
        <v/>
      </c>
      <c r="AD79">
        <f>HYPERLINK("https://klasma.github.io/Logging_0881/tillsynsmail/A 61790-2022 tillsynsbegäran mail.docx", "A 61790-2022")</f>
        <v/>
      </c>
    </row>
    <row r="80" ht="15" customHeight="1">
      <c r="A80" t="inlineStr">
        <is>
          <t>A 3726-2023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46286</v>
      </c>
      <c r="F80" t="inlineStr">
        <is>
          <t>KALMAR LÄN</t>
        </is>
      </c>
      <c r="G80" t="inlineStr">
        <is>
          <t>NYBRO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HYPERLINK("https://klasma.github.io/Logging_0881/artfynd/A 3726-2023 artfynd.xlsx", "A 3726-2023")</f>
        <v/>
      </c>
      <c r="X80">
        <f>HYPERLINK("https://klasma.github.io/Logging_0881/kartor/A 3726-2023 karta.png", "A 3726-2023")</f>
        <v/>
      </c>
      <c r="Y80">
        <f>HYPERLINK("https://klasma.github.io/Logging_0881/kartor_geotiff/A 3726-2023 georefererad karta.tif", "A 3726-2023")</f>
        <v/>
      </c>
      <c r="AA80">
        <f>HYPERLINK("https://klasma.github.io/Logging_0881/klagomål/A 3726-2023 FSC-klagomål.docx", "A 3726-2023")</f>
        <v/>
      </c>
      <c r="AB80">
        <f>HYPERLINK("https://klasma.github.io/Logging_0881/klagomålsmail/A 3726-2023 FSC-klagomål mail.docx", "A 3726-2023")</f>
        <v/>
      </c>
      <c r="AC80">
        <f>HYPERLINK("https://klasma.github.io/Logging_0881/tillsyn/A 3726-2023 tillsynsbegäran.docx", "A 3726-2023")</f>
        <v/>
      </c>
      <c r="AD80">
        <f>HYPERLINK("https://klasma.github.io/Logging_0881/tillsynsmail/A 3726-2023 tillsynsbegäran mail.docx", "A 3726-2023")</f>
        <v/>
      </c>
    </row>
    <row r="81" ht="15" customHeight="1">
      <c r="A81" t="inlineStr">
        <is>
          <t>A 64315-2023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45279</v>
      </c>
      <c r="E81" s="1" t="n">
        <v>46286</v>
      </c>
      <c r="F81" t="inlineStr">
        <is>
          <t>KALMAR LÄN</t>
        </is>
      </c>
      <c r="G81" t="inlineStr">
        <is>
          <t>NYBRO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HYPERLINK("https://klasma.github.io/Logging_0881/artfynd/A 64315-2023 artfynd.xlsx", "A 64315-2023")</f>
        <v/>
      </c>
      <c r="X81">
        <f>HYPERLINK("https://klasma.github.io/Logging_0881/kartor/A 64315-2023 karta.png", "A 64315-2023")</f>
        <v/>
      </c>
      <c r="Y81">
        <f>HYPERLINK("https://klasma.github.io/Logging_0881/kartor_geotiff/A 64315-2023 georefererad karta.tif", "A 64315-2023")</f>
        <v/>
      </c>
      <c r="AA81">
        <f>HYPERLINK("https://klasma.github.io/Logging_0881/klagomål/A 64315-2023 FSC-klagomål.docx", "A 64315-2023")</f>
        <v/>
      </c>
      <c r="AB81">
        <f>HYPERLINK("https://klasma.github.io/Logging_0881/klagomålsmail/A 64315-2023 FSC-klagomål mail.docx", "A 64315-2023")</f>
        <v/>
      </c>
      <c r="AC81">
        <f>HYPERLINK("https://klasma.github.io/Logging_0881/tillsyn/A 64315-2023 tillsynsbegäran.docx", "A 64315-2023")</f>
        <v/>
      </c>
      <c r="AD81">
        <f>HYPERLINK("https://klasma.github.io/Logging_0881/tillsynsmail/A 64315-2023 tillsynsbegäran mail.docx", "A 64315-2023")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46286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46286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20647-2026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46286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Ljungögontröst</t>
        </is>
      </c>
      <c r="W84">
        <f>HYPERLINK("https://klasma.github.io/Logging_0881/artfynd/A 20647-2026 artfynd.xlsx", "A 20647-2026")</f>
        <v/>
      </c>
      <c r="X84">
        <f>HYPERLINK("https://klasma.github.io/Logging_0881/kartor/A 20647-2026 karta.png", "A 20647-2026")</f>
        <v/>
      </c>
      <c r="Y84">
        <f>HYPERLINK("https://klasma.github.io/Logging_0881/kartor_geotiff/A 20647-2026 georefererad karta.tif", "A 20647-2026")</f>
        <v/>
      </c>
      <c r="AA84">
        <f>HYPERLINK("https://klasma.github.io/Logging_0881/klagomål/A 20647-2026 FSC-klagomål.docx", "A 20647-2026")</f>
        <v/>
      </c>
      <c r="AB84">
        <f>HYPERLINK("https://klasma.github.io/Logging_0881/klagomålsmail/A 20647-2026 FSC-klagomål mail.docx", "A 20647-2026")</f>
        <v/>
      </c>
      <c r="AC84">
        <f>HYPERLINK("https://klasma.github.io/Logging_0881/tillsyn/A 20647-2026 tillsynsbegäran.docx", "A 20647-2026")</f>
        <v/>
      </c>
      <c r="AD84">
        <f>HYPERLINK("https://klasma.github.io/Logging_0881/tillsynsmail/A 20647-2026 tillsynsbegäran mail.docx", "A 20647-2026")</f>
        <v/>
      </c>
    </row>
    <row r="85" ht="15" customHeight="1">
      <c r="A85" t="inlineStr">
        <is>
          <t>A 16715-2025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46286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Större brunfladdermus</t>
        </is>
      </c>
      <c r="W85">
        <f>HYPERLINK("https://klasma.github.io/Logging_0881/artfynd/A 16715-2025 artfynd.xlsx", "A 16715-2025")</f>
        <v/>
      </c>
      <c r="X85">
        <f>HYPERLINK("https://klasma.github.io/Logging_0881/kartor/A 16715-2025 karta.png", "A 16715-2025")</f>
        <v/>
      </c>
      <c r="Y85">
        <f>HYPERLINK("https://klasma.github.io/Logging_0881/kartor_geotiff/A 16715-2025 georefererad karta.tif", "A 16715-2025")</f>
        <v/>
      </c>
      <c r="AA85">
        <f>HYPERLINK("https://klasma.github.io/Logging_0881/klagomål/A 16715-2025 FSC-klagomål.docx", "A 16715-2025")</f>
        <v/>
      </c>
      <c r="AB85">
        <f>HYPERLINK("https://klasma.github.io/Logging_0881/klagomålsmail/A 16715-2025 FSC-klagomål mail.docx", "A 16715-2025")</f>
        <v/>
      </c>
      <c r="AC85">
        <f>HYPERLINK("https://klasma.github.io/Logging_0881/tillsyn/A 16715-2025 tillsynsbegäran.docx", "A 16715-2025")</f>
        <v/>
      </c>
      <c r="AD85">
        <f>HYPERLINK("https://klasma.github.io/Logging_0881/tillsynsmail/A 16715-2025 tillsynsbegäran mail.docx", "A 16715-2025")</f>
        <v/>
      </c>
    </row>
    <row r="86" ht="15" customHeight="1">
      <c r="A86" t="inlineStr">
        <is>
          <t>A 61809-2024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45649</v>
      </c>
      <c r="E86" s="1" t="n">
        <v>46286</v>
      </c>
      <c r="F86" t="inlineStr">
        <is>
          <t>KALMAR LÄN</t>
        </is>
      </c>
      <c r="G86" t="inlineStr">
        <is>
          <t>NYBRO</t>
        </is>
      </c>
      <c r="I86" t="n">
        <v>15.8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61809-2024 artfynd.xlsx", "A 61809-2024")</f>
        <v/>
      </c>
      <c r="X86">
        <f>HYPERLINK("https://klasma.github.io/Logging_0881/kartor/A 61809-2024 karta.png", "A 61809-2024")</f>
        <v/>
      </c>
      <c r="Y86">
        <f>HYPERLINK("https://klasma.github.io/Logging_0881/kartor_geotiff/A 61809-2024 georefererad karta.tif", "A 61809-2024")</f>
        <v/>
      </c>
      <c r="AA86">
        <f>HYPERLINK("https://klasma.github.io/Logging_0881/klagomål/A 61809-2024 FSC-klagomål.docx", "A 61809-2024")</f>
        <v/>
      </c>
      <c r="AB86">
        <f>HYPERLINK("https://klasma.github.io/Logging_0881/klagomålsmail/A 61809-2024 FSC-klagomål mail.docx", "A 61809-2024")</f>
        <v/>
      </c>
      <c r="AC86">
        <f>HYPERLINK("https://klasma.github.io/Logging_0881/tillsyn/A 61809-2024 tillsynsbegäran.docx", "A 61809-2024")</f>
        <v/>
      </c>
      <c r="AD86">
        <f>HYPERLINK("https://klasma.github.io/Logging_0881/tillsynsmail/A 61809-2024 tillsynsbegäran mail.docx", "A 61809-2024")</f>
        <v/>
      </c>
      <c r="AE86">
        <f>HYPERLINK("https://klasma.github.io/Logging_0881/fåglar/A 61809-2024 prioriterade fågelarter.docx", "A 61809-2024")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46286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46286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Tårkragskivling</t>
        </is>
      </c>
      <c r="W88">
        <f>HYPERLINK("https://klasma.github.io/Logging_0881/artfynd/A 17741-2025 artfynd.xlsx", "A 17741-2025")</f>
        <v/>
      </c>
      <c r="X88">
        <f>HYPERLINK("https://klasma.github.io/Logging_0881/kartor/A 17741-2025 karta.png", "A 17741-2025")</f>
        <v/>
      </c>
      <c r="Y88">
        <f>HYPERLINK("https://klasma.github.io/Logging_0881/kartor_geotiff/A 17741-2025 georefererad karta.tif", "A 17741-2025")</f>
        <v/>
      </c>
      <c r="AA88">
        <f>HYPERLINK("https://klasma.github.io/Logging_0881/klagomål/A 17741-2025 FSC-klagomål.docx", "A 17741-2025")</f>
        <v/>
      </c>
      <c r="AB88">
        <f>HYPERLINK("https://klasma.github.io/Logging_0881/klagomålsmail/A 17741-2025 FSC-klagomål mail.docx", "A 17741-2025")</f>
        <v/>
      </c>
      <c r="AC88">
        <f>HYPERLINK("https://klasma.github.io/Logging_0881/tillsyn/A 17741-2025 tillsynsbegäran.docx", "A 17741-2025")</f>
        <v/>
      </c>
      <c r="AD88">
        <f>HYPERLINK("https://klasma.github.io/Logging_0881/tillsynsmail/A 17741-2025 tillsynsbegäran mail.docx", "A 17741-2025")</f>
        <v/>
      </c>
    </row>
    <row r="89" ht="15" customHeight="1">
      <c r="A89" t="inlineStr">
        <is>
          <t>A 22097-2026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46286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2.1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Talltita</t>
        </is>
      </c>
      <c r="W89">
        <f>HYPERLINK("https://klasma.github.io/Logging_0881/artfynd/A 22097-2026 artfynd.xlsx", "A 22097-2026")</f>
        <v/>
      </c>
      <c r="X89">
        <f>HYPERLINK("https://klasma.github.io/Logging_0881/kartor/A 22097-2026 karta.png", "A 22097-2026")</f>
        <v/>
      </c>
      <c r="Y89">
        <f>HYPERLINK("https://klasma.github.io/Logging_0881/kartor_geotiff/A 22097-2026 georefererad karta.tif", "A 22097-2026")</f>
        <v/>
      </c>
      <c r="AA89">
        <f>HYPERLINK("https://klasma.github.io/Logging_0881/klagomål/A 22097-2026 FSC-klagomål.docx", "A 22097-2026")</f>
        <v/>
      </c>
      <c r="AB89">
        <f>HYPERLINK("https://klasma.github.io/Logging_0881/klagomålsmail/A 22097-2026 FSC-klagomål mail.docx", "A 22097-2026")</f>
        <v/>
      </c>
      <c r="AC89">
        <f>HYPERLINK("https://klasma.github.io/Logging_0881/tillsyn/A 22097-2026 tillsynsbegäran.docx", "A 22097-2026")</f>
        <v/>
      </c>
      <c r="AD89">
        <f>HYPERLINK("https://klasma.github.io/Logging_0881/tillsynsmail/A 22097-2026 tillsynsbegäran mail.docx", "A 22097-2026")</f>
        <v/>
      </c>
      <c r="AE89">
        <f>HYPERLINK("https://klasma.github.io/Logging_0881/fåglar/A 22097-2026 prioriterade fågelarter.docx", "A 22097-2026")</f>
        <v/>
      </c>
    </row>
    <row r="90" ht="15" customHeight="1">
      <c r="A90" t="inlineStr">
        <is>
          <t>A 22089-2026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46286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0.7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Talltita</t>
        </is>
      </c>
      <c r="W90">
        <f>HYPERLINK("https://klasma.github.io/Logging_0881/artfynd/A 22089-2026 artfynd.xlsx", "A 22089-2026")</f>
        <v/>
      </c>
      <c r="X90">
        <f>HYPERLINK("https://klasma.github.io/Logging_0881/kartor/A 22089-2026 karta.png", "A 22089-2026")</f>
        <v/>
      </c>
      <c r="Y90">
        <f>HYPERLINK("https://klasma.github.io/Logging_0881/kartor_geotiff/A 22089-2026 georefererad karta.tif", "A 22089-2026")</f>
        <v/>
      </c>
      <c r="AA90">
        <f>HYPERLINK("https://klasma.github.io/Logging_0881/klagomål/A 22089-2026 FSC-klagomål.docx", "A 22089-2026")</f>
        <v/>
      </c>
      <c r="AB90">
        <f>HYPERLINK("https://klasma.github.io/Logging_0881/klagomålsmail/A 22089-2026 FSC-klagomål mail.docx", "A 22089-2026")</f>
        <v/>
      </c>
      <c r="AC90">
        <f>HYPERLINK("https://klasma.github.io/Logging_0881/tillsyn/A 22089-2026 tillsynsbegäran.docx", "A 22089-2026")</f>
        <v/>
      </c>
      <c r="AD90">
        <f>HYPERLINK("https://klasma.github.io/Logging_0881/tillsynsmail/A 22089-2026 tillsynsbegäran mail.docx", "A 22089-2026")</f>
        <v/>
      </c>
      <c r="AE90">
        <f>HYPERLINK("https://klasma.github.io/Logging_0881/fåglar/A 22089-2026 prioriterade fågelarter.docx", "A 22089-2026")</f>
        <v/>
      </c>
    </row>
    <row r="91" ht="15" customHeight="1">
      <c r="A91" t="inlineStr">
        <is>
          <t>A 22127-2026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46286</v>
      </c>
      <c r="F91" t="inlineStr">
        <is>
          <t>KALMAR LÄN</t>
        </is>
      </c>
      <c r="G91" t="inlineStr">
        <is>
          <t>NYBRO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HYPERLINK("https://klasma.github.io/Logging_0881/artfynd/A 22127-2026 artfynd.xlsx", "A 22127-2026")</f>
        <v/>
      </c>
      <c r="X91">
        <f>HYPERLINK("https://klasma.github.io/Logging_0881/kartor/A 22127-2026 karta.png", "A 22127-2026")</f>
        <v/>
      </c>
      <c r="Y91">
        <f>HYPERLINK("https://klasma.github.io/Logging_0881/kartor_geotiff/A 22127-2026 georefererad karta.tif", "A 22127-2026")</f>
        <v/>
      </c>
      <c r="AA91">
        <f>HYPERLINK("https://klasma.github.io/Logging_0881/klagomål/A 22127-2026 FSC-klagomål.docx", "A 22127-2026")</f>
        <v/>
      </c>
      <c r="AB91">
        <f>HYPERLINK("https://klasma.github.io/Logging_0881/klagomålsmail/A 22127-2026 FSC-klagomål mail.docx", "A 22127-2026")</f>
        <v/>
      </c>
      <c r="AC91">
        <f>HYPERLINK("https://klasma.github.io/Logging_0881/tillsyn/A 22127-2026 tillsynsbegäran.docx", "A 22127-2026")</f>
        <v/>
      </c>
      <c r="AD91">
        <f>HYPERLINK("https://klasma.github.io/Logging_0881/tillsynsmail/A 22127-2026 tillsynsbegäran mail.docx", "A 22127-2026")</f>
        <v/>
      </c>
      <c r="AE91">
        <f>HYPERLINK("https://klasma.github.io/Logging_0881/fåglar/A 22127-2026 prioriterade fågelarter.docx", "A 22127-2026")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46286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22171-2023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45069</v>
      </c>
      <c r="E93" s="1" t="n">
        <v>46286</v>
      </c>
      <c r="F93" t="inlineStr">
        <is>
          <t>KALMAR LÄN</t>
        </is>
      </c>
      <c r="G93" t="inlineStr">
        <is>
          <t>NYBRO</t>
        </is>
      </c>
      <c r="I93" t="n">
        <v>3.6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Blåmossa</t>
        </is>
      </c>
      <c r="W93">
        <f>HYPERLINK("https://klasma.github.io/Logging_0881/artfynd/A 22171-2023 artfynd.xlsx", "A 22171-2023")</f>
        <v/>
      </c>
      <c r="X93">
        <f>HYPERLINK("https://klasma.github.io/Logging_0881/kartor/A 22171-2023 karta.png", "A 22171-2023")</f>
        <v/>
      </c>
      <c r="Y93">
        <f>HYPERLINK("https://klasma.github.io/Logging_0881/kartor_geotiff/A 22171-2023 georefererad karta.tif", "A 22171-2023")</f>
        <v/>
      </c>
      <c r="AA93">
        <f>HYPERLINK("https://klasma.github.io/Logging_0881/klagomål/A 22171-2023 FSC-klagomål.docx", "A 22171-2023")</f>
        <v/>
      </c>
      <c r="AB93">
        <f>HYPERLINK("https://klasma.github.io/Logging_0881/klagomålsmail/A 22171-2023 FSC-klagomål mail.docx", "A 22171-2023")</f>
        <v/>
      </c>
      <c r="AC93">
        <f>HYPERLINK("https://klasma.github.io/Logging_0881/tillsyn/A 22171-2023 tillsynsbegäran.docx", "A 22171-2023")</f>
        <v/>
      </c>
      <c r="AD93">
        <f>HYPERLINK("https://klasma.github.io/Logging_0881/tillsynsmail/A 22171-2023 tillsynsbegäran mail.docx", "A 22171-2023")</f>
        <v/>
      </c>
    </row>
    <row r="94" ht="15" customHeight="1">
      <c r="A94" t="inlineStr">
        <is>
          <t>A 22952-2024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45449</v>
      </c>
      <c r="E94" s="1" t="n">
        <v>46286</v>
      </c>
      <c r="F94" t="inlineStr">
        <is>
          <t>KALMAR LÄN</t>
        </is>
      </c>
      <c r="G94" t="inlineStr">
        <is>
          <t>NYBRO</t>
        </is>
      </c>
      <c r="I94" t="n">
        <v>14.1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Revlummer</t>
        </is>
      </c>
      <c r="W94">
        <f>HYPERLINK("https://klasma.github.io/Logging_0881/artfynd/A 22952-2024 artfynd.xlsx", "A 22952-2024")</f>
        <v/>
      </c>
      <c r="X94">
        <f>HYPERLINK("https://klasma.github.io/Logging_0881/kartor/A 22952-2024 karta.png", "A 22952-2024")</f>
        <v/>
      </c>
      <c r="Y94">
        <f>HYPERLINK("https://klasma.github.io/Logging_0881/kartor_geotiff/A 22952-2024 georefererad karta.tif", "A 22952-2024")</f>
        <v/>
      </c>
      <c r="AA94">
        <f>HYPERLINK("https://klasma.github.io/Logging_0881/klagomål/A 22952-2024 FSC-klagomål.docx", "A 22952-2024")</f>
        <v/>
      </c>
      <c r="AB94">
        <f>HYPERLINK("https://klasma.github.io/Logging_0881/klagomålsmail/A 22952-2024 FSC-klagomål mail.docx", "A 22952-2024")</f>
        <v/>
      </c>
      <c r="AC94">
        <f>HYPERLINK("https://klasma.github.io/Logging_0881/tillsyn/A 22952-2024 tillsynsbegäran.docx", "A 22952-2024")</f>
        <v/>
      </c>
      <c r="AD94">
        <f>HYPERLINK("https://klasma.github.io/Logging_0881/tillsynsmail/A 22952-2024 tillsynsbegäran mail.docx", "A 22952-2024")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46286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61613-2025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46286</v>
      </c>
      <c r="F96" t="inlineStr">
        <is>
          <t>KALMAR LÄN</t>
        </is>
      </c>
      <c r="G96" t="inlineStr">
        <is>
          <t>NYBRO</t>
        </is>
      </c>
      <c r="I96" t="n">
        <v>12.2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Nattskärra</t>
        </is>
      </c>
      <c r="W96">
        <f>HYPERLINK("https://klasma.github.io/Logging_0881/artfynd/A 61613-2025 artfynd.xlsx", "A 61613-2025")</f>
        <v/>
      </c>
      <c r="X96">
        <f>HYPERLINK("https://klasma.github.io/Logging_0881/kartor/A 61613-2025 karta.png", "A 61613-2025")</f>
        <v/>
      </c>
      <c r="Y96">
        <f>HYPERLINK("https://klasma.github.io/Logging_0881/kartor_geotiff/A 61613-2025 georefererad karta.tif", "A 61613-2025")</f>
        <v/>
      </c>
      <c r="AA96">
        <f>HYPERLINK("https://klasma.github.io/Logging_0881/klagomål/A 61613-2025 FSC-klagomål.docx", "A 61613-2025")</f>
        <v/>
      </c>
      <c r="AB96">
        <f>HYPERLINK("https://klasma.github.io/Logging_0881/klagomålsmail/A 61613-2025 FSC-klagomål mail.docx", "A 61613-2025")</f>
        <v/>
      </c>
      <c r="AC96">
        <f>HYPERLINK("https://klasma.github.io/Logging_0881/tillsyn/A 61613-2025 tillsynsbegäran.docx", "A 61613-2025")</f>
        <v/>
      </c>
      <c r="AD96">
        <f>HYPERLINK("https://klasma.github.io/Logging_0881/tillsynsmail/A 61613-2025 tillsynsbegäran mail.docx", "A 61613-2025")</f>
        <v/>
      </c>
      <c r="AE96">
        <f>HYPERLINK("https://klasma.github.io/Logging_0881/fåglar/A 61613-2025 prioriterade fågelarter.docx", "A 61613-2025")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46286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46286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54314-2022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46286</v>
      </c>
      <c r="F99" t="inlineStr">
        <is>
          <t>KALMAR LÄN</t>
        </is>
      </c>
      <c r="G99" t="inlineStr">
        <is>
          <t>NYBRO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6</v>
      </c>
      <c r="U99" t="n">
        <v>0</v>
      </c>
      <c r="V99" s="2" t="inlineStr">
        <is>
          <t>Ask</t>
        </is>
      </c>
      <c r="W99">
        <f>HYPERLINK("https://klasma.github.io/Logging_0881/artfynd/A 54314-2022 artfynd.xlsx", "A 54314-2022")</f>
        <v/>
      </c>
      <c r="X99">
        <f>HYPERLINK("https://klasma.github.io/Logging_0881/kartor/A 54314-2022 karta.png", "A 54314-2022")</f>
        <v/>
      </c>
      <c r="Y99">
        <f>HYPERLINK("https://klasma.github.io/Logging_0881/kartor_geotiff/A 54314-2022 georefererad karta.tif", "A 54314-2022")</f>
        <v/>
      </c>
      <c r="AA99">
        <f>HYPERLINK("https://klasma.github.io/Logging_0881/klagomål/A 54314-2022 FSC-klagomål.docx", "A 54314-2022")</f>
        <v/>
      </c>
      <c r="AB99">
        <f>HYPERLINK("https://klasma.github.io/Logging_0881/klagomålsmail/A 54314-2022 FSC-klagomål mail.docx", "A 54314-2022")</f>
        <v/>
      </c>
      <c r="AC99">
        <f>HYPERLINK("https://klasma.github.io/Logging_0881/tillsyn/A 54314-2022 tillsynsbegäran.docx", "A 54314-2022")</f>
        <v/>
      </c>
      <c r="AD99">
        <f>HYPERLINK("https://klasma.github.io/Logging_0881/tillsynsmail/A 54314-2022 tillsynsbegäran mail.docx", "A 54314-2022")</f>
        <v/>
      </c>
    </row>
    <row r="100" ht="15" customHeight="1">
      <c r="A100" t="inlineStr">
        <is>
          <t>A 61140-2022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46286</v>
      </c>
      <c r="F100" t="inlineStr">
        <is>
          <t>KALMAR LÄN</t>
        </is>
      </c>
      <c r="G100" t="inlineStr">
        <is>
          <t>NYBRO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61140-2022 artfynd.xlsx", "A 61140-2022")</f>
        <v/>
      </c>
      <c r="X100">
        <f>HYPERLINK("https://klasma.github.io/Logging_0881/kartor/A 61140-2022 karta.png", "A 61140-2022")</f>
        <v/>
      </c>
      <c r="Y100">
        <f>HYPERLINK("https://klasma.github.io/Logging_0881/kartor_geotiff/A 61140-2022 georefererad karta.tif", "A 61140-2022")</f>
        <v/>
      </c>
      <c r="AA100">
        <f>HYPERLINK("https://klasma.github.io/Logging_0881/klagomål/A 61140-2022 FSC-klagomål.docx", "A 61140-2022")</f>
        <v/>
      </c>
      <c r="AB100">
        <f>HYPERLINK("https://klasma.github.io/Logging_0881/klagomålsmail/A 61140-2022 FSC-klagomål mail.docx", "A 61140-2022")</f>
        <v/>
      </c>
      <c r="AC100">
        <f>HYPERLINK("https://klasma.github.io/Logging_0881/tillsyn/A 61140-2022 tillsynsbegäran.docx", "A 61140-2022")</f>
        <v/>
      </c>
      <c r="AD100">
        <f>HYPERLINK("https://klasma.github.io/Logging_0881/tillsynsmail/A 61140-2022 tillsynsbegäran mail.docx", "A 61140-2022")</f>
        <v/>
      </c>
      <c r="AE100">
        <f>HYPERLINK("https://klasma.github.io/Logging_0881/fåglar/A 61140-2022 prioriterade fågelarter.docx", "A 61140-2022")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46286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50008-2023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46286</v>
      </c>
      <c r="F102" t="inlineStr">
        <is>
          <t>KALMAR LÄN</t>
        </is>
      </c>
      <c r="G102" t="inlineStr">
        <is>
          <t>NYBRO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HYPERLINK("https://klasma.github.io/Logging_0881/artfynd/A 50008-2023 artfynd.xlsx", "A 50008-2023")</f>
        <v/>
      </c>
      <c r="X102">
        <f>HYPERLINK("https://klasma.github.io/Logging_0881/kartor/A 50008-2023 karta.png", "A 50008-2023")</f>
        <v/>
      </c>
      <c r="Y102">
        <f>HYPERLINK("https://klasma.github.io/Logging_0881/kartor_geotiff/A 50008-2023 georefererad karta.tif", "A 50008-2023")</f>
        <v/>
      </c>
      <c r="AA102">
        <f>HYPERLINK("https://klasma.github.io/Logging_0881/klagomål/A 50008-2023 FSC-klagomål.docx", "A 50008-2023")</f>
        <v/>
      </c>
      <c r="AB102">
        <f>HYPERLINK("https://klasma.github.io/Logging_0881/klagomålsmail/A 50008-2023 FSC-klagomål mail.docx", "A 50008-2023")</f>
        <v/>
      </c>
      <c r="AC102">
        <f>HYPERLINK("https://klasma.github.io/Logging_0881/tillsyn/A 50008-2023 tillsynsbegäran.docx", "A 50008-2023")</f>
        <v/>
      </c>
      <c r="AD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7038-2026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46286</v>
      </c>
      <c r="F103" t="inlineStr">
        <is>
          <t>KALMAR LÄN</t>
        </is>
      </c>
      <c r="G103" t="inlineStr">
        <is>
          <t>NYBRO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flatbagge</t>
        </is>
      </c>
      <c r="W103">
        <f>HYPERLINK("https://klasma.github.io/Logging_0881/artfynd/A 7038-2026 artfynd.xlsx", "A 7038-2026")</f>
        <v/>
      </c>
      <c r="X103">
        <f>HYPERLINK("https://klasma.github.io/Logging_0881/kartor/A 7038-2026 karta.png", "A 7038-2026")</f>
        <v/>
      </c>
      <c r="Y103">
        <f>HYPERLINK("https://klasma.github.io/Logging_0881/kartor_geotiff/A 7038-2026 georefererad karta.tif", "A 7038-2026")</f>
        <v/>
      </c>
      <c r="AA103">
        <f>HYPERLINK("https://klasma.github.io/Logging_0881/klagomål/A 7038-2026 FSC-klagomål.docx", "A 7038-2026")</f>
        <v/>
      </c>
      <c r="AB103">
        <f>HYPERLINK("https://klasma.github.io/Logging_0881/klagomålsmail/A 7038-2026 FSC-klagomål mail.docx", "A 7038-2026")</f>
        <v/>
      </c>
      <c r="AC103">
        <f>HYPERLINK("https://klasma.github.io/Logging_0881/tillsyn/A 7038-2026 tillsynsbegäran.docx", "A 7038-2026")</f>
        <v/>
      </c>
      <c r="AD103">
        <f>HYPERLINK("https://klasma.github.io/Logging_0881/tillsynsmail/A 7038-2026 tillsynsbegäran mail.docx", "A 7038-2026")</f>
        <v/>
      </c>
    </row>
    <row r="104" ht="15" customHeight="1">
      <c r="A104" t="inlineStr">
        <is>
          <t>A 38265-2024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46286</v>
      </c>
      <c r="F104" t="inlineStr">
        <is>
          <t>KALMAR LÄN</t>
        </is>
      </c>
      <c r="G104" t="inlineStr">
        <is>
          <t>NYBRO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Mindre bastardsvärmare</t>
        </is>
      </c>
      <c r="W104">
        <f>HYPERLINK("https://klasma.github.io/Logging_0881/artfynd/A 38265-2024 artfynd.xlsx", "A 38265-2024")</f>
        <v/>
      </c>
      <c r="X104">
        <f>HYPERLINK("https://klasma.github.io/Logging_0881/kartor/A 38265-2024 karta.png", "A 38265-2024")</f>
        <v/>
      </c>
      <c r="Y104">
        <f>HYPERLINK("https://klasma.github.io/Logging_0881/kartor_geotiff/A 38265-2024 georefererad karta.tif", "A 38265-2024")</f>
        <v/>
      </c>
      <c r="AA104">
        <f>HYPERLINK("https://klasma.github.io/Logging_0881/klagomål/A 38265-2024 FSC-klagomål.docx", "A 38265-2024")</f>
        <v/>
      </c>
      <c r="AB104">
        <f>HYPERLINK("https://klasma.github.io/Logging_0881/klagomålsmail/A 38265-2024 FSC-klagomål mail.docx", "A 38265-2024")</f>
        <v/>
      </c>
      <c r="AC104">
        <f>HYPERLINK("https://klasma.github.io/Logging_0881/tillsyn/A 38265-2024 tillsynsbegäran.docx", "A 38265-2024")</f>
        <v/>
      </c>
      <c r="AD104">
        <f>HYPERLINK("https://klasma.github.io/Logging_0881/tillsynsmail/A 38265-2024 tillsynsbegäran mail.docx", "A 38265-2024")</f>
        <v/>
      </c>
    </row>
    <row r="105" ht="15" customHeight="1">
      <c r="A105" t="inlineStr">
        <is>
          <t>A 26463-2026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46286</v>
      </c>
      <c r="F105" t="inlineStr">
        <is>
          <t>KALMAR LÄN</t>
        </is>
      </c>
      <c r="G105" t="inlineStr">
        <is>
          <t>NYBRO</t>
        </is>
      </c>
      <c r="I105" t="n">
        <v>2.7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Blåmossa</t>
        </is>
      </c>
      <c r="W105">
        <f>HYPERLINK("https://klasma.github.io/Logging_0881/artfynd/A 26463-2026 artfynd.xlsx", "A 26463-2026")</f>
        <v/>
      </c>
      <c r="X105">
        <f>HYPERLINK("https://klasma.github.io/Logging_0881/kartor/A 26463-2026 karta.png", "A 26463-2026")</f>
        <v/>
      </c>
      <c r="Y105">
        <f>HYPERLINK("https://klasma.github.io/Logging_0881/kartor_geotiff/A 26463-2026 georefererad karta.tif", "A 26463-2026")</f>
        <v/>
      </c>
      <c r="AA105">
        <f>HYPERLINK("https://klasma.github.io/Logging_0881/klagomål/A 26463-2026 FSC-klagomål.docx", "A 26463-2026")</f>
        <v/>
      </c>
      <c r="AB105">
        <f>HYPERLINK("https://klasma.github.io/Logging_0881/klagomålsmail/A 26463-2026 FSC-klagomål mail.docx", "A 26463-2026")</f>
        <v/>
      </c>
      <c r="AC105">
        <f>HYPERLINK("https://klasma.github.io/Logging_0881/tillsyn/A 26463-2026 tillsynsbegäran.docx", "A 26463-2026")</f>
        <v/>
      </c>
      <c r="AD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13412-2026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46286</v>
      </c>
      <c r="F106" t="inlineStr">
        <is>
          <t>KALMAR LÄN</t>
        </is>
      </c>
      <c r="G106" t="inlineStr">
        <is>
          <t>NYBRO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HYPERLINK("https://klasma.github.io/Logging_0881/artfynd/A 13412-2026 artfynd.xlsx", "A 13412-2026")</f>
        <v/>
      </c>
      <c r="X106">
        <f>HYPERLINK("https://klasma.github.io/Logging_0881/kartor/A 13412-2026 karta.png", "A 13412-2026")</f>
        <v/>
      </c>
      <c r="Y106">
        <f>HYPERLINK("https://klasma.github.io/Logging_0881/kartor_geotiff/A 13412-2026 georefererad karta.tif", "A 13412-2026")</f>
        <v/>
      </c>
      <c r="AA106">
        <f>HYPERLINK("https://klasma.github.io/Logging_0881/klagomål/A 13412-2026 FSC-klagomål.docx", "A 13412-2026")</f>
        <v/>
      </c>
      <c r="AB106">
        <f>HYPERLINK("https://klasma.github.io/Logging_0881/klagomålsmail/A 13412-2026 FSC-klagomål mail.docx", "A 13412-2026")</f>
        <v/>
      </c>
      <c r="AC106">
        <f>HYPERLINK("https://klasma.github.io/Logging_0881/tillsyn/A 13412-2026 tillsynsbegäran.docx", "A 13412-2026")</f>
        <v/>
      </c>
      <c r="AD106">
        <f>HYPERLINK("https://klasma.github.io/Logging_0881/tillsynsmail/A 13412-2026 tillsynsbegäran mail.docx", "A 13412-2026")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46286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46223-2024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46286</v>
      </c>
      <c r="F108" t="inlineStr">
        <is>
          <t>KALMAR LÄN</t>
        </is>
      </c>
      <c r="G108" t="inlineStr">
        <is>
          <t>NYBRO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Sumpviol</t>
        </is>
      </c>
      <c r="W108">
        <f>HYPERLINK("https://klasma.github.io/Logging_0881/artfynd/A 46223-2024 artfynd.xlsx", "A 46223-2024")</f>
        <v/>
      </c>
      <c r="X108">
        <f>HYPERLINK("https://klasma.github.io/Logging_0881/kartor/A 46223-2024 karta.png", "A 46223-2024")</f>
        <v/>
      </c>
      <c r="Y108">
        <f>HYPERLINK("https://klasma.github.io/Logging_0881/kartor_geotiff/A 46223-2024 georefererad karta.tif", "A 46223-2024")</f>
        <v/>
      </c>
      <c r="AA108">
        <f>HYPERLINK("https://klasma.github.io/Logging_0881/klagomål/A 46223-2024 FSC-klagomål.docx", "A 46223-2024")</f>
        <v/>
      </c>
      <c r="AB108">
        <f>HYPERLINK("https://klasma.github.io/Logging_0881/klagomålsmail/A 46223-2024 FSC-klagomål mail.docx", "A 46223-2024")</f>
        <v/>
      </c>
      <c r="AC108">
        <f>HYPERLINK("https://klasma.github.io/Logging_0881/tillsyn/A 46223-2024 tillsynsbegäran.docx", "A 46223-2024")</f>
        <v/>
      </c>
      <c r="AD108">
        <f>HYPERLINK("https://klasma.github.io/Logging_0881/tillsynsmail/A 46223-2024 tillsynsbegäran mail.docx", "A 46223-2024")</f>
        <v/>
      </c>
    </row>
    <row r="109" ht="15" customHeight="1">
      <c r="A109" t="inlineStr">
        <is>
          <t>A 31861-2023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46286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Ask</t>
        </is>
      </c>
      <c r="W109">
        <f>HYPERLINK("https://klasma.github.io/Logging_0881/artfynd/A 31861-2023 artfynd.xlsx", "A 31861-2023")</f>
        <v/>
      </c>
      <c r="X109">
        <f>HYPERLINK("https://klasma.github.io/Logging_0881/kartor/A 31861-2023 karta.png", "A 31861-2023")</f>
        <v/>
      </c>
      <c r="Y109">
        <f>HYPERLINK("https://klasma.github.io/Logging_0881/kartor_geotiff/A 31861-2023 georefererad karta.tif", "A 31861-2023")</f>
        <v/>
      </c>
      <c r="AA109">
        <f>HYPERLINK("https://klasma.github.io/Logging_0881/klagomål/A 31861-2023 FSC-klagomål.docx", "A 31861-2023")</f>
        <v/>
      </c>
      <c r="AB109">
        <f>HYPERLINK("https://klasma.github.io/Logging_0881/klagomålsmail/A 31861-2023 FSC-klagomål mail.docx", "A 31861-2023")</f>
        <v/>
      </c>
      <c r="AC109">
        <f>HYPERLINK("https://klasma.github.io/Logging_0881/tillsyn/A 31861-2023 tillsynsbegäran.docx", "A 31861-2023")</f>
        <v/>
      </c>
      <c r="AD109">
        <f>HYPERLINK("https://klasma.github.io/Logging_0881/tillsynsmail/A 31861-2023 tillsynsbegäran mail.docx", "A 31861-2023")</f>
        <v/>
      </c>
    </row>
    <row r="110" ht="15" customHeight="1">
      <c r="A110" t="inlineStr">
        <is>
          <t>A 16161-2026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46286</v>
      </c>
      <c r="F110" t="inlineStr">
        <is>
          <t>KALMAR LÄN</t>
        </is>
      </c>
      <c r="G110" t="inlineStr">
        <is>
          <t>NYBRO</t>
        </is>
      </c>
      <c r="I110" t="n">
        <v>6.1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Mosippa</t>
        </is>
      </c>
      <c r="W110">
        <f>HYPERLINK("https://klasma.github.io/Logging_0881/artfynd/A 16161-2026 artfynd.xlsx", "A 16161-2026")</f>
        <v/>
      </c>
      <c r="X110">
        <f>HYPERLINK("https://klasma.github.io/Logging_0881/kartor/A 16161-2026 karta.png", "A 16161-2026")</f>
        <v/>
      </c>
      <c r="Y110">
        <f>HYPERLINK("https://klasma.github.io/Logging_0881/kartor_geotiff/A 16161-2026 georefererad karta.tif", "A 16161-2026")</f>
        <v/>
      </c>
      <c r="AA110">
        <f>HYPERLINK("https://klasma.github.io/Logging_0881/klagomål/A 16161-2026 FSC-klagomål.docx", "A 16161-2026")</f>
        <v/>
      </c>
      <c r="AB110">
        <f>HYPERLINK("https://klasma.github.io/Logging_0881/klagomålsmail/A 16161-2026 FSC-klagomål mail.docx", "A 16161-2026")</f>
        <v/>
      </c>
      <c r="AC110">
        <f>HYPERLINK("https://klasma.github.io/Logging_0881/tillsyn/A 16161-2026 tillsynsbegäran.docx", "A 16161-2026")</f>
        <v/>
      </c>
      <c r="AD110">
        <f>HYPERLINK("https://klasma.github.io/Logging_0881/tillsynsmail/A 16161-2026 tillsynsbegäran mail.docx", "A 16161-2026")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46286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6061-2025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46286</v>
      </c>
      <c r="F112" t="inlineStr">
        <is>
          <t>KALMAR LÄN</t>
        </is>
      </c>
      <c r="G112" t="inlineStr">
        <is>
          <t>NYBRO</t>
        </is>
      </c>
      <c r="I112" t="n">
        <v>1.9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Purpurknipprot</t>
        </is>
      </c>
      <c r="W112">
        <f>HYPERLINK("https://klasma.github.io/Logging_0881/artfynd/A 6061-2025 artfynd.xlsx", "A 6061-2025")</f>
        <v/>
      </c>
      <c r="X112">
        <f>HYPERLINK("https://klasma.github.io/Logging_0881/kartor/A 6061-2025 karta.png", "A 6061-2025")</f>
        <v/>
      </c>
      <c r="Y112">
        <f>HYPERLINK("https://klasma.github.io/Logging_0881/kartor_geotiff/A 6061-2025 georefererad karta.tif", "A 6061-2025")</f>
        <v/>
      </c>
      <c r="AA112">
        <f>HYPERLINK("https://klasma.github.io/Logging_0881/klagomål/A 6061-2025 FSC-klagomål.docx", "A 6061-2025")</f>
        <v/>
      </c>
      <c r="AB112">
        <f>HYPERLINK("https://klasma.github.io/Logging_0881/klagomålsmail/A 6061-2025 FSC-klagomål mail.docx", "A 6061-2025")</f>
        <v/>
      </c>
      <c r="AC112">
        <f>HYPERLINK("https://klasma.github.io/Logging_0881/tillsyn/A 6061-2025 tillsynsbegäran.docx", "A 6061-2025")</f>
        <v/>
      </c>
      <c r="AD112">
        <f>HYPERLINK("https://klasma.github.io/Logging_0881/tillsynsmail/A 6061-2025 tillsynsbegäran mail.docx", "A 6061-2025")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46286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12323-2025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46286</v>
      </c>
      <c r="F114" t="inlineStr">
        <is>
          <t>KALMAR LÄN</t>
        </is>
      </c>
      <c r="G114" t="inlineStr">
        <is>
          <t>NYBRO</t>
        </is>
      </c>
      <c r="I114" t="n">
        <v>14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HYPERLINK("https://klasma.github.io/Logging_0881/artfynd/A 12323-2025 artfynd.xlsx", "A 12323-2025")</f>
        <v/>
      </c>
      <c r="X114">
        <f>HYPERLINK("https://klasma.github.io/Logging_0881/kartor/A 12323-2025 karta.png", "A 12323-2025")</f>
        <v/>
      </c>
      <c r="Y114">
        <f>HYPERLINK("https://klasma.github.io/Logging_0881/kartor_geotiff/A 12323-2025 georefererad karta.tif", "A 12323-2025")</f>
        <v/>
      </c>
      <c r="AA114">
        <f>HYPERLINK("https://klasma.github.io/Logging_0881/klagomål/A 12323-2025 FSC-klagomål.docx", "A 12323-2025")</f>
        <v/>
      </c>
      <c r="AB114">
        <f>HYPERLINK("https://klasma.github.io/Logging_0881/klagomålsmail/A 12323-2025 FSC-klagomål mail.docx", "A 12323-2025")</f>
        <v/>
      </c>
      <c r="AC114">
        <f>HYPERLINK("https://klasma.github.io/Logging_0881/tillsyn/A 12323-2025 tillsynsbegäran.docx", "A 12323-2025")</f>
        <v/>
      </c>
      <c r="AD114">
        <f>HYPERLINK("https://klasma.github.io/Logging_0881/tillsynsmail/A 12323-2025 tillsynsbegäran mail.docx", "A 12323-2025")</f>
        <v/>
      </c>
      <c r="AE114">
        <f>HYPERLINK("https://klasma.github.io/Logging_0881/fåglar/A 12323-2025 prioriterade fågelarter.docx", "A 12323-2025")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46286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46286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46286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46286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46286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46286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46286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46286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46286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46286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46286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46286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46286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46286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46286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46286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46286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46286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46286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46286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46286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46286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46286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46286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46286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46286</v>
      </c>
      <c r="F140" t="inlineStr">
        <is>
          <t>KALMAR LÄN</t>
        </is>
      </c>
      <c r="G140" t="inlineStr">
        <is>
          <t>NYBRO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38772-2022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44816</v>
      </c>
      <c r="E141" s="1" t="n">
        <v>46286</v>
      </c>
      <c r="F141" t="inlineStr">
        <is>
          <t>KALMAR LÄN</t>
        </is>
      </c>
      <c r="G141" t="inlineStr">
        <is>
          <t>NYBRO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44571</v>
      </c>
      <c r="E142" s="1" t="n">
        <v>46286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46286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46286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46286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46286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44684</v>
      </c>
      <c r="E147" s="1" t="n">
        <v>46286</v>
      </c>
      <c r="F147" t="inlineStr">
        <is>
          <t>KALMAR LÄN</t>
        </is>
      </c>
      <c r="G147" t="inlineStr">
        <is>
          <t>NYBRO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46286</v>
      </c>
      <c r="F148" t="inlineStr">
        <is>
          <t>KALMAR LÄN</t>
        </is>
      </c>
      <c r="G148" t="inlineStr">
        <is>
          <t>NYBRO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46286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46286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46286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46286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46286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46286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46286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46286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46286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46286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46286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46286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46286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46286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46286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46286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44629</v>
      </c>
      <c r="E165" s="1" t="n">
        <v>46286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46286</v>
      </c>
      <c r="F166" t="inlineStr">
        <is>
          <t>KALMAR LÄN</t>
        </is>
      </c>
      <c r="G166" t="inlineStr">
        <is>
          <t>NYBRO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46286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46286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46286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46286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46286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46286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46286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46286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46286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46286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46286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46286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46286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46286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46286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46286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46286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46286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46286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46286</v>
      </c>
      <c r="F186" t="inlineStr">
        <is>
          <t>KALMAR LÄN</t>
        </is>
      </c>
      <c r="G186" t="inlineStr">
        <is>
          <t>NYBRO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46286</v>
      </c>
      <c r="F187" t="inlineStr">
        <is>
          <t>KALMAR LÄN</t>
        </is>
      </c>
      <c r="G187" t="inlineStr">
        <is>
          <t>NYBRO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46286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46286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45488</v>
      </c>
      <c r="E190" s="1" t="n">
        <v>46286</v>
      </c>
      <c r="F190" t="inlineStr">
        <is>
          <t>KALMAR LÄN</t>
        </is>
      </c>
      <c r="G190" t="inlineStr">
        <is>
          <t>NYBRO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45123</v>
      </c>
      <c r="E191" s="1" t="n">
        <v>46286</v>
      </c>
      <c r="F191" t="inlineStr">
        <is>
          <t>KALMAR LÄN</t>
        </is>
      </c>
      <c r="G191" t="inlineStr">
        <is>
          <t>NYBRO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46286</v>
      </c>
      <c r="F192" t="inlineStr">
        <is>
          <t>KALMAR LÄN</t>
        </is>
      </c>
      <c r="G192" t="inlineStr">
        <is>
          <t>NYBRO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46286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46286</v>
      </c>
      <c r="F194" t="inlineStr">
        <is>
          <t>KALMAR LÄN</t>
        </is>
      </c>
      <c r="G194" t="inlineStr">
        <is>
          <t>NYBRO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46286</v>
      </c>
      <c r="F195" t="inlineStr">
        <is>
          <t>KALMAR LÄN</t>
        </is>
      </c>
      <c r="G195" t="inlineStr">
        <is>
          <t>NYBRO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46286</v>
      </c>
      <c r="F196" t="inlineStr">
        <is>
          <t>KALMAR LÄN</t>
        </is>
      </c>
      <c r="G196" t="inlineStr">
        <is>
          <t>NYBRO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19967-2023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45054</v>
      </c>
      <c r="E197" s="1" t="n">
        <v>46286</v>
      </c>
      <c r="F197" t="inlineStr">
        <is>
          <t>KALMAR LÄN</t>
        </is>
      </c>
      <c r="G197" t="inlineStr">
        <is>
          <t>NYBRO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46286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46286</v>
      </c>
      <c r="F199" t="inlineStr">
        <is>
          <t>KALMAR LÄN</t>
        </is>
      </c>
      <c r="G199" t="inlineStr">
        <is>
          <t>NYBRO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46286</v>
      </c>
      <c r="F200" t="inlineStr">
        <is>
          <t>KALMAR LÄN</t>
        </is>
      </c>
      <c r="G200" t="inlineStr">
        <is>
          <t>NYBRO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46286</v>
      </c>
      <c r="F201" t="inlineStr">
        <is>
          <t>KALMAR LÄN</t>
        </is>
      </c>
      <c r="G201" t="inlineStr">
        <is>
          <t>NYBRO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46286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46286</v>
      </c>
      <c r="F203" t="inlineStr">
        <is>
          <t>KALMAR LÄN</t>
        </is>
      </c>
      <c r="G203" t="inlineStr">
        <is>
          <t>NYBRO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46286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46286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46286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46286</v>
      </c>
      <c r="F207" t="inlineStr">
        <is>
          <t>KALMAR LÄN</t>
        </is>
      </c>
      <c r="G207" t="inlineStr">
        <is>
          <t>NYBRO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44985</v>
      </c>
      <c r="E208" s="1" t="n">
        <v>46286</v>
      </c>
      <c r="F208" t="inlineStr">
        <is>
          <t>KALMAR LÄN</t>
        </is>
      </c>
      <c r="G208" t="inlineStr">
        <is>
          <t>NYBRO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46286</v>
      </c>
      <c r="F209" t="inlineStr">
        <is>
          <t>KALMAR LÄN</t>
        </is>
      </c>
      <c r="G209" t="inlineStr">
        <is>
          <t>NYBRO</t>
        </is>
      </c>
      <c r="H209" t="inlineStr">
        <is>
          <t>Kyrkan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46286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45394</v>
      </c>
      <c r="E211" s="1" t="n">
        <v>46286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19244-2022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44692</v>
      </c>
      <c r="E212" s="1" t="n">
        <v>46286</v>
      </c>
      <c r="F212" t="inlineStr">
        <is>
          <t>KALMAR LÄN</t>
        </is>
      </c>
      <c r="G212" t="inlineStr">
        <is>
          <t>NYBRO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46286</v>
      </c>
      <c r="F213" t="inlineStr">
        <is>
          <t>KALMAR LÄN</t>
        </is>
      </c>
      <c r="G213" t="inlineStr">
        <is>
          <t>NYBRO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45175</v>
      </c>
      <c r="E214" s="1" t="n">
        <v>46286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46286</v>
      </c>
      <c r="F215" t="inlineStr">
        <is>
          <t>KALMAR LÄN</t>
        </is>
      </c>
      <c r="G215" t="inlineStr">
        <is>
          <t>NYBRO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45021</v>
      </c>
      <c r="E216" s="1" t="n">
        <v>46286</v>
      </c>
      <c r="F216" t="inlineStr">
        <is>
          <t>KALMAR LÄN</t>
        </is>
      </c>
      <c r="G216" t="inlineStr">
        <is>
          <t>NYBRO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45028</v>
      </c>
      <c r="E217" s="1" t="n">
        <v>46286</v>
      </c>
      <c r="F217" t="inlineStr">
        <is>
          <t>KALMAR LÄN</t>
        </is>
      </c>
      <c r="G217" t="inlineStr">
        <is>
          <t>NYBRO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46286</v>
      </c>
      <c r="F218" t="inlineStr">
        <is>
          <t>KALMAR LÄN</t>
        </is>
      </c>
      <c r="G218" t="inlineStr">
        <is>
          <t>NYBRO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46286</v>
      </c>
      <c r="F219" t="inlineStr">
        <is>
          <t>KALMAR LÄN</t>
        </is>
      </c>
      <c r="G219" t="inlineStr">
        <is>
          <t>NYBRO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46286</v>
      </c>
      <c r="F220" t="inlineStr">
        <is>
          <t>KALMAR LÄN</t>
        </is>
      </c>
      <c r="G220" t="inlineStr">
        <is>
          <t>NYBRO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46286</v>
      </c>
      <c r="F221" t="inlineStr">
        <is>
          <t>KALMAR LÄN</t>
        </is>
      </c>
      <c r="G221" t="inlineStr">
        <is>
          <t>NYBRO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46286</v>
      </c>
      <c r="F222" t="inlineStr">
        <is>
          <t>KALMAR LÄN</t>
        </is>
      </c>
      <c r="G222" t="inlineStr">
        <is>
          <t>NYBRO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46286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11968-2025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45728</v>
      </c>
      <c r="E224" s="1" t="n">
        <v>46286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46286</v>
      </c>
      <c r="F225" t="inlineStr">
        <is>
          <t>KALMAR LÄN</t>
        </is>
      </c>
      <c r="G225" t="inlineStr">
        <is>
          <t>NYBRO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59687-2021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44494</v>
      </c>
      <c r="E226" s="1" t="n">
        <v>46286</v>
      </c>
      <c r="F226" t="inlineStr">
        <is>
          <t>KALMAR LÄN</t>
        </is>
      </c>
      <c r="G226" t="inlineStr">
        <is>
          <t>NYBRO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44909</v>
      </c>
      <c r="E227" s="1" t="n">
        <v>46286</v>
      </c>
      <c r="F227" t="inlineStr">
        <is>
          <t>KALMAR LÄN</t>
        </is>
      </c>
      <c r="G227" t="inlineStr">
        <is>
          <t>NYBRO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46286</v>
      </c>
      <c r="F228" t="inlineStr">
        <is>
          <t>KALMAR LÄN</t>
        </is>
      </c>
      <c r="G228" t="inlineStr">
        <is>
          <t>NYBRO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46286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44594</v>
      </c>
      <c r="E230" s="1" t="n">
        <v>46286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46286</v>
      </c>
      <c r="F231" t="inlineStr">
        <is>
          <t>KALMAR LÄN</t>
        </is>
      </c>
      <c r="G231" t="inlineStr">
        <is>
          <t>NYBRO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46286</v>
      </c>
      <c r="F232" t="inlineStr">
        <is>
          <t>KALMAR LÄN</t>
        </is>
      </c>
      <c r="G232" t="inlineStr">
        <is>
          <t>NYBRO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46286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46286</v>
      </c>
      <c r="F234" t="inlineStr">
        <is>
          <t>KALMAR LÄN</t>
        </is>
      </c>
      <c r="G234" t="inlineStr">
        <is>
          <t>NYBRO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46286</v>
      </c>
      <c r="F235" t="inlineStr">
        <is>
          <t>KALMAR LÄN</t>
        </is>
      </c>
      <c r="G235" t="inlineStr">
        <is>
          <t>NYBRO</t>
        </is>
      </c>
      <c r="H235" t="inlineStr">
        <is>
          <t>Kyrkan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46286</v>
      </c>
      <c r="F236" t="inlineStr">
        <is>
          <t>KALMAR LÄN</t>
        </is>
      </c>
      <c r="G236" t="inlineStr">
        <is>
          <t>NYBRO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46286</v>
      </c>
      <c r="F237" t="inlineStr">
        <is>
          <t>KALMAR LÄN</t>
        </is>
      </c>
      <c r="G237" t="inlineStr">
        <is>
          <t>NYBRO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46286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46286</v>
      </c>
      <c r="F239" t="inlineStr">
        <is>
          <t>KALMAR LÄN</t>
        </is>
      </c>
      <c r="G239" t="inlineStr">
        <is>
          <t>NYBRO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46286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46286</v>
      </c>
      <c r="F241" t="inlineStr">
        <is>
          <t>KALMAR LÄN</t>
        </is>
      </c>
      <c r="G241" t="inlineStr">
        <is>
          <t>NYBRO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46286</v>
      </c>
      <c r="F242" t="inlineStr">
        <is>
          <t>KALMAR LÄN</t>
        </is>
      </c>
      <c r="G242" t="inlineStr">
        <is>
          <t>NYBRO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46286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45121</v>
      </c>
      <c r="E244" s="1" t="n">
        <v>46286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46286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46286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45346</v>
      </c>
      <c r="E247" s="1" t="n">
        <v>46286</v>
      </c>
      <c r="F247" t="inlineStr">
        <is>
          <t>KALMAR LÄN</t>
        </is>
      </c>
      <c r="G247" t="inlineStr">
        <is>
          <t>NYBRO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46286</v>
      </c>
      <c r="F248" t="inlineStr">
        <is>
          <t>KALMAR LÄN</t>
        </is>
      </c>
      <c r="G248" t="inlineStr">
        <is>
          <t>NYBRO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45409</v>
      </c>
      <c r="E249" s="1" t="n">
        <v>46286</v>
      </c>
      <c r="F249" t="inlineStr">
        <is>
          <t>KALMAR LÄN</t>
        </is>
      </c>
      <c r="G249" t="inlineStr">
        <is>
          <t>NYBRO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44690</v>
      </c>
      <c r="E250" s="1" t="n">
        <v>46286</v>
      </c>
      <c r="F250" t="inlineStr">
        <is>
          <t>KALMAR LÄN</t>
        </is>
      </c>
      <c r="G250" t="inlineStr">
        <is>
          <t>NYBRO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44778</v>
      </c>
      <c r="E251" s="1" t="n">
        <v>46286</v>
      </c>
      <c r="F251" t="inlineStr">
        <is>
          <t>KALMAR LÄN</t>
        </is>
      </c>
      <c r="G251" t="inlineStr">
        <is>
          <t>NYBRO</t>
        </is>
      </c>
      <c r="I251" t="n">
        <v>13.7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46286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46286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46286</v>
      </c>
      <c r="F254" t="inlineStr">
        <is>
          <t>KALMAR LÄN</t>
        </is>
      </c>
      <c r="G254" t="inlineStr">
        <is>
          <t>NYBRO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46286</v>
      </c>
      <c r="F255" t="inlineStr">
        <is>
          <t>KALMAR LÄN</t>
        </is>
      </c>
      <c r="G255" t="inlineStr">
        <is>
          <t>NYBRO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45338</v>
      </c>
      <c r="E256" s="1" t="n">
        <v>46286</v>
      </c>
      <c r="F256" t="inlineStr">
        <is>
          <t>KALMAR LÄN</t>
        </is>
      </c>
      <c r="G256" t="inlineStr">
        <is>
          <t>NYBRO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46286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46286</v>
      </c>
      <c r="F258" t="inlineStr">
        <is>
          <t>KALMAR LÄN</t>
        </is>
      </c>
      <c r="G258" t="inlineStr">
        <is>
          <t>NYBRO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46286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46286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45254</v>
      </c>
      <c r="E261" s="1" t="n">
        <v>46286</v>
      </c>
      <c r="F261" t="inlineStr">
        <is>
          <t>KALMAR LÄN</t>
        </is>
      </c>
      <c r="G261" t="inlineStr">
        <is>
          <t>NYBRO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46286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46286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45394</v>
      </c>
      <c r="E264" s="1" t="n">
        <v>46286</v>
      </c>
      <c r="F264" t="inlineStr">
        <is>
          <t>KALMAR LÄN</t>
        </is>
      </c>
      <c r="G264" t="inlineStr">
        <is>
          <t>NYBRO</t>
        </is>
      </c>
      <c r="H264" t="inlineStr">
        <is>
          <t>Kommuner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44915</v>
      </c>
      <c r="E265" s="1" t="n">
        <v>46286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46286</v>
      </c>
      <c r="F266" t="inlineStr">
        <is>
          <t>KALMAR LÄN</t>
        </is>
      </c>
      <c r="G266" t="inlineStr">
        <is>
          <t>NYBRO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44721</v>
      </c>
      <c r="E267" s="1" t="n">
        <v>46286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44903</v>
      </c>
      <c r="E268" s="1" t="n">
        <v>46286</v>
      </c>
      <c r="F268" t="inlineStr">
        <is>
          <t>KALMAR LÄN</t>
        </is>
      </c>
      <c r="G268" t="inlineStr">
        <is>
          <t>NYBRO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44890</v>
      </c>
      <c r="E269" s="1" t="n">
        <v>46286</v>
      </c>
      <c r="F269" t="inlineStr">
        <is>
          <t>KALMAR LÄN</t>
        </is>
      </c>
      <c r="G269" t="inlineStr">
        <is>
          <t>NYBRO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45368</v>
      </c>
      <c r="E270" s="1" t="n">
        <v>46286</v>
      </c>
      <c r="F270" t="inlineStr">
        <is>
          <t>KALMAR LÄN</t>
        </is>
      </c>
      <c r="G270" t="inlineStr">
        <is>
          <t>NYBRO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46286</v>
      </c>
      <c r="F271" t="inlineStr">
        <is>
          <t>KALMAR LÄN</t>
        </is>
      </c>
      <c r="G271" t="inlineStr">
        <is>
          <t>NYBRO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46286</v>
      </c>
      <c r="F272" t="inlineStr">
        <is>
          <t>KALMAR LÄN</t>
        </is>
      </c>
      <c r="G272" t="inlineStr">
        <is>
          <t>NYBRO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44853</v>
      </c>
      <c r="E273" s="1" t="n">
        <v>46286</v>
      </c>
      <c r="F273" t="inlineStr">
        <is>
          <t>KALMAR LÄN</t>
        </is>
      </c>
      <c r="G273" t="inlineStr">
        <is>
          <t>NYBRO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46286</v>
      </c>
      <c r="F274" t="inlineStr">
        <is>
          <t>KALMAR LÄN</t>
        </is>
      </c>
      <c r="G274" t="inlineStr">
        <is>
          <t>NYBRO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46286</v>
      </c>
      <c r="F275" t="inlineStr">
        <is>
          <t>KALMAR LÄN</t>
        </is>
      </c>
      <c r="G275" t="inlineStr">
        <is>
          <t>NYBRO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46286</v>
      </c>
      <c r="F276" t="inlineStr">
        <is>
          <t>KALMAR LÄN</t>
        </is>
      </c>
      <c r="G276" t="inlineStr">
        <is>
          <t>NYBRO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46286</v>
      </c>
      <c r="F277" t="inlineStr">
        <is>
          <t>KALMAR LÄN</t>
        </is>
      </c>
      <c r="G277" t="inlineStr">
        <is>
          <t>NYBRO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60794-2021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44497</v>
      </c>
      <c r="E278" s="1" t="n">
        <v>46286</v>
      </c>
      <c r="F278" t="inlineStr">
        <is>
          <t>KALMAR LÄN</t>
        </is>
      </c>
      <c r="G278" t="inlineStr">
        <is>
          <t>NYBRO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46286</v>
      </c>
      <c r="F279" t="inlineStr">
        <is>
          <t>KALMAR LÄN</t>
        </is>
      </c>
      <c r="G279" t="inlineStr">
        <is>
          <t>NYBRO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46286</v>
      </c>
      <c r="F280" t="inlineStr">
        <is>
          <t>KALMAR LÄN</t>
        </is>
      </c>
      <c r="G280" t="inlineStr">
        <is>
          <t>NYBRO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60819-2022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46286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44914</v>
      </c>
      <c r="E282" s="1" t="n">
        <v>46286</v>
      </c>
      <c r="F282" t="inlineStr">
        <is>
          <t>KALMAR LÄN</t>
        </is>
      </c>
      <c r="G282" t="inlineStr">
        <is>
          <t>NYBRO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44931</v>
      </c>
      <c r="E283" s="1" t="n">
        <v>46286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46286</v>
      </c>
      <c r="F284" t="inlineStr">
        <is>
          <t>KALMAR LÄN</t>
        </is>
      </c>
      <c r="G284" t="inlineStr">
        <is>
          <t>NYBRO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46286</v>
      </c>
      <c r="F285" t="inlineStr">
        <is>
          <t>KALMAR LÄN</t>
        </is>
      </c>
      <c r="G285" t="inlineStr">
        <is>
          <t>NYBRO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28149-2023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45096</v>
      </c>
      <c r="E286" s="1" t="n">
        <v>46286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46286</v>
      </c>
      <c r="F287" t="inlineStr">
        <is>
          <t>KALMAR LÄN</t>
        </is>
      </c>
      <c r="G287" t="inlineStr">
        <is>
          <t>NYBRO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44832</v>
      </c>
      <c r="E288" s="1" t="n">
        <v>46286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25717-2022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44733</v>
      </c>
      <c r="E289" s="1" t="n">
        <v>46286</v>
      </c>
      <c r="F289" t="inlineStr">
        <is>
          <t>KALMAR LÄN</t>
        </is>
      </c>
      <c r="G289" t="inlineStr">
        <is>
          <t>NYBRO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46286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46286</v>
      </c>
      <c r="F291" t="inlineStr">
        <is>
          <t>KALMAR LÄN</t>
        </is>
      </c>
      <c r="G291" t="inlineStr">
        <is>
          <t>NYBRO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46286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46286</v>
      </c>
      <c r="F293" t="inlineStr">
        <is>
          <t>KALMAR LÄN</t>
        </is>
      </c>
      <c r="G293" t="inlineStr">
        <is>
          <t>NYBRO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46286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46286</v>
      </c>
      <c r="F295" t="inlineStr">
        <is>
          <t>KALMAR LÄN</t>
        </is>
      </c>
      <c r="G295" t="inlineStr">
        <is>
          <t>NYBRO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45849</v>
      </c>
      <c r="E296" s="1" t="n">
        <v>46286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46286</v>
      </c>
      <c r="F297" t="inlineStr">
        <is>
          <t>KALMAR LÄN</t>
        </is>
      </c>
      <c r="G297" t="inlineStr">
        <is>
          <t>NYBRO</t>
        </is>
      </c>
      <c r="H297" t="inlineStr">
        <is>
          <t>Kyrkan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46286</v>
      </c>
      <c r="F298" t="inlineStr">
        <is>
          <t>KALMAR LÄN</t>
        </is>
      </c>
      <c r="G298" t="inlineStr">
        <is>
          <t>NYBRO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45191</v>
      </c>
      <c r="E299" s="1" t="n">
        <v>46286</v>
      </c>
      <c r="F299" t="inlineStr">
        <is>
          <t>KALMAR LÄN</t>
        </is>
      </c>
      <c r="G299" t="inlineStr">
        <is>
          <t>NYBRO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46286</v>
      </c>
      <c r="F300" t="inlineStr">
        <is>
          <t>KALMAR LÄN</t>
        </is>
      </c>
      <c r="G300" t="inlineStr">
        <is>
          <t>NYBRO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46286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46286</v>
      </c>
      <c r="F302" t="inlineStr">
        <is>
          <t>KALMAR LÄN</t>
        </is>
      </c>
      <c r="G302" t="inlineStr">
        <is>
          <t>NYBRO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46286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46286</v>
      </c>
      <c r="F304" t="inlineStr">
        <is>
          <t>KALMAR LÄN</t>
        </is>
      </c>
      <c r="G304" t="inlineStr">
        <is>
          <t>NYBRO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46286</v>
      </c>
      <c r="F305" t="inlineStr">
        <is>
          <t>KALMAR LÄN</t>
        </is>
      </c>
      <c r="G305" t="inlineStr">
        <is>
          <t>NYBRO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46286</v>
      </c>
      <c r="F306" t="inlineStr">
        <is>
          <t>KALMAR LÄN</t>
        </is>
      </c>
      <c r="G306" t="inlineStr">
        <is>
          <t>NYBRO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46286</v>
      </c>
      <c r="F307" t="inlineStr">
        <is>
          <t>KALMAR LÄN</t>
        </is>
      </c>
      <c r="G307" t="inlineStr">
        <is>
          <t>NYBRO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46286</v>
      </c>
      <c r="F308" t="inlineStr">
        <is>
          <t>KALMAR LÄN</t>
        </is>
      </c>
      <c r="G308" t="inlineStr">
        <is>
          <t>NYBRO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46286</v>
      </c>
      <c r="F309" t="inlineStr">
        <is>
          <t>KALMAR LÄN</t>
        </is>
      </c>
      <c r="G309" t="inlineStr">
        <is>
          <t>NYBRO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46286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46286</v>
      </c>
      <c r="F311" t="inlineStr">
        <is>
          <t>KALMAR LÄN</t>
        </is>
      </c>
      <c r="G311" t="inlineStr">
        <is>
          <t>NYBRO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46286</v>
      </c>
      <c r="F312" t="inlineStr">
        <is>
          <t>KALMAR LÄN</t>
        </is>
      </c>
      <c r="G312" t="inlineStr">
        <is>
          <t>NYBRO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46286</v>
      </c>
      <c r="F313" t="inlineStr">
        <is>
          <t>KALMAR LÄN</t>
        </is>
      </c>
      <c r="G313" t="inlineStr">
        <is>
          <t>NYBRO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46286</v>
      </c>
      <c r="F314" t="inlineStr">
        <is>
          <t>KALMAR LÄN</t>
        </is>
      </c>
      <c r="G314" t="inlineStr">
        <is>
          <t>NYBRO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44819</v>
      </c>
      <c r="E315" s="1" t="n">
        <v>46286</v>
      </c>
      <c r="F315" t="inlineStr">
        <is>
          <t>KALMAR LÄN</t>
        </is>
      </c>
      <c r="G315" t="inlineStr">
        <is>
          <t>NYBRO</t>
        </is>
      </c>
      <c r="H315" t="inlineStr">
        <is>
          <t>Kommuner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44609</v>
      </c>
      <c r="E316" s="1" t="n">
        <v>46286</v>
      </c>
      <c r="F316" t="inlineStr">
        <is>
          <t>KALMAR LÄN</t>
        </is>
      </c>
      <c r="G316" t="inlineStr">
        <is>
          <t>NYBRO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46286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46286</v>
      </c>
      <c r="F318" t="inlineStr">
        <is>
          <t>KALMAR LÄN</t>
        </is>
      </c>
      <c r="G318" t="inlineStr">
        <is>
          <t>NYBRO</t>
        </is>
      </c>
      <c r="I318" t="n">
        <v>13.2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46286</v>
      </c>
      <c r="F319" t="inlineStr">
        <is>
          <t>KALMAR LÄN</t>
        </is>
      </c>
      <c r="G319" t="inlineStr">
        <is>
          <t>NYBRO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68345-2021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44528</v>
      </c>
      <c r="E320" s="1" t="n">
        <v>46286</v>
      </c>
      <c r="F320" t="inlineStr">
        <is>
          <t>KALMAR LÄN</t>
        </is>
      </c>
      <c r="G320" t="inlineStr">
        <is>
          <t>NYBRO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46286</v>
      </c>
      <c r="F321" t="inlineStr">
        <is>
          <t>KALMAR LÄN</t>
        </is>
      </c>
      <c r="G321" t="inlineStr">
        <is>
          <t>NYBRO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45791</v>
      </c>
      <c r="E322" s="1" t="n">
        <v>46286</v>
      </c>
      <c r="F322" t="inlineStr">
        <is>
          <t>KALMAR LÄN</t>
        </is>
      </c>
      <c r="G322" t="inlineStr">
        <is>
          <t>NYBRO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46286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46286</v>
      </c>
      <c r="F324" t="inlineStr">
        <is>
          <t>KALMAR LÄN</t>
        </is>
      </c>
      <c r="G324" t="inlineStr">
        <is>
          <t>NYBRO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46286</v>
      </c>
      <c r="F325" t="inlineStr">
        <is>
          <t>KALMAR LÄN</t>
        </is>
      </c>
      <c r="G325" t="inlineStr">
        <is>
          <t>NYBRO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54512-2023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45233</v>
      </c>
      <c r="E326" s="1" t="n">
        <v>46286</v>
      </c>
      <c r="F326" t="inlineStr">
        <is>
          <t>KALMAR LÄN</t>
        </is>
      </c>
      <c r="G326" t="inlineStr">
        <is>
          <t>NYBRO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44505</v>
      </c>
      <c r="E327" s="1" t="n">
        <v>46286</v>
      </c>
      <c r="F327" t="inlineStr">
        <is>
          <t>KALMAR LÄN</t>
        </is>
      </c>
      <c r="G327" t="inlineStr">
        <is>
          <t>NYBRO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46286</v>
      </c>
      <c r="F328" t="inlineStr">
        <is>
          <t>KALMAR LÄN</t>
        </is>
      </c>
      <c r="G328" t="inlineStr">
        <is>
          <t>NYBRO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46286</v>
      </c>
      <c r="F329" t="inlineStr">
        <is>
          <t>KALMAR LÄN</t>
        </is>
      </c>
      <c r="G329" t="inlineStr">
        <is>
          <t>NYBRO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46286</v>
      </c>
      <c r="F330" t="inlineStr">
        <is>
          <t>KALMAR LÄN</t>
        </is>
      </c>
      <c r="G330" t="inlineStr">
        <is>
          <t>NYBRO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46286</v>
      </c>
      <c r="F331" t="inlineStr">
        <is>
          <t>KALMAR LÄN</t>
        </is>
      </c>
      <c r="G331" t="inlineStr">
        <is>
          <t>NYBRO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46286</v>
      </c>
      <c r="F332" t="inlineStr">
        <is>
          <t>KALMAR LÄN</t>
        </is>
      </c>
      <c r="G332" t="inlineStr">
        <is>
          <t>NYBRO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46286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45577</v>
      </c>
      <c r="E334" s="1" t="n">
        <v>46286</v>
      </c>
      <c r="F334" t="inlineStr">
        <is>
          <t>KALMAR LÄN</t>
        </is>
      </c>
      <c r="G334" t="inlineStr">
        <is>
          <t>NYBRO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45478</v>
      </c>
      <c r="E335" s="1" t="n">
        <v>46286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45342</v>
      </c>
      <c r="E336" s="1" t="n">
        <v>46286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45169</v>
      </c>
      <c r="E337" s="1" t="n">
        <v>46286</v>
      </c>
      <c r="F337" t="inlineStr">
        <is>
          <t>KALMAR LÄN</t>
        </is>
      </c>
      <c r="G337" t="inlineStr">
        <is>
          <t>NYBRO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46286</v>
      </c>
      <c r="F338" t="inlineStr">
        <is>
          <t>KALMAR LÄN</t>
        </is>
      </c>
      <c r="G338" t="inlineStr">
        <is>
          <t>NYBRO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45859</v>
      </c>
      <c r="E339" s="1" t="n">
        <v>46286</v>
      </c>
      <c r="F339" t="inlineStr">
        <is>
          <t>KALMAR LÄN</t>
        </is>
      </c>
      <c r="G339" t="inlineStr">
        <is>
          <t>NYBRO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46286</v>
      </c>
      <c r="F340" t="inlineStr">
        <is>
          <t>KALMAR LÄN</t>
        </is>
      </c>
      <c r="G340" t="inlineStr">
        <is>
          <t>NYBRO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46286</v>
      </c>
      <c r="F341" t="inlineStr">
        <is>
          <t>KALMAR LÄN</t>
        </is>
      </c>
      <c r="G341" t="inlineStr">
        <is>
          <t>NYBRO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45914</v>
      </c>
      <c r="E342" s="1" t="n">
        <v>46286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45213</v>
      </c>
      <c r="E343" s="1" t="n">
        <v>46286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51082-2022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46286</v>
      </c>
      <c r="F344" t="inlineStr">
        <is>
          <t>KALMAR LÄN</t>
        </is>
      </c>
      <c r="G344" t="inlineStr">
        <is>
          <t>NYBRO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46286</v>
      </c>
      <c r="F345" t="inlineStr">
        <is>
          <t>KALMAR LÄN</t>
        </is>
      </c>
      <c r="G345" t="inlineStr">
        <is>
          <t>NYBRO</t>
        </is>
      </c>
      <c r="H345" t="inlineStr">
        <is>
          <t>Kyrkan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46286</v>
      </c>
      <c r="F346" t="inlineStr">
        <is>
          <t>KALMAR LÄN</t>
        </is>
      </c>
      <c r="G346" t="inlineStr">
        <is>
          <t>NYBRO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45894</v>
      </c>
      <c r="E347" s="1" t="n">
        <v>46286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46286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45135</v>
      </c>
      <c r="E349" s="1" t="n">
        <v>46286</v>
      </c>
      <c r="F349" t="inlineStr">
        <is>
          <t>KALMAR LÄN</t>
        </is>
      </c>
      <c r="G349" t="inlineStr">
        <is>
          <t>NYBRO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46286</v>
      </c>
      <c r="F350" t="inlineStr">
        <is>
          <t>KALMAR LÄN</t>
        </is>
      </c>
      <c r="G350" t="inlineStr">
        <is>
          <t>NYBRO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44945</v>
      </c>
      <c r="E351" s="1" t="n">
        <v>46286</v>
      </c>
      <c r="F351" t="inlineStr">
        <is>
          <t>KALMAR LÄN</t>
        </is>
      </c>
      <c r="G351" t="inlineStr">
        <is>
          <t>NYBRO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46286</v>
      </c>
      <c r="F352" t="inlineStr">
        <is>
          <t>KALMAR LÄN</t>
        </is>
      </c>
      <c r="G352" t="inlineStr">
        <is>
          <t>NYBRO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44982</v>
      </c>
      <c r="E353" s="1" t="n">
        <v>46286</v>
      </c>
      <c r="F353" t="inlineStr">
        <is>
          <t>KALMAR LÄN</t>
        </is>
      </c>
      <c r="G353" t="inlineStr">
        <is>
          <t>NYBRO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46286</v>
      </c>
      <c r="F354" t="inlineStr">
        <is>
          <t>KALMAR LÄN</t>
        </is>
      </c>
      <c r="G354" t="inlineStr">
        <is>
          <t>NYBRO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46286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45951</v>
      </c>
      <c r="E356" s="1" t="n">
        <v>46286</v>
      </c>
      <c r="F356" t="inlineStr">
        <is>
          <t>KALMAR LÄN</t>
        </is>
      </c>
      <c r="G356" t="inlineStr">
        <is>
          <t>NYBRO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45862</v>
      </c>
      <c r="E357" s="1" t="n">
        <v>46286</v>
      </c>
      <c r="F357" t="inlineStr">
        <is>
          <t>KALMAR LÄN</t>
        </is>
      </c>
      <c r="G357" t="inlineStr">
        <is>
          <t>NYBRO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46286</v>
      </c>
      <c r="F358" t="inlineStr">
        <is>
          <t>KALMAR LÄN</t>
        </is>
      </c>
      <c r="G358" t="inlineStr">
        <is>
          <t>NYBRO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46286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46286</v>
      </c>
      <c r="F360" t="inlineStr">
        <is>
          <t>KALMAR LÄN</t>
        </is>
      </c>
      <c r="G360" t="inlineStr">
        <is>
          <t>NYBRO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45852</v>
      </c>
      <c r="E361" s="1" t="n">
        <v>46286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46286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44811</v>
      </c>
      <c r="E363" s="1" t="n">
        <v>46286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46286</v>
      </c>
      <c r="F364" t="inlineStr">
        <is>
          <t>KALMAR LÄN</t>
        </is>
      </c>
      <c r="G364" t="inlineStr">
        <is>
          <t>NYBRO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46286</v>
      </c>
      <c r="F365" t="inlineStr">
        <is>
          <t>KALMAR LÄN</t>
        </is>
      </c>
      <c r="G365" t="inlineStr">
        <is>
          <t>NYBRO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46286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45534</v>
      </c>
      <c r="E367" s="1" t="n">
        <v>46286</v>
      </c>
      <c r="F367" t="inlineStr">
        <is>
          <t>KALMAR LÄN</t>
        </is>
      </c>
      <c r="G367" t="inlineStr">
        <is>
          <t>NYBRO</t>
        </is>
      </c>
      <c r="I367" t="n">
        <v>13.2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46286</v>
      </c>
      <c r="F368" t="inlineStr">
        <is>
          <t>KALMAR LÄN</t>
        </is>
      </c>
      <c r="G368" t="inlineStr">
        <is>
          <t>NYBRO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46286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46286</v>
      </c>
      <c r="F370" t="inlineStr">
        <is>
          <t>KALMAR LÄN</t>
        </is>
      </c>
      <c r="G370" t="inlineStr">
        <is>
          <t>NYBRO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45216</v>
      </c>
      <c r="E371" s="1" t="n">
        <v>46286</v>
      </c>
      <c r="F371" t="inlineStr">
        <is>
          <t>KALMAR LÄN</t>
        </is>
      </c>
      <c r="G371" t="inlineStr">
        <is>
          <t>NYBRO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46286</v>
      </c>
      <c r="F372" t="inlineStr">
        <is>
          <t>KALMAR LÄN</t>
        </is>
      </c>
      <c r="G372" t="inlineStr">
        <is>
          <t>NYBRO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46286</v>
      </c>
      <c r="F373" t="inlineStr">
        <is>
          <t>KALMAR LÄN</t>
        </is>
      </c>
      <c r="G373" t="inlineStr">
        <is>
          <t>NYBRO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46286</v>
      </c>
      <c r="F374" t="inlineStr">
        <is>
          <t>KALMAR LÄN</t>
        </is>
      </c>
      <c r="G374" t="inlineStr">
        <is>
          <t>NYBRO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46286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45069</v>
      </c>
      <c r="E376" s="1" t="n">
        <v>46286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45679</v>
      </c>
      <c r="E377" s="1" t="n">
        <v>46286</v>
      </c>
      <c r="F377" t="inlineStr">
        <is>
          <t>KALMAR LÄN</t>
        </is>
      </c>
      <c r="G377" t="inlineStr">
        <is>
          <t>NYBRO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44973</v>
      </c>
      <c r="E378" s="1" t="n">
        <v>46286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46286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44684</v>
      </c>
      <c r="E380" s="1" t="n">
        <v>46286</v>
      </c>
      <c r="F380" t="inlineStr">
        <is>
          <t>KALMAR LÄN</t>
        </is>
      </c>
      <c r="G380" t="inlineStr">
        <is>
          <t>NYBRO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44974</v>
      </c>
      <c r="E381" s="1" t="n">
        <v>46286</v>
      </c>
      <c r="F381" t="inlineStr">
        <is>
          <t>KALMAR LÄN</t>
        </is>
      </c>
      <c r="G381" t="inlineStr">
        <is>
          <t>NYBRO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45057</v>
      </c>
      <c r="E382" s="1" t="n">
        <v>46286</v>
      </c>
      <c r="F382" t="inlineStr">
        <is>
          <t>KALMAR LÄN</t>
        </is>
      </c>
      <c r="G382" t="inlineStr">
        <is>
          <t>NYBRO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45057</v>
      </c>
      <c r="E383" s="1" t="n">
        <v>46286</v>
      </c>
      <c r="F383" t="inlineStr">
        <is>
          <t>KALMAR LÄN</t>
        </is>
      </c>
      <c r="G383" t="inlineStr">
        <is>
          <t>NYBRO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46286</v>
      </c>
      <c r="F384" t="inlineStr">
        <is>
          <t>KALMAR LÄN</t>
        </is>
      </c>
      <c r="G384" t="inlineStr">
        <is>
          <t>NYBRO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46286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46286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45606</v>
      </c>
      <c r="E387" s="1" t="n">
        <v>46286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46286</v>
      </c>
      <c r="F388" t="inlineStr">
        <is>
          <t>KALMAR LÄN</t>
        </is>
      </c>
      <c r="G388" t="inlineStr">
        <is>
          <t>NYBRO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46286</v>
      </c>
      <c r="F389" t="inlineStr">
        <is>
          <t>KALMAR LÄN</t>
        </is>
      </c>
      <c r="G389" t="inlineStr">
        <is>
          <t>NYBRO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41161-2023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46286</v>
      </c>
      <c r="F390" t="inlineStr">
        <is>
          <t>KALMAR LÄN</t>
        </is>
      </c>
      <c r="G390" t="inlineStr">
        <is>
          <t>NYBRO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45385</v>
      </c>
      <c r="E391" s="1" t="n">
        <v>46286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45011</v>
      </c>
      <c r="E392" s="1" t="n">
        <v>46286</v>
      </c>
      <c r="F392" t="inlineStr">
        <is>
          <t>KALMAR LÄN</t>
        </is>
      </c>
      <c r="G392" t="inlineStr">
        <is>
          <t>NYBRO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44645</v>
      </c>
      <c r="E393" s="1" t="n">
        <v>46286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46286</v>
      </c>
      <c r="F394" t="inlineStr">
        <is>
          <t>KALMAR LÄN</t>
        </is>
      </c>
      <c r="G394" t="inlineStr">
        <is>
          <t>NYBRO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46286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52133-2021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44462</v>
      </c>
      <c r="E396" s="1" t="n">
        <v>46286</v>
      </c>
      <c r="F396" t="inlineStr">
        <is>
          <t>KALMAR LÄN</t>
        </is>
      </c>
      <c r="G396" t="inlineStr">
        <is>
          <t>NYBRO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52135-2021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44463</v>
      </c>
      <c r="E397" s="1" t="n">
        <v>46286</v>
      </c>
      <c r="F397" t="inlineStr">
        <is>
          <t>KALMAR LÄN</t>
        </is>
      </c>
      <c r="G397" t="inlineStr">
        <is>
          <t>NYBRO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46286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46286</v>
      </c>
      <c r="F399" t="inlineStr">
        <is>
          <t>KALMAR LÄN</t>
        </is>
      </c>
      <c r="G399" t="inlineStr">
        <is>
          <t>NYBRO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45055</v>
      </c>
      <c r="E400" s="1" t="n">
        <v>46286</v>
      </c>
      <c r="F400" t="inlineStr">
        <is>
          <t>KALMAR LÄN</t>
        </is>
      </c>
      <c r="G400" t="inlineStr">
        <is>
          <t>NYBRO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46286</v>
      </c>
      <c r="F401" t="inlineStr">
        <is>
          <t>KALMAR LÄN</t>
        </is>
      </c>
      <c r="G401" t="inlineStr">
        <is>
          <t>NYBRO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46286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46286</v>
      </c>
      <c r="F403" t="inlineStr">
        <is>
          <t>KALMAR LÄN</t>
        </is>
      </c>
      <c r="G403" t="inlineStr">
        <is>
          <t>NYBRO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45253</v>
      </c>
      <c r="E404" s="1" t="n">
        <v>46286</v>
      </c>
      <c r="F404" t="inlineStr">
        <is>
          <t>KALMAR LÄN</t>
        </is>
      </c>
      <c r="G404" t="inlineStr">
        <is>
          <t>NYBRO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45411</v>
      </c>
      <c r="E405" s="1" t="n">
        <v>46286</v>
      </c>
      <c r="F405" t="inlineStr">
        <is>
          <t>KALMAR LÄN</t>
        </is>
      </c>
      <c r="G405" t="inlineStr">
        <is>
          <t>NYBRO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45074-2023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46286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49338-2025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45938</v>
      </c>
      <c r="E407" s="1" t="n">
        <v>46286</v>
      </c>
      <c r="F407" t="inlineStr">
        <is>
          <t>KALMAR LÄN</t>
        </is>
      </c>
      <c r="G407" t="inlineStr">
        <is>
          <t>NYBRO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46286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45649</v>
      </c>
      <c r="E409" s="1" t="n">
        <v>46286</v>
      </c>
      <c r="F409" t="inlineStr">
        <is>
          <t>KALMAR LÄN</t>
        </is>
      </c>
      <c r="G409" t="inlineStr">
        <is>
          <t>NYBRO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45649</v>
      </c>
      <c r="E410" s="1" t="n">
        <v>46286</v>
      </c>
      <c r="F410" t="inlineStr">
        <is>
          <t>KALMAR LÄN</t>
        </is>
      </c>
      <c r="G410" t="inlineStr">
        <is>
          <t>NYBRO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46286</v>
      </c>
      <c r="F411" t="inlineStr">
        <is>
          <t>KALMAR LÄN</t>
        </is>
      </c>
      <c r="G411" t="inlineStr">
        <is>
          <t>NYBRO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46286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46286</v>
      </c>
      <c r="F413" t="inlineStr">
        <is>
          <t>KALMAR LÄN</t>
        </is>
      </c>
      <c r="G413" t="inlineStr">
        <is>
          <t>NYBRO</t>
        </is>
      </c>
      <c r="H413" t="inlineStr">
        <is>
          <t>Kommuner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46286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46286</v>
      </c>
      <c r="F415" t="inlineStr">
        <is>
          <t>KALMAR LÄN</t>
        </is>
      </c>
      <c r="G415" t="inlineStr">
        <is>
          <t>NYBRO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50202-2025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46286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41679-2024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45560</v>
      </c>
      <c r="E417" s="1" t="n">
        <v>46286</v>
      </c>
      <c r="F417" t="inlineStr">
        <is>
          <t>KALMAR LÄN</t>
        </is>
      </c>
      <c r="G417" t="inlineStr">
        <is>
          <t>NYBRO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44867</v>
      </c>
      <c r="E418" s="1" t="n">
        <v>46286</v>
      </c>
      <c r="F418" t="inlineStr">
        <is>
          <t>KALMAR LÄN</t>
        </is>
      </c>
      <c r="G418" t="inlineStr">
        <is>
          <t>NYBRO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46286</v>
      </c>
      <c r="F419" t="inlineStr">
        <is>
          <t>KALMAR LÄN</t>
        </is>
      </c>
      <c r="G419" t="inlineStr">
        <is>
          <t>NYBRO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64453-2023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45280</v>
      </c>
      <c r="E420" s="1" t="n">
        <v>46286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44580</v>
      </c>
      <c r="E421" s="1" t="n">
        <v>46286</v>
      </c>
      <c r="F421" t="inlineStr">
        <is>
          <t>KALMAR LÄN</t>
        </is>
      </c>
      <c r="G421" t="inlineStr">
        <is>
          <t>NYBRO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46286</v>
      </c>
      <c r="F422" t="inlineStr">
        <is>
          <t>KALMAR LÄN</t>
        </is>
      </c>
      <c r="G422" t="inlineStr">
        <is>
          <t>NYBRO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46286</v>
      </c>
      <c r="F423" t="inlineStr">
        <is>
          <t>KALMAR LÄN</t>
        </is>
      </c>
      <c r="G423" t="inlineStr">
        <is>
          <t>NYBRO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48467-2024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45591</v>
      </c>
      <c r="E424" s="1" t="n">
        <v>46286</v>
      </c>
      <c r="F424" t="inlineStr">
        <is>
          <t>KALMAR LÄN</t>
        </is>
      </c>
      <c r="G424" t="inlineStr">
        <is>
          <t>NYBRO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18571-2023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45043</v>
      </c>
      <c r="E425" s="1" t="n">
        <v>46286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45616</v>
      </c>
      <c r="E426" s="1" t="n">
        <v>46286</v>
      </c>
      <c r="F426" t="inlineStr">
        <is>
          <t>KALMAR LÄN</t>
        </is>
      </c>
      <c r="G426" t="inlineStr">
        <is>
          <t>NYBRO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45426</v>
      </c>
      <c r="E427" s="1" t="n">
        <v>46286</v>
      </c>
      <c r="F427" t="inlineStr">
        <is>
          <t>KALMAR LÄN</t>
        </is>
      </c>
      <c r="G427" t="inlineStr">
        <is>
          <t>NYBRO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45050</v>
      </c>
      <c r="E428" s="1" t="n">
        <v>46286</v>
      </c>
      <c r="F428" t="inlineStr">
        <is>
          <t>KALMAR LÄN</t>
        </is>
      </c>
      <c r="G428" t="inlineStr">
        <is>
          <t>NYBRO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45330</v>
      </c>
      <c r="E429" s="1" t="n">
        <v>46286</v>
      </c>
      <c r="F429" t="inlineStr">
        <is>
          <t>KALMAR LÄN</t>
        </is>
      </c>
      <c r="G429" t="inlineStr">
        <is>
          <t>NYBRO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46286</v>
      </c>
      <c r="F430" t="inlineStr">
        <is>
          <t>KALMAR LÄN</t>
        </is>
      </c>
      <c r="G430" t="inlineStr">
        <is>
          <t>NYBRO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46286</v>
      </c>
      <c r="F431" t="inlineStr">
        <is>
          <t>KALMAR LÄN</t>
        </is>
      </c>
      <c r="G431" t="inlineStr">
        <is>
          <t>NYBRO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19451-2022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44693</v>
      </c>
      <c r="E432" s="1" t="n">
        <v>46286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26715-2022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46286</v>
      </c>
      <c r="F433" t="inlineStr">
        <is>
          <t>KALMAR LÄN</t>
        </is>
      </c>
      <c r="G433" t="inlineStr">
        <is>
          <t>NYBRO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46286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59689-2021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44494</v>
      </c>
      <c r="E435" s="1" t="n">
        <v>46286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46286</v>
      </c>
      <c r="F436" t="inlineStr">
        <is>
          <t>KALMAR LÄN</t>
        </is>
      </c>
      <c r="G436" t="inlineStr">
        <is>
          <t>NYBRO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46286</v>
      </c>
      <c r="F437" t="inlineStr">
        <is>
          <t>KALMAR LÄN</t>
        </is>
      </c>
      <c r="G437" t="inlineStr">
        <is>
          <t>NYBRO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46286</v>
      </c>
      <c r="F438" t="inlineStr">
        <is>
          <t>KALMAR LÄN</t>
        </is>
      </c>
      <c r="G438" t="inlineStr">
        <is>
          <t>NYBRO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45958</v>
      </c>
      <c r="E439" s="1" t="n">
        <v>46286</v>
      </c>
      <c r="F439" t="inlineStr">
        <is>
          <t>KALMAR LÄN</t>
        </is>
      </c>
      <c r="G439" t="inlineStr">
        <is>
          <t>NYBRO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46286</v>
      </c>
      <c r="F440" t="inlineStr">
        <is>
          <t>KALMAR LÄN</t>
        </is>
      </c>
      <c r="G440" t="inlineStr">
        <is>
          <t>NYBRO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44586</v>
      </c>
      <c r="E441" s="1" t="n">
        <v>46286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45958</v>
      </c>
      <c r="E442" s="1" t="n">
        <v>46286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46286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46286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44798</v>
      </c>
      <c r="E445" s="1" t="n">
        <v>46286</v>
      </c>
      <c r="F445" t="inlineStr">
        <is>
          <t>KALMAR LÄN</t>
        </is>
      </c>
      <c r="G445" t="inlineStr">
        <is>
          <t>NYBRO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45733</v>
      </c>
      <c r="E446" s="1" t="n">
        <v>46286</v>
      </c>
      <c r="F446" t="inlineStr">
        <is>
          <t>KALMAR LÄN</t>
        </is>
      </c>
      <c r="G446" t="inlineStr">
        <is>
          <t>NYBRO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46286</v>
      </c>
      <c r="F447" t="inlineStr">
        <is>
          <t>KALMAR LÄN</t>
        </is>
      </c>
      <c r="G447" t="inlineStr">
        <is>
          <t>NYBRO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44977</v>
      </c>
      <c r="E448" s="1" t="n">
        <v>46286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45035</v>
      </c>
      <c r="E449" s="1" t="n">
        <v>46286</v>
      </c>
      <c r="F449" t="inlineStr">
        <is>
          <t>KALMAR LÄN</t>
        </is>
      </c>
      <c r="G449" t="inlineStr">
        <is>
          <t>NYBRO</t>
        </is>
      </c>
      <c r="I449" t="n">
        <v>15.1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46286</v>
      </c>
      <c r="F450" t="inlineStr">
        <is>
          <t>KALMAR LÄN</t>
        </is>
      </c>
      <c r="G450" t="inlineStr">
        <is>
          <t>NYBRO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45090</v>
      </c>
      <c r="E451" s="1" t="n">
        <v>46286</v>
      </c>
      <c r="F451" t="inlineStr">
        <is>
          <t>KALMAR LÄN</t>
        </is>
      </c>
      <c r="G451" t="inlineStr">
        <is>
          <t>NYBRO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10114-2022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44621</v>
      </c>
      <c r="E452" s="1" t="n">
        <v>46286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46286</v>
      </c>
      <c r="F453" t="inlineStr">
        <is>
          <t>KALMAR LÄN</t>
        </is>
      </c>
      <c r="G453" t="inlineStr">
        <is>
          <t>NYBRO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46286</v>
      </c>
      <c r="F454" t="inlineStr">
        <is>
          <t>KALMAR LÄN</t>
        </is>
      </c>
      <c r="G454" t="inlineStr">
        <is>
          <t>NYBRO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36247-2022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44803</v>
      </c>
      <c r="E455" s="1" t="n">
        <v>46286</v>
      </c>
      <c r="F455" t="inlineStr">
        <is>
          <t>KALMAR LÄN</t>
        </is>
      </c>
      <c r="G455" t="inlineStr">
        <is>
          <t>NYBRO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46286</v>
      </c>
      <c r="F456" t="inlineStr">
        <is>
          <t>KALMAR LÄN</t>
        </is>
      </c>
      <c r="G456" t="inlineStr">
        <is>
          <t>NYBRO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59054-2022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46286</v>
      </c>
      <c r="F457" t="inlineStr">
        <is>
          <t>KALMAR LÄN</t>
        </is>
      </c>
      <c r="G457" t="inlineStr">
        <is>
          <t>NYBRO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41674-2024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45560</v>
      </c>
      <c r="E458" s="1" t="n">
        <v>46286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46286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45763</v>
      </c>
      <c r="E460" s="1" t="n">
        <v>46286</v>
      </c>
      <c r="F460" t="inlineStr">
        <is>
          <t>KALMAR LÄN</t>
        </is>
      </c>
      <c r="G460" t="inlineStr">
        <is>
          <t>NYBRO</t>
        </is>
      </c>
      <c r="I460" t="n">
        <v>30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46282-2023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45197</v>
      </c>
      <c r="E461" s="1" t="n">
        <v>46286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46286</v>
      </c>
      <c r="F462" t="inlineStr">
        <is>
          <t>KALMAR LÄN</t>
        </is>
      </c>
      <c r="G462" t="inlineStr">
        <is>
          <t>NYBRO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28728-2024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45478</v>
      </c>
      <c r="E463" s="1" t="n">
        <v>46286</v>
      </c>
      <c r="F463" t="inlineStr">
        <is>
          <t>KALMAR LÄN</t>
        </is>
      </c>
      <c r="G463" t="inlineStr">
        <is>
          <t>NYBRO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46286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44939</v>
      </c>
      <c r="E465" s="1" t="n">
        <v>46286</v>
      </c>
      <c r="F465" t="inlineStr">
        <is>
          <t>KALMAR LÄN</t>
        </is>
      </c>
      <c r="G465" t="inlineStr">
        <is>
          <t>NYBRO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45980</v>
      </c>
      <c r="E466" s="1" t="n">
        <v>46286</v>
      </c>
      <c r="F466" t="inlineStr">
        <is>
          <t>KALMAR LÄN</t>
        </is>
      </c>
      <c r="G466" t="inlineStr">
        <is>
          <t>NYBRO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46286</v>
      </c>
      <c r="F467" t="inlineStr">
        <is>
          <t>KALMAR LÄN</t>
        </is>
      </c>
      <c r="G467" t="inlineStr">
        <is>
          <t>NYBRO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46286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46286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46286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46286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45079</v>
      </c>
      <c r="E472" s="1" t="n">
        <v>46286</v>
      </c>
      <c r="F472" t="inlineStr">
        <is>
          <t>KALMAR LÄN</t>
        </is>
      </c>
      <c r="G472" t="inlineStr">
        <is>
          <t>NYBRO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46286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45090</v>
      </c>
      <c r="E474" s="1" t="n">
        <v>46286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45756</v>
      </c>
      <c r="E475" s="1" t="n">
        <v>46286</v>
      </c>
      <c r="F475" t="inlineStr">
        <is>
          <t>KALMAR LÄN</t>
        </is>
      </c>
      <c r="G475" t="inlineStr">
        <is>
          <t>NYBRO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46286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46286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45987</v>
      </c>
      <c r="E478" s="1" t="n">
        <v>46286</v>
      </c>
      <c r="F478" t="inlineStr">
        <is>
          <t>KALMAR LÄN</t>
        </is>
      </c>
      <c r="G478" t="inlineStr">
        <is>
          <t>NYBRO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46286</v>
      </c>
      <c r="F479" t="inlineStr">
        <is>
          <t>KALMAR LÄN</t>
        </is>
      </c>
      <c r="G479" t="inlineStr">
        <is>
          <t>NYBRO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61136-2022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44908</v>
      </c>
      <c r="E480" s="1" t="n">
        <v>46286</v>
      </c>
      <c r="F480" t="inlineStr">
        <is>
          <t>KALMAR LÄN</t>
        </is>
      </c>
      <c r="G480" t="inlineStr">
        <is>
          <t>NYBRO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46286</v>
      </c>
      <c r="F481" t="inlineStr">
        <is>
          <t>KALMAR LÄN</t>
        </is>
      </c>
      <c r="G481" t="inlineStr">
        <is>
          <t>NYBRO</t>
        </is>
      </c>
      <c r="H481" t="inlineStr">
        <is>
          <t>Kyrkan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46286</v>
      </c>
      <c r="F482" t="inlineStr">
        <is>
          <t>KALMAR LÄN</t>
        </is>
      </c>
      <c r="G482" t="inlineStr">
        <is>
          <t>NYBRO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40193-2025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45894</v>
      </c>
      <c r="E483" s="1" t="n">
        <v>46286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46286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32542-2023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46286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45078</v>
      </c>
      <c r="E486" s="1" t="n">
        <v>46286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46286</v>
      </c>
      <c r="F487" t="inlineStr">
        <is>
          <t>KALMAR LÄN</t>
        </is>
      </c>
      <c r="G487" t="inlineStr">
        <is>
          <t>NYBRO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57980-2022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44900</v>
      </c>
      <c r="E488" s="1" t="n">
        <v>46286</v>
      </c>
      <c r="F488" t="inlineStr">
        <is>
          <t>KALMAR LÄN</t>
        </is>
      </c>
      <c r="G488" t="inlineStr">
        <is>
          <t>NYBRO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45072</v>
      </c>
      <c r="E489" s="1" t="n">
        <v>46286</v>
      </c>
      <c r="F489" t="inlineStr">
        <is>
          <t>KALMAR LÄN</t>
        </is>
      </c>
      <c r="G489" t="inlineStr">
        <is>
          <t>NYBRO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52367-2021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44465</v>
      </c>
      <c r="E490" s="1" t="n">
        <v>46286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22872-2026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46286</v>
      </c>
      <c r="F491" t="inlineStr">
        <is>
          <t>KALMAR LÄN</t>
        </is>
      </c>
      <c r="G491" t="inlineStr">
        <is>
          <t>NYBRO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46286</v>
      </c>
      <c r="F492" t="inlineStr">
        <is>
          <t>KALMAR LÄN</t>
        </is>
      </c>
      <c r="G492" t="inlineStr">
        <is>
          <t>NYBRO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46286</v>
      </c>
      <c r="F493" t="inlineStr">
        <is>
          <t>KALMAR LÄN</t>
        </is>
      </c>
      <c r="G493" t="inlineStr">
        <is>
          <t>NYBRO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18586-2025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45763</v>
      </c>
      <c r="E494" s="1" t="n">
        <v>46286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45477</v>
      </c>
      <c r="E495" s="1" t="n">
        <v>46286</v>
      </c>
      <c r="F495" t="inlineStr">
        <is>
          <t>KALMAR LÄN</t>
        </is>
      </c>
      <c r="G495" t="inlineStr">
        <is>
          <t>NYBRO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46286</v>
      </c>
      <c r="F496" t="inlineStr">
        <is>
          <t>KALMAR LÄN</t>
        </is>
      </c>
      <c r="G496" t="inlineStr">
        <is>
          <t>NYBRO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51081-2022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44868</v>
      </c>
      <c r="E497" s="1" t="n">
        <v>46286</v>
      </c>
      <c r="F497" t="inlineStr">
        <is>
          <t>KALMAR LÄN</t>
        </is>
      </c>
      <c r="G497" t="inlineStr">
        <is>
          <t>NYBRO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45728</v>
      </c>
      <c r="E498" s="1" t="n">
        <v>46286</v>
      </c>
      <c r="F498" t="inlineStr">
        <is>
          <t>KALMAR LÄN</t>
        </is>
      </c>
      <c r="G498" t="inlineStr">
        <is>
          <t>NYBRO</t>
        </is>
      </c>
      <c r="H498" t="inlineStr">
        <is>
          <t>Sveaskog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44866</v>
      </c>
      <c r="E499" s="1" t="n">
        <v>46286</v>
      </c>
      <c r="F499" t="inlineStr">
        <is>
          <t>KALMAR LÄN</t>
        </is>
      </c>
      <c r="G499" t="inlineStr">
        <is>
          <t>NYBRO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46286</v>
      </c>
      <c r="F500" t="inlineStr">
        <is>
          <t>KALMAR LÄN</t>
        </is>
      </c>
      <c r="G500" t="inlineStr">
        <is>
          <t>NYBRO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46286</v>
      </c>
      <c r="F501" t="inlineStr">
        <is>
          <t>KALMAR LÄN</t>
        </is>
      </c>
      <c r="G501" t="inlineStr">
        <is>
          <t>NYBRO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61074-2025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46286</v>
      </c>
      <c r="F502" t="inlineStr">
        <is>
          <t>KALMAR LÄN</t>
        </is>
      </c>
      <c r="G502" t="inlineStr">
        <is>
          <t>NYBRO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44779-2023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45190</v>
      </c>
      <c r="E503" s="1" t="n">
        <v>46286</v>
      </c>
      <c r="F503" t="inlineStr">
        <is>
          <t>KALMAR LÄN</t>
        </is>
      </c>
      <c r="G503" t="inlineStr">
        <is>
          <t>NYBRO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46286</v>
      </c>
      <c r="F504" t="inlineStr">
        <is>
          <t>KALMAR LÄN</t>
        </is>
      </c>
      <c r="G504" t="inlineStr">
        <is>
          <t>NYBRO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45369</v>
      </c>
      <c r="E505" s="1" t="n">
        <v>46286</v>
      </c>
      <c r="F505" t="inlineStr">
        <is>
          <t>KALMAR LÄN</t>
        </is>
      </c>
      <c r="G505" t="inlineStr">
        <is>
          <t>NYBRO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44957</v>
      </c>
      <c r="E506" s="1" t="n">
        <v>46286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46286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45695</v>
      </c>
      <c r="E508" s="1" t="n">
        <v>46286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46286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45552</v>
      </c>
      <c r="E510" s="1" t="n">
        <v>46286</v>
      </c>
      <c r="F510" t="inlineStr">
        <is>
          <t>KALMAR LÄN</t>
        </is>
      </c>
      <c r="G510" t="inlineStr">
        <is>
          <t>NYBRO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45149</v>
      </c>
      <c r="E511" s="1" t="n">
        <v>46286</v>
      </c>
      <c r="F511" t="inlineStr">
        <is>
          <t>KALMAR LÄN</t>
        </is>
      </c>
      <c r="G511" t="inlineStr">
        <is>
          <t>NYBRO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21388-2024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45440</v>
      </c>
      <c r="E512" s="1" t="n">
        <v>46286</v>
      </c>
      <c r="F512" t="inlineStr">
        <is>
          <t>KALMAR LÄN</t>
        </is>
      </c>
      <c r="G512" t="inlineStr">
        <is>
          <t>NYBRO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45082</v>
      </c>
      <c r="E513" s="1" t="n">
        <v>46286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44973</v>
      </c>
      <c r="E514" s="1" t="n">
        <v>46286</v>
      </c>
      <c r="F514" t="inlineStr">
        <is>
          <t>KALMAR LÄN</t>
        </is>
      </c>
      <c r="G514" t="inlineStr">
        <is>
          <t>NYBRO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46286</v>
      </c>
      <c r="F515" t="inlineStr">
        <is>
          <t>KALMAR LÄN</t>
        </is>
      </c>
      <c r="G515" t="inlineStr">
        <is>
          <t>NYBRO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45098</v>
      </c>
      <c r="E516" s="1" t="n">
        <v>46286</v>
      </c>
      <c r="F516" t="inlineStr">
        <is>
          <t>KALMAR LÄN</t>
        </is>
      </c>
      <c r="G516" t="inlineStr">
        <is>
          <t>NYBRO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46286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12407-2023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44999</v>
      </c>
      <c r="E518" s="1" t="n">
        <v>46286</v>
      </c>
      <c r="F518" t="inlineStr">
        <is>
          <t>KALMAR LÄN</t>
        </is>
      </c>
      <c r="G518" t="inlineStr">
        <is>
          <t>NYBRO</t>
        </is>
      </c>
      <c r="I518" t="n">
        <v>16.5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44801-2022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46286</v>
      </c>
      <c r="F519" t="inlineStr">
        <is>
          <t>KALMAR LÄN</t>
        </is>
      </c>
      <c r="G519" t="inlineStr">
        <is>
          <t>NYBRO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45121</v>
      </c>
      <c r="E520" s="1" t="n">
        <v>46286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44920-2024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45575</v>
      </c>
      <c r="E521" s="1" t="n">
        <v>46286</v>
      </c>
      <c r="F521" t="inlineStr">
        <is>
          <t>KALMAR LÄN</t>
        </is>
      </c>
      <c r="G521" t="inlineStr">
        <is>
          <t>NYBRO</t>
        </is>
      </c>
      <c r="I521" t="n">
        <v>8.199999999999999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46286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45022</v>
      </c>
      <c r="E523" s="1" t="n">
        <v>46286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45470</v>
      </c>
      <c r="E524" s="1" t="n">
        <v>46286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44959</v>
      </c>
      <c r="E525" s="1" t="n">
        <v>46286</v>
      </c>
      <c r="F525" t="inlineStr">
        <is>
          <t>KALMAR LÄN</t>
        </is>
      </c>
      <c r="G525" t="inlineStr">
        <is>
          <t>NYBRO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46286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46286</v>
      </c>
      <c r="F527" t="inlineStr">
        <is>
          <t>KALMAR LÄN</t>
        </is>
      </c>
      <c r="G527" t="inlineStr">
        <is>
          <t>NYBRO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46286</v>
      </c>
      <c r="F528" t="inlineStr">
        <is>
          <t>KALMAR LÄN</t>
        </is>
      </c>
      <c r="G528" t="inlineStr">
        <is>
          <t>NYBRO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44395-2022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46286</v>
      </c>
      <c r="F529" t="inlineStr">
        <is>
          <t>KALMAR LÄN</t>
        </is>
      </c>
      <c r="G529" t="inlineStr">
        <is>
          <t>NYBRO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45369</v>
      </c>
      <c r="E530" s="1" t="n">
        <v>46286</v>
      </c>
      <c r="F530" t="inlineStr">
        <is>
          <t>KALMAR LÄN</t>
        </is>
      </c>
      <c r="G530" t="inlineStr">
        <is>
          <t>NYBRO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46286</v>
      </c>
      <c r="F531" t="inlineStr">
        <is>
          <t>KALMAR LÄN</t>
        </is>
      </c>
      <c r="G531" t="inlineStr">
        <is>
          <t>NYBRO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25547-2024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46286</v>
      </c>
      <c r="F532" t="inlineStr">
        <is>
          <t>KALMAR LÄN</t>
        </is>
      </c>
      <c r="G532" t="inlineStr">
        <is>
          <t>NYBRO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46286</v>
      </c>
      <c r="F533" t="inlineStr">
        <is>
          <t>KALMAR LÄN</t>
        </is>
      </c>
      <c r="G533" t="inlineStr">
        <is>
          <t>NYBRO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46286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46286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46286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44746</v>
      </c>
      <c r="E537" s="1" t="n">
        <v>46286</v>
      </c>
      <c r="F537" t="inlineStr">
        <is>
          <t>KALMAR LÄN</t>
        </is>
      </c>
      <c r="G537" t="inlineStr">
        <is>
          <t>NYBRO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45439</v>
      </c>
      <c r="E538" s="1" t="n">
        <v>46286</v>
      </c>
      <c r="F538" t="inlineStr">
        <is>
          <t>KALMAR LÄN</t>
        </is>
      </c>
      <c r="G538" t="inlineStr">
        <is>
          <t>NYBRO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46286</v>
      </c>
      <c r="F539" t="inlineStr">
        <is>
          <t>KALMAR LÄN</t>
        </is>
      </c>
      <c r="G539" t="inlineStr">
        <is>
          <t>NYBRO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1535-2025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45670</v>
      </c>
      <c r="E540" s="1" t="n">
        <v>46286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46286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22429-2023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45070</v>
      </c>
      <c r="E542" s="1" t="n">
        <v>46286</v>
      </c>
      <c r="F542" t="inlineStr">
        <is>
          <t>KALMAR LÄN</t>
        </is>
      </c>
      <c r="G542" t="inlineStr">
        <is>
          <t>NYBRO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46286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54051-2022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44881</v>
      </c>
      <c r="E544" s="1" t="n">
        <v>46286</v>
      </c>
      <c r="F544" t="inlineStr">
        <is>
          <t>KALMAR LÄN</t>
        </is>
      </c>
      <c r="G544" t="inlineStr">
        <is>
          <t>NYBRO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46286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52311-2022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44873</v>
      </c>
      <c r="E546" s="1" t="n">
        <v>46286</v>
      </c>
      <c r="F546" t="inlineStr">
        <is>
          <t>KALMAR LÄN</t>
        </is>
      </c>
      <c r="G546" t="inlineStr">
        <is>
          <t>NYBRO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24689-2023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45084</v>
      </c>
      <c r="E547" s="1" t="n">
        <v>46286</v>
      </c>
      <c r="F547" t="inlineStr">
        <is>
          <t>KALMAR LÄN</t>
        </is>
      </c>
      <c r="G547" t="inlineStr">
        <is>
          <t>NYBRO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44973</v>
      </c>
      <c r="E548" s="1" t="n">
        <v>46286</v>
      </c>
      <c r="F548" t="inlineStr">
        <is>
          <t>KALMAR LÄN</t>
        </is>
      </c>
      <c r="G548" t="inlineStr">
        <is>
          <t>NYBRO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46286</v>
      </c>
      <c r="F549" t="inlineStr">
        <is>
          <t>KALMAR LÄN</t>
        </is>
      </c>
      <c r="G549" t="inlineStr">
        <is>
          <t>NYBRO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45336</v>
      </c>
      <c r="E550" s="1" t="n">
        <v>46286</v>
      </c>
      <c r="F550" t="inlineStr">
        <is>
          <t>KALMAR LÄN</t>
        </is>
      </c>
      <c r="G550" t="inlineStr">
        <is>
          <t>NYBRO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45412-2022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44844</v>
      </c>
      <c r="E551" s="1" t="n">
        <v>46286</v>
      </c>
      <c r="F551" t="inlineStr">
        <is>
          <t>KALMAR LÄN</t>
        </is>
      </c>
      <c r="G551" t="inlineStr">
        <is>
          <t>NYBRO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46286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46286</v>
      </c>
      <c r="F553" t="inlineStr">
        <is>
          <t>KALMAR LÄN</t>
        </is>
      </c>
      <c r="G553" t="inlineStr">
        <is>
          <t>NYBRO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46286</v>
      </c>
      <c r="F554" t="inlineStr">
        <is>
          <t>KALMAR LÄN</t>
        </is>
      </c>
      <c r="G554" t="inlineStr">
        <is>
          <t>NYBRO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45341</v>
      </c>
      <c r="E555" s="1" t="n">
        <v>46286</v>
      </c>
      <c r="F555" t="inlineStr">
        <is>
          <t>KALMAR LÄN</t>
        </is>
      </c>
      <c r="G555" t="inlineStr">
        <is>
          <t>NYBRO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45509</v>
      </c>
      <c r="E556" s="1" t="n">
        <v>46286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45510</v>
      </c>
      <c r="E557" s="1" t="n">
        <v>46286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46051</v>
      </c>
      <c r="E558" s="1" t="n">
        <v>46286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25143-2026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46175</v>
      </c>
      <c r="E559" s="1" t="n">
        <v>46286</v>
      </c>
      <c r="F559" t="inlineStr">
        <is>
          <t>KALMAR LÄN</t>
        </is>
      </c>
      <c r="G559" t="inlineStr">
        <is>
          <t>NYBRO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22488-2022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44713</v>
      </c>
      <c r="E560" s="1" t="n">
        <v>46286</v>
      </c>
      <c r="F560" t="inlineStr">
        <is>
          <t>KALMAR LÄN</t>
        </is>
      </c>
      <c r="G560" t="inlineStr">
        <is>
          <t>NYBRO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24614-2026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46169</v>
      </c>
      <c r="E561" s="1" t="n">
        <v>46286</v>
      </c>
      <c r="F561" t="inlineStr">
        <is>
          <t>KALMAR LÄN</t>
        </is>
      </c>
      <c r="G561" t="inlineStr">
        <is>
          <t>NYBRO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10630-2024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45367</v>
      </c>
      <c r="E562" s="1" t="n">
        <v>46286</v>
      </c>
      <c r="F562" t="inlineStr">
        <is>
          <t>KALMAR LÄN</t>
        </is>
      </c>
      <c r="G562" t="inlineStr">
        <is>
          <t>NYBRO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58551-2024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45635</v>
      </c>
      <c r="E563" s="1" t="n">
        <v>46286</v>
      </c>
      <c r="F563" t="inlineStr">
        <is>
          <t>KALMAR LÄN</t>
        </is>
      </c>
      <c r="G563" t="inlineStr">
        <is>
          <t>NYBRO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25717-2026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46178</v>
      </c>
      <c r="E564" s="1" t="n">
        <v>46286</v>
      </c>
      <c r="F564" t="inlineStr">
        <is>
          <t>KALMAR LÄN</t>
        </is>
      </c>
      <c r="G564" t="inlineStr">
        <is>
          <t>NYBRO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27873-2024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45475</v>
      </c>
      <c r="E565" s="1" t="n">
        <v>46286</v>
      </c>
      <c r="F565" t="inlineStr">
        <is>
          <t>KALMAR LÄN</t>
        </is>
      </c>
      <c r="G565" t="inlineStr">
        <is>
          <t>NYBRO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46286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40902-2022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44825</v>
      </c>
      <c r="E567" s="1" t="n">
        <v>46286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46286</v>
      </c>
      <c r="F568" t="inlineStr">
        <is>
          <t>KALMAR LÄN</t>
        </is>
      </c>
      <c r="G568" t="inlineStr">
        <is>
          <t>NYBRO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61060-2021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44497</v>
      </c>
      <c r="E569" s="1" t="n">
        <v>46286</v>
      </c>
      <c r="F569" t="inlineStr">
        <is>
          <t>KALMAR LÄN</t>
        </is>
      </c>
      <c r="G569" t="inlineStr">
        <is>
          <t>NYBRO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46286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45554</v>
      </c>
      <c r="E571" s="1" t="n">
        <v>46286</v>
      </c>
      <c r="F571" t="inlineStr">
        <is>
          <t>KALMAR LÄN</t>
        </is>
      </c>
      <c r="G571" t="inlineStr">
        <is>
          <t>NYBRO</t>
        </is>
      </c>
      <c r="H571" t="inlineStr">
        <is>
          <t>Kyrkan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46286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46286</v>
      </c>
      <c r="F573" t="inlineStr">
        <is>
          <t>KALMAR LÄN</t>
        </is>
      </c>
      <c r="G573" t="inlineStr">
        <is>
          <t>NYBRO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25714-2026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46286</v>
      </c>
      <c r="F574" t="inlineStr">
        <is>
          <t>KALMAR LÄN</t>
        </is>
      </c>
      <c r="G574" t="inlineStr">
        <is>
          <t>NYBRO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31612-2023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45117</v>
      </c>
      <c r="E575" s="1" t="n">
        <v>46286</v>
      </c>
      <c r="F575" t="inlineStr">
        <is>
          <t>KALMAR LÄN</t>
        </is>
      </c>
      <c r="G575" t="inlineStr">
        <is>
          <t>NYBRO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8697-2024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45356</v>
      </c>
      <c r="E576" s="1" t="n">
        <v>46286</v>
      </c>
      <c r="F576" t="inlineStr">
        <is>
          <t>KALMAR LÄN</t>
        </is>
      </c>
      <c r="G576" t="inlineStr">
        <is>
          <t>NYBRO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46286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41632-2023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45175</v>
      </c>
      <c r="E578" s="1" t="n">
        <v>46286</v>
      </c>
      <c r="F578" t="inlineStr">
        <is>
          <t>KALMAR LÄN</t>
        </is>
      </c>
      <c r="G578" t="inlineStr">
        <is>
          <t>NYBRO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44953</v>
      </c>
      <c r="E579" s="1" t="n">
        <v>46286</v>
      </c>
      <c r="F579" t="inlineStr">
        <is>
          <t>KALMAR LÄN</t>
        </is>
      </c>
      <c r="G579" t="inlineStr">
        <is>
          <t>NYBRO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46064</v>
      </c>
      <c r="E580" s="1" t="n">
        <v>46286</v>
      </c>
      <c r="F580" t="inlineStr">
        <is>
          <t>KALMAR LÄN</t>
        </is>
      </c>
      <c r="G580" t="inlineStr">
        <is>
          <t>NYBRO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45335</v>
      </c>
      <c r="E581" s="1" t="n">
        <v>46286</v>
      </c>
      <c r="F581" t="inlineStr">
        <is>
          <t>KALMAR LÄN</t>
        </is>
      </c>
      <c r="G581" t="inlineStr">
        <is>
          <t>NYBRO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45335</v>
      </c>
      <c r="E582" s="1" t="n">
        <v>46286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46069</v>
      </c>
      <c r="E583" s="1" t="n">
        <v>46286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45218</v>
      </c>
      <c r="E584" s="1" t="n">
        <v>46286</v>
      </c>
      <c r="F584" t="inlineStr">
        <is>
          <t>KALMAR LÄN</t>
        </is>
      </c>
      <c r="G584" t="inlineStr">
        <is>
          <t>NYBRO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46286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8883-2026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46067</v>
      </c>
      <c r="E586" s="1" t="n">
        <v>46286</v>
      </c>
      <c r="F586" t="inlineStr">
        <is>
          <t>KALMAR LÄN</t>
        </is>
      </c>
      <c r="G586" t="inlineStr">
        <is>
          <t>NYBRO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45093</v>
      </c>
      <c r="E587" s="1" t="n">
        <v>46286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23824-2023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45078</v>
      </c>
      <c r="E588" s="1" t="n">
        <v>46286</v>
      </c>
      <c r="F588" t="inlineStr">
        <is>
          <t>KALMAR LÄN</t>
        </is>
      </c>
      <c r="G588" t="inlineStr">
        <is>
          <t>NYBRO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44816</v>
      </c>
      <c r="E589" s="1" t="n">
        <v>46286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46286</v>
      </c>
      <c r="F590" t="inlineStr">
        <is>
          <t>KALMAR LÄN</t>
        </is>
      </c>
      <c r="G590" t="inlineStr">
        <is>
          <t>NYBRO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46286</v>
      </c>
      <c r="F591" t="inlineStr">
        <is>
          <t>KALMAR LÄN</t>
        </is>
      </c>
      <c r="G591" t="inlineStr">
        <is>
          <t>NYBRO</t>
        </is>
      </c>
      <c r="H591" t="inlineStr">
        <is>
          <t>Kommuner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45414</v>
      </c>
      <c r="E592" s="1" t="n">
        <v>46286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46286</v>
      </c>
      <c r="F593" t="inlineStr">
        <is>
          <t>KALMAR LÄN</t>
        </is>
      </c>
      <c r="G593" t="inlineStr">
        <is>
          <t>NYBRO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46286</v>
      </c>
      <c r="F594" t="inlineStr">
        <is>
          <t>KALMAR LÄN</t>
        </is>
      </c>
      <c r="G594" t="inlineStr">
        <is>
          <t>NYBRO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46286</v>
      </c>
      <c r="F595" t="inlineStr">
        <is>
          <t>KALMAR LÄN</t>
        </is>
      </c>
      <c r="G595" t="inlineStr">
        <is>
          <t>NYBRO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46286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44713</v>
      </c>
      <c r="E597" s="1" t="n">
        <v>46286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27115-2026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46184</v>
      </c>
      <c r="E598" s="1" t="n">
        <v>46286</v>
      </c>
      <c r="F598" t="inlineStr">
        <is>
          <t>KALMAR LÄN</t>
        </is>
      </c>
      <c r="G598" t="inlineStr">
        <is>
          <t>NYBRO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46286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46286</v>
      </c>
      <c r="F600" t="inlineStr">
        <is>
          <t>KALMAR LÄN</t>
        </is>
      </c>
      <c r="G600" t="inlineStr">
        <is>
          <t>NYBRO</t>
        </is>
      </c>
      <c r="I600" t="n">
        <v>15.9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46286</v>
      </c>
      <c r="F601" t="inlineStr">
        <is>
          <t>KALMAR LÄN</t>
        </is>
      </c>
      <c r="G601" t="inlineStr">
        <is>
          <t>NYBRO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56143-2022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44889</v>
      </c>
      <c r="E602" s="1" t="n">
        <v>46286</v>
      </c>
      <c r="F602" t="inlineStr">
        <is>
          <t>KALMAR LÄN</t>
        </is>
      </c>
      <c r="G602" t="inlineStr">
        <is>
          <t>NYBRO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46286</v>
      </c>
      <c r="F603" t="inlineStr">
        <is>
          <t>KALMAR LÄN</t>
        </is>
      </c>
      <c r="G603" t="inlineStr">
        <is>
          <t>NYBRO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45111</v>
      </c>
      <c r="E604" s="1" t="n">
        <v>46286</v>
      </c>
      <c r="F604" t="inlineStr">
        <is>
          <t>KALMAR LÄN</t>
        </is>
      </c>
      <c r="G604" t="inlineStr">
        <is>
          <t>NYBRO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33472-2023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45131</v>
      </c>
      <c r="E605" s="1" t="n">
        <v>46286</v>
      </c>
      <c r="F605" t="inlineStr">
        <is>
          <t>KALMAR LÄN</t>
        </is>
      </c>
      <c r="G605" t="inlineStr">
        <is>
          <t>NYBRO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44756</v>
      </c>
      <c r="E606" s="1" t="n">
        <v>46286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45063</v>
      </c>
      <c r="E607" s="1" t="n">
        <v>46286</v>
      </c>
      <c r="F607" t="inlineStr">
        <is>
          <t>KALMAR LÄN</t>
        </is>
      </c>
      <c r="G607" t="inlineStr">
        <is>
          <t>NYBRO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52382-2022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44874</v>
      </c>
      <c r="E608" s="1" t="n">
        <v>46286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46086</v>
      </c>
      <c r="E609" s="1" t="n">
        <v>46286</v>
      </c>
      <c r="F609" t="inlineStr">
        <is>
          <t>KALMAR LÄN</t>
        </is>
      </c>
      <c r="G609" t="inlineStr">
        <is>
          <t>NYBRO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45119</v>
      </c>
      <c r="E610" s="1" t="n">
        <v>46286</v>
      </c>
      <c r="F610" t="inlineStr">
        <is>
          <t>KALMAR LÄN</t>
        </is>
      </c>
      <c r="G610" t="inlineStr">
        <is>
          <t>NYBRO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44677</v>
      </c>
      <c r="E611" s="1" t="n">
        <v>46286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46684-2023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45198</v>
      </c>
      <c r="E612" s="1" t="n">
        <v>46286</v>
      </c>
      <c r="F612" t="inlineStr">
        <is>
          <t>KALMAR LÄN</t>
        </is>
      </c>
      <c r="G612" t="inlineStr">
        <is>
          <t>NYBRO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46286</v>
      </c>
      <c r="F613" t="inlineStr">
        <is>
          <t>KALMAR LÄN</t>
        </is>
      </c>
      <c r="G613" t="inlineStr">
        <is>
          <t>NYBRO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46286</v>
      </c>
      <c r="F614" t="inlineStr">
        <is>
          <t>KALMAR LÄN</t>
        </is>
      </c>
      <c r="G614" t="inlineStr">
        <is>
          <t>NYBRO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45301</v>
      </c>
      <c r="E615" s="1" t="n">
        <v>46286</v>
      </c>
      <c r="F615" t="inlineStr">
        <is>
          <t>KALMAR LÄN</t>
        </is>
      </c>
      <c r="G615" t="inlineStr">
        <is>
          <t>NYBRO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46286</v>
      </c>
      <c r="F616" t="inlineStr">
        <is>
          <t>KALMAR LÄN</t>
        </is>
      </c>
      <c r="G616" t="inlineStr">
        <is>
          <t>NYBRO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46286</v>
      </c>
      <c r="F617" t="inlineStr">
        <is>
          <t>KALMAR LÄN</t>
        </is>
      </c>
      <c r="G617" t="inlineStr">
        <is>
          <t>NYBRO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12910-2026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46092</v>
      </c>
      <c r="E618" s="1" t="n">
        <v>46286</v>
      </c>
      <c r="F618" t="inlineStr">
        <is>
          <t>KALMAR LÄN</t>
        </is>
      </c>
      <c r="G618" t="inlineStr">
        <is>
          <t>NYBRO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46286</v>
      </c>
      <c r="F619" t="inlineStr">
        <is>
          <t>KALMAR LÄN</t>
        </is>
      </c>
      <c r="G619" t="inlineStr">
        <is>
          <t>NYBRO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46286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27419-2022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44742</v>
      </c>
      <c r="E621" s="1" t="n">
        <v>46286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46286</v>
      </c>
      <c r="F622" t="inlineStr">
        <is>
          <t>KALMAR LÄN</t>
        </is>
      </c>
      <c r="G622" t="inlineStr">
        <is>
          <t>NYBRO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44713</v>
      </c>
      <c r="E623" s="1" t="n">
        <v>46286</v>
      </c>
      <c r="F623" t="inlineStr">
        <is>
          <t>KALMAR LÄN</t>
        </is>
      </c>
      <c r="G623" t="inlineStr">
        <is>
          <t>NYBRO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45096</v>
      </c>
      <c r="E624" s="1" t="n">
        <v>46286</v>
      </c>
      <c r="F624" t="inlineStr">
        <is>
          <t>KALMAR LÄN</t>
        </is>
      </c>
      <c r="G624" t="inlineStr">
        <is>
          <t>NYBRO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48312-2024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45590</v>
      </c>
      <c r="E625" s="1" t="n">
        <v>46286</v>
      </c>
      <c r="F625" t="inlineStr">
        <is>
          <t>KALMAR LÄN</t>
        </is>
      </c>
      <c r="G625" t="inlineStr">
        <is>
          <t>NYBRO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46286</v>
      </c>
      <c r="F626" t="inlineStr">
        <is>
          <t>KALMAR LÄN</t>
        </is>
      </c>
      <c r="G626" t="inlineStr">
        <is>
          <t>NYBRO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46286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46286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35406-2022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44798</v>
      </c>
      <c r="E629" s="1" t="n">
        <v>46286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4863-2022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44593</v>
      </c>
      <c r="E630" s="1" t="n">
        <v>46286</v>
      </c>
      <c r="F630" t="inlineStr">
        <is>
          <t>KALMAR LÄN</t>
        </is>
      </c>
      <c r="G630" t="inlineStr">
        <is>
          <t>NYBRO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46286</v>
      </c>
      <c r="F631" t="inlineStr">
        <is>
          <t>KALMAR LÄN</t>
        </is>
      </c>
      <c r="G631" t="inlineStr">
        <is>
          <t>NYBRO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28438-2026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46197</v>
      </c>
      <c r="E632" s="1" t="n">
        <v>46286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46197</v>
      </c>
      <c r="E633" s="1" t="n">
        <v>46286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45392</v>
      </c>
      <c r="E634" s="1" t="n">
        <v>46286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28164-2022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44746</v>
      </c>
      <c r="E635" s="1" t="n">
        <v>46286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46197</v>
      </c>
      <c r="E636" s="1" t="n">
        <v>46286</v>
      </c>
      <c r="F636" t="inlineStr">
        <is>
          <t>KALMAR LÄN</t>
        </is>
      </c>
      <c r="G636" t="inlineStr">
        <is>
          <t>NYBRO</t>
        </is>
      </c>
      <c r="H636" t="inlineStr">
        <is>
          <t>Sveaskog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20386-2023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45056</v>
      </c>
      <c r="E637" s="1" t="n">
        <v>46286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46286</v>
      </c>
      <c r="F638" t="inlineStr">
        <is>
          <t>KALMAR LÄN</t>
        </is>
      </c>
      <c r="G638" t="inlineStr">
        <is>
          <t>NYBRO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45118</v>
      </c>
      <c r="E639" s="1" t="n">
        <v>46286</v>
      </c>
      <c r="F639" t="inlineStr">
        <is>
          <t>KALMAR LÄN</t>
        </is>
      </c>
      <c r="G639" t="inlineStr">
        <is>
          <t>NYBRO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46286</v>
      </c>
      <c r="F640" t="inlineStr">
        <is>
          <t>KALMAR LÄN</t>
        </is>
      </c>
      <c r="G640" t="inlineStr">
        <is>
          <t>NYBRO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16584-2026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46112</v>
      </c>
      <c r="E641" s="1" t="n">
        <v>46286</v>
      </c>
      <c r="F641" t="inlineStr">
        <is>
          <t>KALMAR LÄN</t>
        </is>
      </c>
      <c r="G641" t="inlineStr">
        <is>
          <t>NYBRO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46286</v>
      </c>
      <c r="F642" t="inlineStr">
        <is>
          <t>KALMAR LÄN</t>
        </is>
      </c>
      <c r="G642" t="inlineStr">
        <is>
          <t>NYBRO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46286</v>
      </c>
      <c r="F643" t="inlineStr">
        <is>
          <t>KALMAR LÄN</t>
        </is>
      </c>
      <c r="G643" t="inlineStr">
        <is>
          <t>NYBRO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16844-2026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46286</v>
      </c>
      <c r="F644" t="inlineStr">
        <is>
          <t>KALMAR LÄN</t>
        </is>
      </c>
      <c r="G644" t="inlineStr">
        <is>
          <t>NYBRO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45056</v>
      </c>
      <c r="E645" s="1" t="n">
        <v>46286</v>
      </c>
      <c r="F645" t="inlineStr">
        <is>
          <t>KALMAR LÄN</t>
        </is>
      </c>
      <c r="G645" t="inlineStr">
        <is>
          <t>NYBRO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38059-2024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45544</v>
      </c>
      <c r="E646" s="1" t="n">
        <v>46286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41649-2022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44827</v>
      </c>
      <c r="E647" s="1" t="n">
        <v>46286</v>
      </c>
      <c r="F647" t="inlineStr">
        <is>
          <t>KALMAR LÄN</t>
        </is>
      </c>
      <c r="G647" t="inlineStr">
        <is>
          <t>NYBRO</t>
        </is>
      </c>
      <c r="I647" t="n">
        <v>12.1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45016</v>
      </c>
      <c r="E648" s="1" t="n">
        <v>46286</v>
      </c>
      <c r="F648" t="inlineStr">
        <is>
          <t>KALMAR LÄN</t>
        </is>
      </c>
      <c r="G648" t="inlineStr">
        <is>
          <t>NYBRO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44825</v>
      </c>
      <c r="E649" s="1" t="n">
        <v>46286</v>
      </c>
      <c r="F649" t="inlineStr">
        <is>
          <t>KALMAR LÄN</t>
        </is>
      </c>
      <c r="G649" t="inlineStr">
        <is>
          <t>NYBRO</t>
        </is>
      </c>
      <c r="I649" t="n">
        <v>18.6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17871-2026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46122</v>
      </c>
      <c r="E650" s="1" t="n">
        <v>46286</v>
      </c>
      <c r="F650" t="inlineStr">
        <is>
          <t>KALMAR LÄN</t>
        </is>
      </c>
      <c r="G650" t="inlineStr">
        <is>
          <t>NYBRO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46286</v>
      </c>
      <c r="F651" t="inlineStr">
        <is>
          <t>KALMAR LÄN</t>
        </is>
      </c>
      <c r="G651" t="inlineStr">
        <is>
          <t>NYBRO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18110-2026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46286</v>
      </c>
      <c r="F652" t="inlineStr">
        <is>
          <t>KALMAR LÄN</t>
        </is>
      </c>
      <c r="G652" t="inlineStr">
        <is>
          <t>NYBRO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46286</v>
      </c>
      <c r="F653" t="inlineStr">
        <is>
          <t>KALMAR LÄN</t>
        </is>
      </c>
      <c r="G653" t="inlineStr">
        <is>
          <t>NYBRO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45095</v>
      </c>
      <c r="E654" s="1" t="n">
        <v>46286</v>
      </c>
      <c r="F654" t="inlineStr">
        <is>
          <t>KALMAR LÄN</t>
        </is>
      </c>
      <c r="G654" t="inlineStr">
        <is>
          <t>NYBRO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18465-2026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46127</v>
      </c>
      <c r="E655" s="1" t="n">
        <v>46286</v>
      </c>
      <c r="F655" t="inlineStr">
        <is>
          <t>KALMAR LÄN</t>
        </is>
      </c>
      <c r="G655" t="inlineStr">
        <is>
          <t>NYBRO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57823-2023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46286</v>
      </c>
      <c r="F656" t="inlineStr">
        <is>
          <t>KALMAR LÄN</t>
        </is>
      </c>
      <c r="G656" t="inlineStr">
        <is>
          <t>NYBRO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28927-2026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46199</v>
      </c>
      <c r="E657" s="1" t="n">
        <v>46286</v>
      </c>
      <c r="F657" t="inlineStr">
        <is>
          <t>KALMAR LÄN</t>
        </is>
      </c>
      <c r="G657" t="inlineStr">
        <is>
          <t>NYBRO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46127</v>
      </c>
      <c r="E658" s="1" t="n">
        <v>46286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46286</v>
      </c>
      <c r="F659" t="inlineStr">
        <is>
          <t>KALMAR LÄN</t>
        </is>
      </c>
      <c r="G659" t="inlineStr">
        <is>
          <t>NYBRO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19457-2026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46133</v>
      </c>
      <c r="E660" s="1" t="n">
        <v>46286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10632-2024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45367</v>
      </c>
      <c r="E661" s="1" t="n">
        <v>46286</v>
      </c>
      <c r="F661" t="inlineStr">
        <is>
          <t>KALMAR LÄN</t>
        </is>
      </c>
      <c r="G661" t="inlineStr">
        <is>
          <t>NYBRO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46246</v>
      </c>
      <c r="E662" s="1" t="n">
        <v>46286</v>
      </c>
      <c r="F662" t="inlineStr">
        <is>
          <t>KALMAR LÄN</t>
        </is>
      </c>
      <c r="G662" t="inlineStr">
        <is>
          <t>NYBRO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46286</v>
      </c>
      <c r="F663" t="inlineStr">
        <is>
          <t>KALMAR LÄN</t>
        </is>
      </c>
      <c r="G663" t="inlineStr">
        <is>
          <t>NYBRO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19474-2026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46286</v>
      </c>
      <c r="F664" t="inlineStr">
        <is>
          <t>KALMAR LÄN</t>
        </is>
      </c>
      <c r="G664" t="inlineStr">
        <is>
          <t>NYBRO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14085-2024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45392</v>
      </c>
      <c r="E665" s="1" t="n">
        <v>46286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46134</v>
      </c>
      <c r="E666" s="1" t="n">
        <v>46286</v>
      </c>
      <c r="F666" t="inlineStr">
        <is>
          <t>KALMAR LÄN</t>
        </is>
      </c>
      <c r="G666" t="inlineStr">
        <is>
          <t>NYBRO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46286</v>
      </c>
      <c r="F667" t="inlineStr">
        <is>
          <t>KALMAR LÄN</t>
        </is>
      </c>
      <c r="G667" t="inlineStr">
        <is>
          <t>NYBRO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57809-2023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45244</v>
      </c>
      <c r="E668" s="1" t="n">
        <v>46286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46286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12410-2023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44999</v>
      </c>
      <c r="E670" s="1" t="n">
        <v>46286</v>
      </c>
      <c r="F670" t="inlineStr">
        <is>
          <t>KALMAR LÄN</t>
        </is>
      </c>
      <c r="G670" t="inlineStr">
        <is>
          <t>NYBRO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46286</v>
      </c>
      <c r="F671" t="inlineStr">
        <is>
          <t>KALMAR LÄN</t>
        </is>
      </c>
      <c r="G671" t="inlineStr">
        <is>
          <t>NYBRO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44030-2023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45188</v>
      </c>
      <c r="E672" s="1" t="n">
        <v>46286</v>
      </c>
      <c r="F672" t="inlineStr">
        <is>
          <t>KALMAR LÄN</t>
        </is>
      </c>
      <c r="G672" t="inlineStr">
        <is>
          <t>NYBRO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45705</v>
      </c>
      <c r="E673" s="1" t="n">
        <v>46286</v>
      </c>
      <c r="F673" t="inlineStr">
        <is>
          <t>KALMAR LÄN</t>
        </is>
      </c>
      <c r="G673" t="inlineStr">
        <is>
          <t>NYBRO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46286</v>
      </c>
      <c r="F674" t="inlineStr">
        <is>
          <t>KALMAR LÄN</t>
        </is>
      </c>
      <c r="G674" t="inlineStr">
        <is>
          <t>NYBRO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10745-2026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46078</v>
      </c>
      <c r="E675" s="1" t="n">
        <v>46286</v>
      </c>
      <c r="F675" t="inlineStr">
        <is>
          <t>KALMAR LÄN</t>
        </is>
      </c>
      <c r="G675" t="inlineStr">
        <is>
          <t>NYBRO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57489-2025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45980</v>
      </c>
      <c r="E676" s="1" t="n">
        <v>46286</v>
      </c>
      <c r="F676" t="inlineStr">
        <is>
          <t>KALMAR LÄN</t>
        </is>
      </c>
      <c r="G676" t="inlineStr">
        <is>
          <t>NYBRO</t>
        </is>
      </c>
      <c r="H676" t="inlineStr">
        <is>
          <t>Sveaskog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28676-2024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45478</v>
      </c>
      <c r="E677" s="1" t="n">
        <v>46286</v>
      </c>
      <c r="F677" t="inlineStr">
        <is>
          <t>KALMAR LÄN</t>
        </is>
      </c>
      <c r="G677" t="inlineStr">
        <is>
          <t>NYBRO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46139</v>
      </c>
      <c r="E678" s="1" t="n">
        <v>46286</v>
      </c>
      <c r="F678" t="inlineStr">
        <is>
          <t>KALMAR LÄN</t>
        </is>
      </c>
      <c r="G678" t="inlineStr">
        <is>
          <t>NYBRO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45644</v>
      </c>
      <c r="E679" s="1" t="n">
        <v>46286</v>
      </c>
      <c r="F679" t="inlineStr">
        <is>
          <t>KALMAR LÄN</t>
        </is>
      </c>
      <c r="G679" t="inlineStr">
        <is>
          <t>NYBRO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45342</v>
      </c>
      <c r="E680" s="1" t="n">
        <v>46286</v>
      </c>
      <c r="F680" t="inlineStr">
        <is>
          <t>KALMAR LÄN</t>
        </is>
      </c>
      <c r="G680" t="inlineStr">
        <is>
          <t>NYBRO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45551</v>
      </c>
      <c r="E681" s="1" t="n">
        <v>46286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47632-2025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45931</v>
      </c>
      <c r="E682" s="1" t="n">
        <v>46286</v>
      </c>
      <c r="F682" t="inlineStr">
        <is>
          <t>KALMAR LÄN</t>
        </is>
      </c>
      <c r="G682" t="inlineStr">
        <is>
          <t>NYBRO</t>
        </is>
      </c>
      <c r="H682" t="inlineStr">
        <is>
          <t>Kyrkan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61499-2022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44910</v>
      </c>
      <c r="E683" s="1" t="n">
        <v>46286</v>
      </c>
      <c r="F683" t="inlineStr">
        <is>
          <t>KALMAR LÄN</t>
        </is>
      </c>
      <c r="G683" t="inlineStr">
        <is>
          <t>NYBRO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37462-2023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46286</v>
      </c>
      <c r="F684" t="inlineStr">
        <is>
          <t>KALMAR LÄN</t>
        </is>
      </c>
      <c r="G684" t="inlineStr">
        <is>
          <t>NYBRO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46246</v>
      </c>
      <c r="E685" s="1" t="n">
        <v>46286</v>
      </c>
      <c r="F685" t="inlineStr">
        <is>
          <t>KALMAR LÄN</t>
        </is>
      </c>
      <c r="G685" t="inlineStr">
        <is>
          <t>NYBRO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44566</v>
      </c>
      <c r="E686" s="1" t="n">
        <v>46286</v>
      </c>
      <c r="F686" t="inlineStr">
        <is>
          <t>KALMAR LÄN</t>
        </is>
      </c>
      <c r="G686" t="inlineStr">
        <is>
          <t>NYBRO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11645-2024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45373</v>
      </c>
      <c r="E687" s="1" t="n">
        <v>46286</v>
      </c>
      <c r="F687" t="inlineStr">
        <is>
          <t>KALMAR LÄN</t>
        </is>
      </c>
      <c r="G687" t="inlineStr">
        <is>
          <t>NYBRO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45210</v>
      </c>
      <c r="E688" s="1" t="n">
        <v>46286</v>
      </c>
      <c r="F688" t="inlineStr">
        <is>
          <t>KALMAR LÄN</t>
        </is>
      </c>
      <c r="G688" t="inlineStr">
        <is>
          <t>NYBRO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33704-2026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46250</v>
      </c>
      <c r="E689" s="1" t="n">
        <v>46286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44909</v>
      </c>
      <c r="E690" s="1" t="n">
        <v>46286</v>
      </c>
      <c r="F690" t="inlineStr">
        <is>
          <t>KALMAR LÄN</t>
        </is>
      </c>
      <c r="G690" t="inlineStr">
        <is>
          <t>NYBRO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44909</v>
      </c>
      <c r="E691" s="1" t="n">
        <v>46286</v>
      </c>
      <c r="F691" t="inlineStr">
        <is>
          <t>KALMAR LÄN</t>
        </is>
      </c>
      <c r="G691" t="inlineStr">
        <is>
          <t>NYBRO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45668</v>
      </c>
      <c r="E692" s="1" t="n">
        <v>46286</v>
      </c>
      <c r="F692" t="inlineStr">
        <is>
          <t>KALMAR LÄN</t>
        </is>
      </c>
      <c r="G692" t="inlineStr">
        <is>
          <t>NYBRO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45156</v>
      </c>
      <c r="E693" s="1" t="n">
        <v>46286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50556-2022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44866</v>
      </c>
      <c r="E694" s="1" t="n">
        <v>46286</v>
      </c>
      <c r="F694" t="inlineStr">
        <is>
          <t>KALMAR LÄN</t>
        </is>
      </c>
      <c r="G694" t="inlineStr">
        <is>
          <t>NYBRO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29715-2022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44755</v>
      </c>
      <c r="E695" s="1" t="n">
        <v>46286</v>
      </c>
      <c r="F695" t="inlineStr">
        <is>
          <t>KALMAR LÄN</t>
        </is>
      </c>
      <c r="G695" t="inlineStr">
        <is>
          <t>NYBRO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5150-2022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44594</v>
      </c>
      <c r="E696" s="1" t="n">
        <v>46286</v>
      </c>
      <c r="F696" t="inlineStr">
        <is>
          <t>KALMAR LÄN</t>
        </is>
      </c>
      <c r="G696" t="inlineStr">
        <is>
          <t>NYBRO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11155-2023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44992</v>
      </c>
      <c r="E697" s="1" t="n">
        <v>46286</v>
      </c>
      <c r="F697" t="inlineStr">
        <is>
          <t>KALMAR LÄN</t>
        </is>
      </c>
      <c r="G697" t="inlineStr">
        <is>
          <t>NYBRO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33614-2026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46248</v>
      </c>
      <c r="E698" s="1" t="n">
        <v>46286</v>
      </c>
      <c r="F698" t="inlineStr">
        <is>
          <t>KALMAR LÄN</t>
        </is>
      </c>
      <c r="G698" t="inlineStr">
        <is>
          <t>NYBRO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11621-2024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45373</v>
      </c>
      <c r="E699" s="1" t="n">
        <v>46286</v>
      </c>
      <c r="F699" t="inlineStr">
        <is>
          <t>KALMAR LÄN</t>
        </is>
      </c>
      <c r="G699" t="inlineStr">
        <is>
          <t>NYBRO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45085</v>
      </c>
      <c r="E700" s="1" t="n">
        <v>46286</v>
      </c>
      <c r="F700" t="inlineStr">
        <is>
          <t>KALMAR LÄN</t>
        </is>
      </c>
      <c r="G700" t="inlineStr">
        <is>
          <t>NYBRO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27870-2024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46286</v>
      </c>
      <c r="F701" t="inlineStr">
        <is>
          <t>KALMAR LÄN</t>
        </is>
      </c>
      <c r="G701" t="inlineStr">
        <is>
          <t>NYBRO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48102-2023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45205</v>
      </c>
      <c r="E702" s="1" t="n">
        <v>46286</v>
      </c>
      <c r="F702" t="inlineStr">
        <is>
          <t>KALMAR LÄN</t>
        </is>
      </c>
      <c r="G702" t="inlineStr">
        <is>
          <t>NYBRO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29922-2026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46286</v>
      </c>
      <c r="F703" t="inlineStr">
        <is>
          <t>KALMAR LÄN</t>
        </is>
      </c>
      <c r="G703" t="inlineStr">
        <is>
          <t>NYBRO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34260-2026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46286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46286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52137-2021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44463</v>
      </c>
      <c r="E706" s="1" t="n">
        <v>46286</v>
      </c>
      <c r="F706" t="inlineStr">
        <is>
          <t>KALMAR LÄN</t>
        </is>
      </c>
      <c r="G706" t="inlineStr">
        <is>
          <t>NYBRO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45401</v>
      </c>
      <c r="E707" s="1" t="n">
        <v>46286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45239</v>
      </c>
      <c r="E708" s="1" t="n">
        <v>46286</v>
      </c>
      <c r="F708" t="inlineStr">
        <is>
          <t>KALMAR LÄN</t>
        </is>
      </c>
      <c r="G708" t="inlineStr">
        <is>
          <t>NYBRO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25382-2023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45089</v>
      </c>
      <c r="E709" s="1" t="n">
        <v>46286</v>
      </c>
      <c r="F709" t="inlineStr">
        <is>
          <t>KALMAR LÄN</t>
        </is>
      </c>
      <c r="G709" t="inlineStr">
        <is>
          <t>NYBRO</t>
        </is>
      </c>
      <c r="H709" t="inlineStr">
        <is>
          <t>Kommuner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46286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33924-2026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46252</v>
      </c>
      <c r="E711" s="1" t="n">
        <v>46286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19461-2024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46286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45762</v>
      </c>
      <c r="E713" s="1" t="n">
        <v>46286</v>
      </c>
      <c r="F713" t="inlineStr">
        <is>
          <t>KALMAR LÄN</t>
        </is>
      </c>
      <c r="G713" t="inlineStr">
        <is>
          <t>NYBRO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33035-2022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44785</v>
      </c>
      <c r="E714" s="1" t="n">
        <v>46286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46286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34617-2026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46255</v>
      </c>
      <c r="E716" s="1" t="n">
        <v>46286</v>
      </c>
      <c r="F716" t="inlineStr">
        <is>
          <t>KALMAR LÄN</t>
        </is>
      </c>
      <c r="G716" t="inlineStr">
        <is>
          <t>NYBRO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53681-2022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44880</v>
      </c>
      <c r="E717" s="1" t="n">
        <v>46286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44488</v>
      </c>
      <c r="E718" s="1" t="n">
        <v>46286</v>
      </c>
      <c r="F718" t="inlineStr">
        <is>
          <t>KALMAR LÄN</t>
        </is>
      </c>
      <c r="G718" t="inlineStr">
        <is>
          <t>NYBRO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46254</v>
      </c>
      <c r="E719" s="1" t="n">
        <v>46286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46286</v>
      </c>
      <c r="F720" t="inlineStr">
        <is>
          <t>KALMAR LÄN</t>
        </is>
      </c>
      <c r="G720" t="inlineStr">
        <is>
          <t>NYBRO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45208</v>
      </c>
      <c r="E721" s="1" t="n">
        <v>46286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45534</v>
      </c>
      <c r="E722" s="1" t="n">
        <v>46286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45342</v>
      </c>
      <c r="E723" s="1" t="n">
        <v>46286</v>
      </c>
      <c r="F723" t="inlineStr">
        <is>
          <t>KALMAR LÄN</t>
        </is>
      </c>
      <c r="G723" t="inlineStr">
        <is>
          <t>NYBRO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45484</v>
      </c>
      <c r="E724" s="1" t="n">
        <v>46286</v>
      </c>
      <c r="F724" t="inlineStr">
        <is>
          <t>KALMAR LÄN</t>
        </is>
      </c>
      <c r="G724" t="inlineStr">
        <is>
          <t>NYBRO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34923-2026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46255</v>
      </c>
      <c r="E725" s="1" t="n">
        <v>46286</v>
      </c>
      <c r="F725" t="inlineStr">
        <is>
          <t>KALMAR LÄN</t>
        </is>
      </c>
      <c r="G725" t="inlineStr">
        <is>
          <t>NYBRO</t>
        </is>
      </c>
      <c r="H725" t="inlineStr">
        <is>
          <t>Kyrkan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46286</v>
      </c>
      <c r="F726" t="inlineStr">
        <is>
          <t>KALMAR LÄN</t>
        </is>
      </c>
      <c r="G726" t="inlineStr">
        <is>
          <t>NYBRO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45756</v>
      </c>
      <c r="E727" s="1" t="n">
        <v>46286</v>
      </c>
      <c r="F727" t="inlineStr">
        <is>
          <t>KALMAR LÄN</t>
        </is>
      </c>
      <c r="G727" t="inlineStr">
        <is>
          <t>NYBRO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20621-2022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44700</v>
      </c>
      <c r="E728" s="1" t="n">
        <v>46286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10289-2022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44622</v>
      </c>
      <c r="E729" s="1" t="n">
        <v>46286</v>
      </c>
      <c r="F729" t="inlineStr">
        <is>
          <t>KALMAR LÄN</t>
        </is>
      </c>
      <c r="G729" t="inlineStr">
        <is>
          <t>NYBRO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56103-2023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45240</v>
      </c>
      <c r="E730" s="1" t="n">
        <v>46286</v>
      </c>
      <c r="F730" t="inlineStr">
        <is>
          <t>KALMAR LÄN</t>
        </is>
      </c>
      <c r="G730" t="inlineStr">
        <is>
          <t>NYBRO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46286</v>
      </c>
      <c r="F731" t="inlineStr">
        <is>
          <t>KALMAR LÄN</t>
        </is>
      </c>
      <c r="G731" t="inlineStr">
        <is>
          <t>NYBRO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15109-2025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45744</v>
      </c>
      <c r="E732" s="1" t="n">
        <v>46286</v>
      </c>
      <c r="F732" t="inlineStr">
        <is>
          <t>KALMAR LÄN</t>
        </is>
      </c>
      <c r="G732" t="inlineStr">
        <is>
          <t>NYBRO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45761</v>
      </c>
      <c r="E733" s="1" t="n">
        <v>46286</v>
      </c>
      <c r="F733" t="inlineStr">
        <is>
          <t>KALMAR LÄN</t>
        </is>
      </c>
      <c r="G733" t="inlineStr">
        <is>
          <t>NYBRO</t>
        </is>
      </c>
      <c r="H733" t="inlineStr">
        <is>
          <t>Sveaskog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28795-2022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44749</v>
      </c>
      <c r="E734" s="1" t="n">
        <v>46286</v>
      </c>
      <c r="F734" t="inlineStr">
        <is>
          <t>KALMAR LÄN</t>
        </is>
      </c>
      <c r="G734" t="inlineStr">
        <is>
          <t>NYBRO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8000-2023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44973</v>
      </c>
      <c r="E735" s="1" t="n">
        <v>46286</v>
      </c>
      <c r="F735" t="inlineStr">
        <is>
          <t>KALMAR LÄN</t>
        </is>
      </c>
      <c r="G735" t="inlineStr">
        <is>
          <t>NYBRO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42277-2023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45175</v>
      </c>
      <c r="E736" s="1" t="n">
        <v>46286</v>
      </c>
      <c r="F736" t="inlineStr">
        <is>
          <t>KALMAR LÄN</t>
        </is>
      </c>
      <c r="G736" t="inlineStr">
        <is>
          <t>NYBRO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46286</v>
      </c>
      <c r="F737" t="inlineStr">
        <is>
          <t>KALMAR LÄN</t>
        </is>
      </c>
      <c r="G737" t="inlineStr">
        <is>
          <t>NYBRO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46286</v>
      </c>
      <c r="F738" t="inlineStr">
        <is>
          <t>KALMAR LÄN</t>
        </is>
      </c>
      <c r="G738" t="inlineStr">
        <is>
          <t>NYBRO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36100-2023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46286</v>
      </c>
      <c r="F739" t="inlineStr">
        <is>
          <t>KALMAR LÄN</t>
        </is>
      </c>
      <c r="G739" t="inlineStr">
        <is>
          <t>NYBRO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45210</v>
      </c>
      <c r="E740" s="1" t="n">
        <v>46286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53999-2022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44881</v>
      </c>
      <c r="E741" s="1" t="n">
        <v>46286</v>
      </c>
      <c r="F741" t="inlineStr">
        <is>
          <t>KALMAR LÄN</t>
        </is>
      </c>
      <c r="G741" t="inlineStr">
        <is>
          <t>NYBRO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41635-2023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46286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11150-2024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45371</v>
      </c>
      <c r="E743" s="1" t="n">
        <v>46286</v>
      </c>
      <c r="F743" t="inlineStr">
        <is>
          <t>KALMAR LÄN</t>
        </is>
      </c>
      <c r="G743" t="inlineStr">
        <is>
          <t>NYBRO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44743</v>
      </c>
      <c r="E744" s="1" t="n">
        <v>46286</v>
      </c>
      <c r="F744" t="inlineStr">
        <is>
          <t>KALMAR LÄN</t>
        </is>
      </c>
      <c r="G744" t="inlineStr">
        <is>
          <t>NYBRO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44594</v>
      </c>
      <c r="E745" s="1" t="n">
        <v>46286</v>
      </c>
      <c r="F745" t="inlineStr">
        <is>
          <t>KALMAR LÄN</t>
        </is>
      </c>
      <c r="G745" t="inlineStr">
        <is>
          <t>NYBRO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45320</v>
      </c>
      <c r="E746" s="1" t="n">
        <v>46286</v>
      </c>
      <c r="F746" t="inlineStr">
        <is>
          <t>KALMAR LÄN</t>
        </is>
      </c>
      <c r="G746" t="inlineStr">
        <is>
          <t>NYBRO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14371-2025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45741</v>
      </c>
      <c r="E747" s="1" t="n">
        <v>46286</v>
      </c>
      <c r="F747" t="inlineStr">
        <is>
          <t>KALMAR LÄN</t>
        </is>
      </c>
      <c r="G747" t="inlineStr">
        <is>
          <t>NYBRO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45681</v>
      </c>
      <c r="E748" s="1" t="n">
        <v>46286</v>
      </c>
      <c r="F748" t="inlineStr">
        <is>
          <t>KALMAR LÄN</t>
        </is>
      </c>
      <c r="G748" t="inlineStr">
        <is>
          <t>NYBRO</t>
        </is>
      </c>
      <c r="H748" t="inlineStr">
        <is>
          <t>Kyrkan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54341-2022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44882</v>
      </c>
      <c r="E749" s="1" t="n">
        <v>46286</v>
      </c>
      <c r="F749" t="inlineStr">
        <is>
          <t>KALMAR LÄN</t>
        </is>
      </c>
      <c r="G749" t="inlineStr">
        <is>
          <t>NYBRO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45679</v>
      </c>
      <c r="E750" s="1" t="n">
        <v>46286</v>
      </c>
      <c r="F750" t="inlineStr">
        <is>
          <t>KALMAR LÄN</t>
        </is>
      </c>
      <c r="G750" t="inlineStr">
        <is>
          <t>NYBRO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47270-2024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45586</v>
      </c>
      <c r="E751" s="1" t="n">
        <v>46286</v>
      </c>
      <c r="F751" t="inlineStr">
        <is>
          <t>KALMAR LÄN</t>
        </is>
      </c>
      <c r="G751" t="inlineStr">
        <is>
          <t>NYBRO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46286</v>
      </c>
      <c r="F752" t="inlineStr">
        <is>
          <t>KALMAR LÄN</t>
        </is>
      </c>
      <c r="G752" t="inlineStr">
        <is>
          <t>NYBRO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36465-2026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46286</v>
      </c>
      <c r="F753" t="inlineStr">
        <is>
          <t>KALMAR LÄN</t>
        </is>
      </c>
      <c r="G753" t="inlineStr">
        <is>
          <t>NYBRO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44606</v>
      </c>
      <c r="E754" s="1" t="n">
        <v>46286</v>
      </c>
      <c r="F754" t="inlineStr">
        <is>
          <t>KALMAR LÄN</t>
        </is>
      </c>
      <c r="G754" t="inlineStr">
        <is>
          <t>NYBRO</t>
        </is>
      </c>
      <c r="I754" t="n">
        <v>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38170-2024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46286</v>
      </c>
      <c r="F755" t="inlineStr">
        <is>
          <t>KALMAR LÄN</t>
        </is>
      </c>
      <c r="G755" t="inlineStr">
        <is>
          <t>NYBRO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45449</v>
      </c>
      <c r="E756" s="1" t="n">
        <v>46286</v>
      </c>
      <c r="F756" t="inlineStr">
        <is>
          <t>KALMAR LÄN</t>
        </is>
      </c>
      <c r="G756" t="inlineStr">
        <is>
          <t>NYBRO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22435-2023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45070</v>
      </c>
      <c r="E757" s="1" t="n">
        <v>46286</v>
      </c>
      <c r="F757" t="inlineStr">
        <is>
          <t>KALMAR LÄN</t>
        </is>
      </c>
      <c r="G757" t="inlineStr">
        <is>
          <t>NYBRO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50586-2024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45601</v>
      </c>
      <c r="E758" s="1" t="n">
        <v>46286</v>
      </c>
      <c r="F758" t="inlineStr">
        <is>
          <t>KALMAR LÄN</t>
        </is>
      </c>
      <c r="G758" t="inlineStr">
        <is>
          <t>NYBRO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27966-2024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45476</v>
      </c>
      <c r="E759" s="1" t="n">
        <v>46286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30173-2024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45489</v>
      </c>
      <c r="E760" s="1" t="n">
        <v>46286</v>
      </c>
      <c r="F760" t="inlineStr">
        <is>
          <t>KALMAR LÄN</t>
        </is>
      </c>
      <c r="G760" t="inlineStr">
        <is>
          <t>NYBRO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47335-2024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45587</v>
      </c>
      <c r="E761" s="1" t="n">
        <v>46286</v>
      </c>
      <c r="F761" t="inlineStr">
        <is>
          <t>KALMAR LÄN</t>
        </is>
      </c>
      <c r="G761" t="inlineStr">
        <is>
          <t>NYBRO</t>
        </is>
      </c>
      <c r="I761" t="n">
        <v>8.699999999999999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36638-2026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46272</v>
      </c>
      <c r="E762" s="1" t="n">
        <v>46286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46273</v>
      </c>
      <c r="E763" s="1" t="n">
        <v>46286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46286</v>
      </c>
      <c r="F764" t="inlineStr">
        <is>
          <t>KALMAR LÄN</t>
        </is>
      </c>
      <c r="G764" t="inlineStr">
        <is>
          <t>NYBRO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22042-2025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45785</v>
      </c>
      <c r="E765" s="1" t="n">
        <v>46286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37393-2026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46275</v>
      </c>
      <c r="E766" s="1" t="n">
        <v>46286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46279</v>
      </c>
      <c r="E767" s="1" t="n">
        <v>46286</v>
      </c>
      <c r="F767" t="inlineStr">
        <is>
          <t>KALMAR LÄN</t>
        </is>
      </c>
      <c r="G767" t="inlineStr">
        <is>
          <t>NYBRO</t>
        </is>
      </c>
      <c r="I767" t="n">
        <v>4.4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37708-2026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46279</v>
      </c>
      <c r="E768" s="1" t="n">
        <v>46286</v>
      </c>
      <c r="F768" t="inlineStr">
        <is>
          <t>KALMAR LÄN</t>
        </is>
      </c>
      <c r="G768" t="inlineStr">
        <is>
          <t>NYBRO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53649-2023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45230</v>
      </c>
      <c r="E769" s="1" t="n">
        <v>46286</v>
      </c>
      <c r="F769" t="inlineStr">
        <is>
          <t>KALMAR LÄN</t>
        </is>
      </c>
      <c r="G769" t="inlineStr">
        <is>
          <t>NYBRO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45489</v>
      </c>
      <c r="E770" s="1" t="n">
        <v>46286</v>
      </c>
      <c r="F770" t="inlineStr">
        <is>
          <t>KALMAR LÄN</t>
        </is>
      </c>
      <c r="G770" t="inlineStr">
        <is>
          <t>NYBRO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56972-2024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45625</v>
      </c>
      <c r="E771" s="1" t="n">
        <v>46286</v>
      </c>
      <c r="F771" t="inlineStr">
        <is>
          <t>KALMAR LÄN</t>
        </is>
      </c>
      <c r="G771" t="inlineStr">
        <is>
          <t>NYBRO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46286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22302-2025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45786</v>
      </c>
      <c r="E773" s="1" t="n">
        <v>46286</v>
      </c>
      <c r="F773" t="inlineStr">
        <is>
          <t>KALMAR LÄN</t>
        </is>
      </c>
      <c r="G773" t="inlineStr">
        <is>
          <t>NYBRO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2184-2025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46286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45572</v>
      </c>
      <c r="E775" s="1" t="n">
        <v>46286</v>
      </c>
      <c r="F775" t="inlineStr">
        <is>
          <t>KALMAR LÄN</t>
        </is>
      </c>
      <c r="G775" t="inlineStr">
        <is>
          <t>NYBRO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45665</v>
      </c>
      <c r="E776" s="1" t="n">
        <v>46286</v>
      </c>
      <c r="F776" t="inlineStr">
        <is>
          <t>KALMAR LÄN</t>
        </is>
      </c>
      <c r="G776" t="inlineStr">
        <is>
          <t>NYBRO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46286</v>
      </c>
      <c r="F777" t="inlineStr">
        <is>
          <t>KALMAR LÄN</t>
        </is>
      </c>
      <c r="G777" t="inlineStr">
        <is>
          <t>NYBRO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9005-2024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45357</v>
      </c>
      <c r="E778" s="1" t="n">
        <v>46286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45301</v>
      </c>
      <c r="E779" s="1" t="n">
        <v>46286</v>
      </c>
      <c r="F779" t="inlineStr">
        <is>
          <t>KALMAR LÄN</t>
        </is>
      </c>
      <c r="G779" t="inlineStr">
        <is>
          <t>NYBRO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15510-2024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45401</v>
      </c>
      <c r="E780" s="1" t="n">
        <v>46286</v>
      </c>
      <c r="F780" t="inlineStr">
        <is>
          <t>KALMAR LÄN</t>
        </is>
      </c>
      <c r="G780" t="inlineStr">
        <is>
          <t>NYBRO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32398-2026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46238</v>
      </c>
      <c r="E781" s="1" t="n">
        <v>46286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10.3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10631-2024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45367</v>
      </c>
      <c r="E782" s="1" t="n">
        <v>46286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57716-2023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45246</v>
      </c>
      <c r="E783" s="1" t="n">
        <v>46286</v>
      </c>
      <c r="F783" t="inlineStr">
        <is>
          <t>KALMAR LÄN</t>
        </is>
      </c>
      <c r="G783" t="inlineStr">
        <is>
          <t>NYBRO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11014-2024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45370</v>
      </c>
      <c r="E784" s="1" t="n">
        <v>46286</v>
      </c>
      <c r="F784" t="inlineStr">
        <is>
          <t>KALMAR LÄN</t>
        </is>
      </c>
      <c r="G784" t="inlineStr">
        <is>
          <t>NYBRO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23479-2025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45792</v>
      </c>
      <c r="E785" s="1" t="n">
        <v>46286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8.800000000000001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23485-2025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45792</v>
      </c>
      <c r="E786" s="1" t="n">
        <v>46286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32397-2026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46238</v>
      </c>
      <c r="E787" s="1" t="n">
        <v>46286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46286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18092-2025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45761</v>
      </c>
      <c r="E789" s="1" t="n">
        <v>46286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32788-2026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46241</v>
      </c>
      <c r="E790" s="1" t="n">
        <v>46286</v>
      </c>
      <c r="F790" t="inlineStr">
        <is>
          <t>KALMAR LÄN</t>
        </is>
      </c>
      <c r="G790" t="inlineStr">
        <is>
          <t>NYBRO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19943-2022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44697</v>
      </c>
      <c r="E791" s="1" t="n">
        <v>46286</v>
      </c>
      <c r="F791" t="inlineStr">
        <is>
          <t>KALMAR LÄN</t>
        </is>
      </c>
      <c r="G791" t="inlineStr">
        <is>
          <t>NYBRO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38288-2026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46282</v>
      </c>
      <c r="E792" s="1" t="n">
        <v>46286</v>
      </c>
      <c r="F792" t="inlineStr">
        <is>
          <t>KALMAR LÄN</t>
        </is>
      </c>
      <c r="G792" t="inlineStr">
        <is>
          <t>NYBRO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46286</v>
      </c>
      <c r="F793" t="inlineStr">
        <is>
          <t>KALMAR LÄN</t>
        </is>
      </c>
      <c r="G793" t="inlineStr">
        <is>
          <t>NYBRO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34362-2024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45525</v>
      </c>
      <c r="E794" s="1" t="n">
        <v>46286</v>
      </c>
      <c r="F794" t="inlineStr">
        <is>
          <t>KALMAR LÄN</t>
        </is>
      </c>
      <c r="G794" t="inlineStr">
        <is>
          <t>NYBRO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45812</v>
      </c>
      <c r="E795" s="1" t="n">
        <v>46286</v>
      </c>
      <c r="F795" t="inlineStr">
        <is>
          <t>KALMAR LÄN</t>
        </is>
      </c>
      <c r="G795" t="inlineStr">
        <is>
          <t>NYBRO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28362-2025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45818</v>
      </c>
      <c r="E796" s="1" t="n">
        <v>46286</v>
      </c>
      <c r="F796" t="inlineStr">
        <is>
          <t>KALMAR LÄN</t>
        </is>
      </c>
      <c r="G796" t="inlineStr">
        <is>
          <t>NYBRO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46286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46286</v>
      </c>
      <c r="F798" t="inlineStr">
        <is>
          <t>KALMAR LÄN</t>
        </is>
      </c>
      <c r="G798" t="inlineStr">
        <is>
          <t>NYBRO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46286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46286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45833</v>
      </c>
      <c r="E801" s="1" t="n">
        <v>46286</v>
      </c>
      <c r="F801" t="inlineStr">
        <is>
          <t>KALMAR LÄN</t>
        </is>
      </c>
      <c r="G801" t="inlineStr">
        <is>
          <t>NYBRO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46286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31747-2025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46286</v>
      </c>
      <c r="F803" t="inlineStr">
        <is>
          <t>KALMAR LÄN</t>
        </is>
      </c>
      <c r="G803" t="inlineStr">
        <is>
          <t>NYBRO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31707-2025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46286</v>
      </c>
      <c r="F804" t="inlineStr">
        <is>
          <t>KALMAR LÄN</t>
        </is>
      </c>
      <c r="G804" t="inlineStr">
        <is>
          <t>NYBRO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46286</v>
      </c>
      <c r="F805" t="inlineStr">
        <is>
          <t>KALMAR LÄN</t>
        </is>
      </c>
      <c r="G805" t="inlineStr">
        <is>
          <t>NYBRO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32344-2025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45837</v>
      </c>
      <c r="E806" s="1" t="n">
        <v>46286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46286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45616</v>
      </c>
      <c r="E808" s="1" t="n">
        <v>46286</v>
      </c>
      <c r="F808" t="inlineStr">
        <is>
          <t>KALMAR LÄN</t>
        </is>
      </c>
      <c r="G808" t="inlineStr">
        <is>
          <t>NYBRO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46286</v>
      </c>
      <c r="F809" t="inlineStr">
        <is>
          <t>KALMAR LÄN</t>
        </is>
      </c>
      <c r="G809" t="inlineStr">
        <is>
          <t>NYBRO</t>
        </is>
      </c>
      <c r="I809" t="n">
        <v>10.1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46286</v>
      </c>
      <c r="F810" t="inlineStr">
        <is>
          <t>KALMAR LÄN</t>
        </is>
      </c>
      <c r="G810" t="inlineStr">
        <is>
          <t>NYBRO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45846</v>
      </c>
      <c r="E811" s="1" t="n">
        <v>46286</v>
      </c>
      <c r="F811" t="inlineStr">
        <is>
          <t>KALMAR LÄN</t>
        </is>
      </c>
      <c r="G811" t="inlineStr">
        <is>
          <t>NYBRO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46286</v>
      </c>
      <c r="F812" t="inlineStr">
        <is>
          <t>KALMAR LÄN</t>
        </is>
      </c>
      <c r="G812" t="inlineStr">
        <is>
          <t>NYBRO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45852</v>
      </c>
      <c r="E813" s="1" t="n">
        <v>46286</v>
      </c>
      <c r="F813" t="inlineStr">
        <is>
          <t>KALMAR LÄN</t>
        </is>
      </c>
      <c r="G813" t="inlineStr">
        <is>
          <t>NYBRO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35522-2025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45856</v>
      </c>
      <c r="E814" s="1" t="n">
        <v>46286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46286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46286</v>
      </c>
      <c r="F816" t="inlineStr">
        <is>
          <t>KALMAR LÄN</t>
        </is>
      </c>
      <c r="G816" t="inlineStr">
        <is>
          <t>NYBRO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54255-2024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46286</v>
      </c>
      <c r="F817" t="inlineStr">
        <is>
          <t>KALMAR LÄN</t>
        </is>
      </c>
      <c r="G817" t="inlineStr">
        <is>
          <t>NYBRO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46286</v>
      </c>
      <c r="F818" t="inlineStr">
        <is>
          <t>KALMAR LÄN</t>
        </is>
      </c>
      <c r="G818" t="inlineStr">
        <is>
          <t>NYBRO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37559-2025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45880</v>
      </c>
      <c r="E819" s="1" t="n">
        <v>46286</v>
      </c>
      <c r="F819" t="inlineStr">
        <is>
          <t>KALMAR LÄN</t>
        </is>
      </c>
      <c r="G819" t="inlineStr">
        <is>
          <t>NYBRO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46286</v>
      </c>
      <c r="F820" t="inlineStr">
        <is>
          <t>KALMAR LÄN</t>
        </is>
      </c>
      <c r="G820" t="inlineStr">
        <is>
          <t>NYBRO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38202-2025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45882</v>
      </c>
      <c r="E821" s="1" t="n">
        <v>46286</v>
      </c>
      <c r="F821" t="inlineStr">
        <is>
          <t>KALMAR LÄN</t>
        </is>
      </c>
      <c r="G821" t="inlineStr">
        <is>
          <t>NYBRO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45882</v>
      </c>
      <c r="E822" s="1" t="n">
        <v>46286</v>
      </c>
      <c r="F822" t="inlineStr">
        <is>
          <t>KALMAR LÄN</t>
        </is>
      </c>
      <c r="G822" t="inlineStr">
        <is>
          <t>NYBRO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45883</v>
      </c>
      <c r="E823" s="1" t="n">
        <v>46286</v>
      </c>
      <c r="F823" t="inlineStr">
        <is>
          <t>KALMAR LÄN</t>
        </is>
      </c>
      <c r="G823" t="inlineStr">
        <is>
          <t>NYBRO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46286</v>
      </c>
      <c r="F824" t="inlineStr">
        <is>
          <t>KALMAR LÄN</t>
        </is>
      </c>
      <c r="G824" t="inlineStr">
        <is>
          <t>NYBRO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46286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46286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46286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46286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46286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46286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46286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46286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46286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46286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46286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570-2022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44592</v>
      </c>
      <c r="E836" s="1" t="n">
        <v>46286</v>
      </c>
      <c r="F836" t="inlineStr">
        <is>
          <t>KALMAR LÄN</t>
        </is>
      </c>
      <c r="G836" t="inlineStr">
        <is>
          <t>NYBRO</t>
        </is>
      </c>
      <c r="I836" t="n">
        <v>23.4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45558</v>
      </c>
      <c r="E837" s="1" t="n">
        <v>46286</v>
      </c>
      <c r="F837" t="inlineStr">
        <is>
          <t>KALMAR LÄN</t>
        </is>
      </c>
      <c r="G837" t="inlineStr">
        <is>
          <t>NYBRO</t>
        </is>
      </c>
      <c r="I837" t="n">
        <v>23.6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477-2022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46286</v>
      </c>
      <c r="F838" t="inlineStr">
        <is>
          <t>KALMAR LÄN</t>
        </is>
      </c>
      <c r="G838" t="inlineStr">
        <is>
          <t>NYBRO</t>
        </is>
      </c>
      <c r="I838" t="n">
        <v>10.1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46286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46286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46286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46286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654-2022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44594</v>
      </c>
      <c r="E843" s="1" t="n">
        <v>46286</v>
      </c>
      <c r="F843" t="inlineStr">
        <is>
          <t>KALMAR LÄN</t>
        </is>
      </c>
      <c r="G843" t="inlineStr">
        <is>
          <t>NYBRO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2489-2022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44693</v>
      </c>
      <c r="E844" s="1" t="n">
        <v>46286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46286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46286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46286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46286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453-2022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44587</v>
      </c>
      <c r="E849" s="1" t="n">
        <v>46286</v>
      </c>
      <c r="F849" t="inlineStr">
        <is>
          <t>KALMAR LÄN</t>
        </is>
      </c>
      <c r="G849" t="inlineStr">
        <is>
          <t>NYBRO</t>
        </is>
      </c>
      <c r="I849" t="n">
        <v>20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46286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46286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46286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46286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46286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46286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46286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46286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46286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46286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46286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2026-09-21T02:00:42Z</dcterms:created>
  <dcterms:modified xmlns:dcterms="http://purl.org/dc/terms/" xmlns:xsi="http://www.w3.org/2001/XMLSchema-instance" xsi:type="dcterms:W3CDTF">2026-09-21T02:00:43Z</dcterms:modified>
</cp:coreProperties>
</file>