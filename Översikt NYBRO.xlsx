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46297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46297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46297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46297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46297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46297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46297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46297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46297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46297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46297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46297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46297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46297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46297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46297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46297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46297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46297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46297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46297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46297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46297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46297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46297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46297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46297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46297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46297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46297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46297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46297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46297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46297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46297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46297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46297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46297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46297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46297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46297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46297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46297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63006-2025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46297</v>
      </c>
      <c r="F54" t="inlineStr">
        <is>
          <t>KALMAR LÄN</t>
        </is>
      </c>
      <c r="G54" t="inlineStr">
        <is>
          <t>NYBRO</t>
        </is>
      </c>
      <c r="I54" t="n">
        <v>6.8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Bronshjon
Mindre märgborre</t>
        </is>
      </c>
      <c r="W54">
        <f>HYPERLINK("https://klasma.github.io/Logging_0881/artfynd/A 63006-2025 artfynd.xlsx", "A 63006-2025")</f>
        <v/>
      </c>
      <c r="X54">
        <f>HYPERLINK("https://klasma.github.io/Logging_0881/kartor/A 63006-2025 karta.png", "A 63006-2025")</f>
        <v/>
      </c>
      <c r="Y54">
        <f>HYPERLINK("https://klasma.github.io/Logging_0881/kartor_geotiff/A 63006-2025 georefererad karta.tif", "A 63006-2025")</f>
        <v/>
      </c>
      <c r="AA54">
        <f>HYPERLINK("https://klasma.github.io/Logging_0881/klagomål/A 63006-2025 FSC-klagomål.docx", "A 63006-2025")</f>
        <v/>
      </c>
      <c r="AB54">
        <f>HYPERLINK("https://klasma.github.io/Logging_0881/klagomålsmail/A 63006-2025 FSC-klagomål mail.docx", "A 63006-2025")</f>
        <v/>
      </c>
      <c r="AC54">
        <f>HYPERLINK("https://klasma.github.io/Logging_0881/tillsyn/A 63006-2025 tillsynsbegäran.docx", "A 63006-2025")</f>
        <v/>
      </c>
      <c r="AD54">
        <f>HYPERLINK("https://klasma.github.io/Logging_0881/tillsynsmail/A 63006-2025 tillsynsbegäran mail.docx", "A 63006-2025")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46297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20639-2026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46297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Ljungögontröst
Dvärglin</t>
        </is>
      </c>
      <c r="W56">
        <f>HYPERLINK("https://klasma.github.io/Logging_0881/artfynd/A 20639-2026 artfynd.xlsx", "A 20639-2026")</f>
        <v/>
      </c>
      <c r="X56">
        <f>HYPERLINK("https://klasma.github.io/Logging_0881/kartor/A 20639-2026 karta.png", "A 20639-2026")</f>
        <v/>
      </c>
      <c r="Y56">
        <f>HYPERLINK("https://klasma.github.io/Logging_0881/kartor_geotiff/A 20639-2026 georefererad karta.tif", "A 20639-2026")</f>
        <v/>
      </c>
      <c r="AA56">
        <f>HYPERLINK("https://klasma.github.io/Logging_0881/klagomål/A 20639-2026 FSC-klagomål.docx", "A 20639-2026")</f>
        <v/>
      </c>
      <c r="AB56">
        <f>HYPERLINK("https://klasma.github.io/Logging_0881/klagomålsmail/A 20639-2026 FSC-klagomål mail.docx", "A 20639-2026")</f>
        <v/>
      </c>
      <c r="AC56">
        <f>HYPERLINK("https://klasma.github.io/Logging_0881/tillsyn/A 20639-2026 tillsynsbegäran.docx", "A 20639-2026")</f>
        <v/>
      </c>
      <c r="AD56">
        <f>HYPERLINK("https://klasma.github.io/Logging_0881/tillsynsmail/A 20639-2026 tillsynsbegäran mail.docx", "A 20639-2026")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46297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44064-2023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46297</v>
      </c>
      <c r="F58" t="inlineStr">
        <is>
          <t>KALMAR LÄN</t>
        </is>
      </c>
      <c r="G58" t="inlineStr">
        <is>
          <t>NYBRO</t>
        </is>
      </c>
      <c r="I58" t="n">
        <v>1.8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Rostfläck
Sotlav</t>
        </is>
      </c>
      <c r="W58">
        <f>HYPERLINK("https://klasma.github.io/Logging_0881/artfynd/A 44064-2023 artfynd.xlsx", "A 44064-2023")</f>
        <v/>
      </c>
      <c r="X58">
        <f>HYPERLINK("https://klasma.github.io/Logging_0881/kartor/A 44064-2023 karta.png", "A 44064-2023")</f>
        <v/>
      </c>
      <c r="Y58">
        <f>HYPERLINK("https://klasma.github.io/Logging_0881/kartor_geotiff/A 44064-2023 georefererad karta.tif", "A 44064-2023")</f>
        <v/>
      </c>
      <c r="AA58">
        <f>HYPERLINK("https://klasma.github.io/Logging_0881/klagomål/A 44064-2023 FSC-klagomål.docx", "A 44064-2023")</f>
        <v/>
      </c>
      <c r="AB58">
        <f>HYPERLINK("https://klasma.github.io/Logging_0881/klagomålsmail/A 44064-2023 FSC-klagomål mail.docx", "A 44064-2023")</f>
        <v/>
      </c>
      <c r="AC58">
        <f>HYPERLINK("https://klasma.github.io/Logging_0881/tillsyn/A 44064-2023 tillsynsbegäran.docx", "A 44064-2023")</f>
        <v/>
      </c>
      <c r="AD58">
        <f>HYPERLINK("https://klasma.github.io/Logging_0881/tillsynsmail/A 44064-2023 tillsynsbegäran mail.docx", "A 44064-2023")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46297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22316-2024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46297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Nordfladdermus
Dvärgpipistrell</t>
        </is>
      </c>
      <c r="W60">
        <f>HYPERLINK("https://klasma.github.io/Logging_0881/artfynd/A 22316-2024 artfynd.xlsx", "A 22316-2024")</f>
        <v/>
      </c>
      <c r="X60">
        <f>HYPERLINK("https://klasma.github.io/Logging_0881/kartor/A 22316-2024 karta.png", "A 22316-2024")</f>
        <v/>
      </c>
      <c r="Y60">
        <f>HYPERLINK("https://klasma.github.io/Logging_0881/kartor_geotiff/A 22316-2024 georefererad karta.tif", "A 22316-2024")</f>
        <v/>
      </c>
      <c r="AA60">
        <f>HYPERLINK("https://klasma.github.io/Logging_0881/klagomål/A 22316-2024 FSC-klagomål.docx", "A 22316-2024")</f>
        <v/>
      </c>
      <c r="AB60">
        <f>HYPERLINK("https://klasma.github.io/Logging_0881/klagomålsmail/A 22316-2024 FSC-klagomål mail.docx", "A 22316-2024")</f>
        <v/>
      </c>
      <c r="AC60">
        <f>HYPERLINK("https://klasma.github.io/Logging_0881/tillsyn/A 22316-2024 tillsynsbegäran.docx", "A 22316-2024")</f>
        <v/>
      </c>
      <c r="AD60">
        <f>HYPERLINK("https://klasma.github.io/Logging_0881/tillsynsmail/A 22316-2024 tillsynsbegäran mail.docx", "A 22316-2024")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46297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46297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46297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46297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46297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46297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46297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46297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46297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46297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46297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46297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46297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46297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46297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46297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46297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46297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7038-2026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46297</v>
      </c>
      <c r="F79" t="inlineStr">
        <is>
          <t>KALMAR LÄN</t>
        </is>
      </c>
      <c r="G79" t="inlineStr">
        <is>
          <t>NYBRO</t>
        </is>
      </c>
      <c r="I79" t="n">
        <v>0.5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flatbagge</t>
        </is>
      </c>
      <c r="W79">
        <f>HYPERLINK("https://klasma.github.io/Logging_0881/artfynd/A 7038-2026 artfynd.xlsx", "A 7038-2026")</f>
        <v/>
      </c>
      <c r="X79">
        <f>HYPERLINK("https://klasma.github.io/Logging_0881/kartor/A 7038-2026 karta.png", "A 7038-2026")</f>
        <v/>
      </c>
      <c r="Y79">
        <f>HYPERLINK("https://klasma.github.io/Logging_0881/kartor_geotiff/A 7038-2026 georefererad karta.tif", "A 7038-2026")</f>
        <v/>
      </c>
      <c r="AA79">
        <f>HYPERLINK("https://klasma.github.io/Logging_0881/klagomål/A 7038-2026 FSC-klagomål.docx", "A 7038-2026")</f>
        <v/>
      </c>
      <c r="AB79">
        <f>HYPERLINK("https://klasma.github.io/Logging_0881/klagomålsmail/A 7038-2026 FSC-klagomål mail.docx", "A 7038-2026")</f>
        <v/>
      </c>
      <c r="AC79">
        <f>HYPERLINK("https://klasma.github.io/Logging_0881/tillsyn/A 7038-2026 tillsynsbegäran.docx", "A 7038-2026")</f>
        <v/>
      </c>
      <c r="AD79">
        <f>HYPERLINK("https://klasma.github.io/Logging_0881/tillsynsmail/A 7038-2026 tillsynsbegäran mail.docx", "A 7038-2026")</f>
        <v/>
      </c>
    </row>
    <row r="80" ht="15" customHeight="1">
      <c r="A80" t="inlineStr">
        <is>
          <t>A 61140-2022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46297</v>
      </c>
      <c r="F80" t="inlineStr">
        <is>
          <t>KALMAR LÄN</t>
        </is>
      </c>
      <c r="G80" t="inlineStr">
        <is>
          <t>NYBRO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HYPERLINK("https://klasma.github.io/Logging_0881/artfynd/A 61140-2022 artfynd.xlsx", "A 61140-2022")</f>
        <v/>
      </c>
      <c r="X80">
        <f>HYPERLINK("https://klasma.github.io/Logging_0881/kartor/A 61140-2022 karta.png", "A 61140-2022")</f>
        <v/>
      </c>
      <c r="Y80">
        <f>HYPERLINK("https://klasma.github.io/Logging_0881/kartor_geotiff/A 61140-2022 georefererad karta.tif", "A 61140-2022")</f>
        <v/>
      </c>
      <c r="AA80">
        <f>HYPERLINK("https://klasma.github.io/Logging_0881/klagomål/A 61140-2022 FSC-klagomål.docx", "A 61140-2022")</f>
        <v/>
      </c>
      <c r="AB80">
        <f>HYPERLINK("https://klasma.github.io/Logging_0881/klagomålsmail/A 61140-2022 FSC-klagomål mail.docx", "A 61140-2022")</f>
        <v/>
      </c>
      <c r="AC80">
        <f>HYPERLINK("https://klasma.github.io/Logging_0881/tillsyn/A 61140-2022 tillsynsbegäran.docx", "A 61140-2022")</f>
        <v/>
      </c>
      <c r="AD80">
        <f>HYPERLINK("https://klasma.github.io/Logging_0881/tillsynsmail/A 61140-2022 tillsynsbegäran mail.docx", "A 61140-2022")</f>
        <v/>
      </c>
      <c r="AE80">
        <f>HYPERLINK("https://klasma.github.io/Logging_0881/fåglar/A 61140-2022 prioriterade fågelarter.docx", "A 61140-2022")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46297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49782-2025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46297</v>
      </c>
      <c r="F82" t="inlineStr">
        <is>
          <t>KALMAR LÄN</t>
        </is>
      </c>
      <c r="G82" t="inlineStr">
        <is>
          <t>NYBRO</t>
        </is>
      </c>
      <c r="I82" t="n">
        <v>5.9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HYPERLINK("https://klasma.github.io/Logging_0881/artfynd/A 49782-2025 artfynd.xlsx", "A 49782-2025")</f>
        <v/>
      </c>
      <c r="X82">
        <f>HYPERLINK("https://klasma.github.io/Logging_0881/kartor/A 49782-2025 karta.png", "A 49782-2025")</f>
        <v/>
      </c>
      <c r="Y82">
        <f>HYPERLINK("https://klasma.github.io/Logging_0881/kartor_geotiff/A 49782-2025 georefererad karta.tif", "A 49782-2025")</f>
        <v/>
      </c>
      <c r="AA82">
        <f>HYPERLINK("https://klasma.github.io/Logging_0881/klagomål/A 49782-2025 FSC-klagomål.docx", "A 49782-2025")</f>
        <v/>
      </c>
      <c r="AB82">
        <f>HYPERLINK("https://klasma.github.io/Logging_0881/klagomålsmail/A 49782-2025 FSC-klagomål mail.docx", "A 49782-2025")</f>
        <v/>
      </c>
      <c r="AC82">
        <f>HYPERLINK("https://klasma.github.io/Logging_0881/tillsyn/A 49782-2025 tillsynsbegäran.docx", "A 49782-2025")</f>
        <v/>
      </c>
      <c r="AD82">
        <f>HYPERLINK("https://klasma.github.io/Logging_0881/tillsynsmail/A 49782-2025 tillsynsbegäran mail.docx", "A 49782-2025")</f>
        <v/>
      </c>
      <c r="AE82">
        <f>HYPERLINK("https://klasma.github.io/Logging_0881/fåglar/A 49782-2025 prioriterade fågelarter.docx", "A 49782-2025")</f>
        <v/>
      </c>
    </row>
    <row r="83" ht="15" customHeight="1">
      <c r="A83" t="inlineStr">
        <is>
          <t>A 22952-2024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45449</v>
      </c>
      <c r="E83" s="1" t="n">
        <v>46297</v>
      </c>
      <c r="F83" t="inlineStr">
        <is>
          <t>KALMAR LÄN</t>
        </is>
      </c>
      <c r="G83" t="inlineStr">
        <is>
          <t>NYBRO</t>
        </is>
      </c>
      <c r="I83" t="n">
        <v>14.1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HYPERLINK("https://klasma.github.io/Logging_0881/artfynd/A 22952-2024 artfynd.xlsx", "A 22952-2024")</f>
        <v/>
      </c>
      <c r="X83">
        <f>HYPERLINK("https://klasma.github.io/Logging_0881/kartor/A 22952-2024 karta.png", "A 22952-2024")</f>
        <v/>
      </c>
      <c r="Y83">
        <f>HYPERLINK("https://klasma.github.io/Logging_0881/kartor_geotiff/A 22952-2024 georefererad karta.tif", "A 22952-2024")</f>
        <v/>
      </c>
      <c r="AA83">
        <f>HYPERLINK("https://klasma.github.io/Logging_0881/klagomål/A 22952-2024 FSC-klagomål.docx", "A 22952-2024")</f>
        <v/>
      </c>
      <c r="AB83">
        <f>HYPERLINK("https://klasma.github.io/Logging_0881/klagomålsmail/A 22952-2024 FSC-klagomål mail.docx", "A 22952-2024")</f>
        <v/>
      </c>
      <c r="AC83">
        <f>HYPERLINK("https://klasma.github.io/Logging_0881/tillsyn/A 22952-2024 tillsynsbegäran.docx", "A 22952-2024")</f>
        <v/>
      </c>
      <c r="AD83">
        <f>HYPERLINK("https://klasma.github.io/Logging_0881/tillsynsmail/A 22952-2024 tillsynsbegäran mail.docx", "A 22952-2024")</f>
        <v/>
      </c>
    </row>
    <row r="84" ht="15" customHeight="1">
      <c r="A84" t="inlineStr">
        <is>
          <t>A 13412-2026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46297</v>
      </c>
      <c r="F84" t="inlineStr">
        <is>
          <t>KALMAR LÄN</t>
        </is>
      </c>
      <c r="G84" t="inlineStr">
        <is>
          <t>NYBRO</t>
        </is>
      </c>
      <c r="I84" t="n">
        <v>3.2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Slåtterfibbla</t>
        </is>
      </c>
      <c r="W84">
        <f>HYPERLINK("https://klasma.github.io/Logging_0881/artfynd/A 13412-2026 artfynd.xlsx", "A 13412-2026")</f>
        <v/>
      </c>
      <c r="X84">
        <f>HYPERLINK("https://klasma.github.io/Logging_0881/kartor/A 13412-2026 karta.png", "A 13412-2026")</f>
        <v/>
      </c>
      <c r="Y84">
        <f>HYPERLINK("https://klasma.github.io/Logging_0881/kartor_geotiff/A 13412-2026 georefererad karta.tif", "A 13412-2026")</f>
        <v/>
      </c>
      <c r="AA84">
        <f>HYPERLINK("https://klasma.github.io/Logging_0881/klagomål/A 13412-2026 FSC-klagomål.docx", "A 13412-2026")</f>
        <v/>
      </c>
      <c r="AB84">
        <f>HYPERLINK("https://klasma.github.io/Logging_0881/klagomålsmail/A 13412-2026 FSC-klagomål mail.docx", "A 13412-2026")</f>
        <v/>
      </c>
      <c r="AC84">
        <f>HYPERLINK("https://klasma.github.io/Logging_0881/tillsyn/A 13412-2026 tillsynsbegäran.docx", "A 13412-2026")</f>
        <v/>
      </c>
      <c r="AD84">
        <f>HYPERLINK("https://klasma.github.io/Logging_0881/tillsynsmail/A 13412-2026 tillsynsbegäran mail.docx", "A 13412-2026")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46297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Sumpviol</t>
        </is>
      </c>
      <c r="W85">
        <f>HYPERLINK("https://klasma.github.io/Logging_0881/artfynd/A 46223-2024 artfynd.xlsx", "A 46223-2024")</f>
        <v/>
      </c>
      <c r="X85">
        <f>HYPERLINK("https://klasma.github.io/Logging_0881/kartor/A 46223-2024 karta.png", "A 46223-2024")</f>
        <v/>
      </c>
      <c r="Y85">
        <f>HYPERLINK("https://klasma.github.io/Logging_0881/kartor_geotiff/A 46223-2024 georefererad karta.tif", "A 46223-2024")</f>
        <v/>
      </c>
      <c r="AA85">
        <f>HYPERLINK("https://klasma.github.io/Logging_0881/klagomål/A 46223-2024 FSC-klagomål.docx", "A 46223-2024")</f>
        <v/>
      </c>
      <c r="AB85">
        <f>HYPERLINK("https://klasma.github.io/Logging_0881/klagomålsmail/A 46223-2024 FSC-klagomål mail.docx", "A 46223-2024")</f>
        <v/>
      </c>
      <c r="AC85">
        <f>HYPERLINK("https://klasma.github.io/Logging_0881/tillsyn/A 46223-2024 tillsynsbegäran.docx", "A 46223-2024")</f>
        <v/>
      </c>
      <c r="AD85">
        <f>HYPERLINK("https://klasma.github.io/Logging_0881/tillsynsmail/A 46223-2024 tillsynsbegäran mail.docx", "A 46223-2024")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46297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46297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46297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46297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54216-2024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46297</v>
      </c>
      <c r="F90" t="inlineStr">
        <is>
          <t>KALMAR LÄN</t>
        </is>
      </c>
      <c r="G90" t="inlineStr">
        <is>
          <t>NYBRO</t>
        </is>
      </c>
      <c r="I90" t="n">
        <v>4.4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HYPERLINK("https://klasma.github.io/Logging_0881/artfynd/A 54216-2024 artfynd.xlsx", "A 54216-2024")</f>
        <v/>
      </c>
      <c r="X90">
        <f>HYPERLINK("https://klasma.github.io/Logging_0881/kartor/A 54216-2024 karta.png", "A 54216-2024")</f>
        <v/>
      </c>
      <c r="Y90">
        <f>HYPERLINK("https://klasma.github.io/Logging_0881/kartor_geotiff/A 54216-2024 georefererad karta.tif", "A 54216-2024")</f>
        <v/>
      </c>
      <c r="AA90">
        <f>HYPERLINK("https://klasma.github.io/Logging_0881/klagomål/A 54216-2024 FSC-klagomål.docx", "A 54216-2024")</f>
        <v/>
      </c>
      <c r="AB90">
        <f>HYPERLINK("https://klasma.github.io/Logging_0881/klagomålsmail/A 54216-2024 FSC-klagomål mail.docx", "A 54216-2024")</f>
        <v/>
      </c>
      <c r="AC90">
        <f>HYPERLINK("https://klasma.github.io/Logging_0881/tillsyn/A 54216-2024 tillsynsbegäran.docx", "A 54216-2024")</f>
        <v/>
      </c>
      <c r="AD90">
        <f>HYPERLINK("https://klasma.github.io/Logging_0881/tillsynsmail/A 54216-2024 tillsynsbegäran mail.docx", "A 54216-2024")</f>
        <v/>
      </c>
      <c r="AE90">
        <f>HYPERLINK("https://klasma.github.io/Logging_0881/fåglar/A 54216-2024 prioriterade fågelarter.docx", "A 54216-2024")</f>
        <v/>
      </c>
    </row>
    <row r="91" ht="15" customHeight="1">
      <c r="A91" t="inlineStr">
        <is>
          <t>A 20647-2026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46297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Ljungögontröst</t>
        </is>
      </c>
      <c r="W91">
        <f>HYPERLINK("https://klasma.github.io/Logging_0881/artfynd/A 20647-2026 artfynd.xlsx", "A 20647-2026")</f>
        <v/>
      </c>
      <c r="X91">
        <f>HYPERLINK("https://klasma.github.io/Logging_0881/kartor/A 20647-2026 karta.png", "A 20647-2026")</f>
        <v/>
      </c>
      <c r="Y91">
        <f>HYPERLINK("https://klasma.github.io/Logging_0881/kartor_geotiff/A 20647-2026 georefererad karta.tif", "A 20647-2026")</f>
        <v/>
      </c>
      <c r="AA91">
        <f>HYPERLINK("https://klasma.github.io/Logging_0881/klagomål/A 20647-2026 FSC-klagomål.docx", "A 20647-2026")</f>
        <v/>
      </c>
      <c r="AB91">
        <f>HYPERLINK("https://klasma.github.io/Logging_0881/klagomålsmail/A 20647-2026 FSC-klagomål mail.docx", "A 20647-2026")</f>
        <v/>
      </c>
      <c r="AC91">
        <f>HYPERLINK("https://klasma.github.io/Logging_0881/tillsyn/A 20647-2026 tillsynsbegäran.docx", "A 20647-2026")</f>
        <v/>
      </c>
      <c r="AD91">
        <f>HYPERLINK("https://klasma.github.io/Logging_0881/tillsynsmail/A 20647-2026 tillsynsbegäran mail.docx", "A 20647-2026")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46297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46297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Talltita</t>
        </is>
      </c>
      <c r="W93">
        <f>HYPERLINK("https://klasma.github.io/Logging_0881/artfynd/A 22097-2026 artfynd.xlsx", "A 22097-2026")</f>
        <v/>
      </c>
      <c r="X93">
        <f>HYPERLINK("https://klasma.github.io/Logging_0881/kartor/A 22097-2026 karta.png", "A 22097-2026")</f>
        <v/>
      </c>
      <c r="Y93">
        <f>HYPERLINK("https://klasma.github.io/Logging_0881/kartor_geotiff/A 22097-2026 georefererad karta.tif", "A 22097-2026")</f>
        <v/>
      </c>
      <c r="AA93">
        <f>HYPERLINK("https://klasma.github.io/Logging_0881/klagomål/A 22097-2026 FSC-klagomål.docx", "A 22097-2026")</f>
        <v/>
      </c>
      <c r="AB93">
        <f>HYPERLINK("https://klasma.github.io/Logging_0881/klagomålsmail/A 22097-2026 FSC-klagomål mail.docx", "A 22097-2026")</f>
        <v/>
      </c>
      <c r="AC93">
        <f>HYPERLINK("https://klasma.github.io/Logging_0881/tillsyn/A 22097-2026 tillsynsbegäran.docx", "A 22097-2026")</f>
        <v/>
      </c>
      <c r="AD93">
        <f>HYPERLINK("https://klasma.github.io/Logging_0881/tillsynsmail/A 22097-2026 tillsynsbegäran mail.docx", "A 22097-2026")</f>
        <v/>
      </c>
      <c r="AE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46297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Talltita</t>
        </is>
      </c>
      <c r="W94">
        <f>HYPERLINK("https://klasma.github.io/Logging_0881/artfynd/A 22089-2026 artfynd.xlsx", "A 22089-2026")</f>
        <v/>
      </c>
      <c r="X94">
        <f>HYPERLINK("https://klasma.github.io/Logging_0881/kartor/A 22089-2026 karta.png", "A 22089-2026")</f>
        <v/>
      </c>
      <c r="Y94">
        <f>HYPERLINK("https://klasma.github.io/Logging_0881/kartor_geotiff/A 22089-2026 georefererad karta.tif", "A 22089-2026")</f>
        <v/>
      </c>
      <c r="AA94">
        <f>HYPERLINK("https://klasma.github.io/Logging_0881/klagomål/A 22089-2026 FSC-klagomål.docx", "A 22089-2026")</f>
        <v/>
      </c>
      <c r="AB94">
        <f>HYPERLINK("https://klasma.github.io/Logging_0881/klagomålsmail/A 22089-2026 FSC-klagomål mail.docx", "A 22089-2026")</f>
        <v/>
      </c>
      <c r="AC94">
        <f>HYPERLINK("https://klasma.github.io/Logging_0881/tillsyn/A 22089-2026 tillsynsbegäran.docx", "A 22089-2026")</f>
        <v/>
      </c>
      <c r="AD94">
        <f>HYPERLINK("https://klasma.github.io/Logging_0881/tillsynsmail/A 22089-2026 tillsynsbegäran mail.docx", "A 22089-2026")</f>
        <v/>
      </c>
      <c r="AE94">
        <f>HYPERLINK("https://klasma.github.io/Logging_0881/fåglar/A 22089-2026 prioriterade fågelarter.docx", "A 22089-2026")</f>
        <v/>
      </c>
    </row>
    <row r="95" ht="15" customHeight="1">
      <c r="A95" t="inlineStr">
        <is>
          <t>A 37016-2023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46297</v>
      </c>
      <c r="F95" t="inlineStr">
        <is>
          <t>KALMAR LÄN</t>
        </is>
      </c>
      <c r="G95" t="inlineStr">
        <is>
          <t>NYBRO</t>
        </is>
      </c>
      <c r="I95" t="n">
        <v>6.4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Slåttergubbe</t>
        </is>
      </c>
      <c r="W95">
        <f>HYPERLINK("https://klasma.github.io/Logging_0881/artfynd/A 37016-2023 artfynd.xlsx", "A 37016-2023")</f>
        <v/>
      </c>
      <c r="X95">
        <f>HYPERLINK("https://klasma.github.io/Logging_0881/kartor/A 37016-2023 karta.png", "A 37016-2023")</f>
        <v/>
      </c>
      <c r="Y95">
        <f>HYPERLINK("https://klasma.github.io/Logging_0881/kartor_geotiff/A 37016-2023 georefererad karta.tif", "A 37016-2023")</f>
        <v/>
      </c>
      <c r="AA95">
        <f>HYPERLINK("https://klasma.github.io/Logging_0881/klagomål/A 37016-2023 FSC-klagomål.docx", "A 37016-2023")</f>
        <v/>
      </c>
      <c r="AB95">
        <f>HYPERLINK("https://klasma.github.io/Logging_0881/klagomålsmail/A 37016-2023 FSC-klagomål mail.docx", "A 37016-2023")</f>
        <v/>
      </c>
      <c r="AC95">
        <f>HYPERLINK("https://klasma.github.io/Logging_0881/tillsyn/A 37016-2023 tillsynsbegäran.docx", "A 37016-2023")</f>
        <v/>
      </c>
      <c r="AD95">
        <f>HYPERLINK("https://klasma.github.io/Logging_0881/tillsynsmail/A 37016-2023 tillsynsbegäran mail.docx", "A 37016-2023")</f>
        <v/>
      </c>
    </row>
    <row r="96" ht="15" customHeight="1">
      <c r="A96" t="inlineStr">
        <is>
          <t>A 24315-2026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46297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8.5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HYPERLINK("https://klasma.github.io/Logging_0881/artfynd/A 24315-2026 artfynd.xlsx", "A 24315-2026")</f>
        <v/>
      </c>
      <c r="X96">
        <f>HYPERLINK("https://klasma.github.io/Logging_0881/kartor/A 24315-2026 karta.png", "A 24315-2026")</f>
        <v/>
      </c>
      <c r="Y96">
        <f>HYPERLINK("https://klasma.github.io/Logging_0881/kartor_geotiff/A 24315-2026 georefererad karta.tif", "A 24315-2026")</f>
        <v/>
      </c>
      <c r="AA96">
        <f>HYPERLINK("https://klasma.github.io/Logging_0881/klagomål/A 24315-2026 FSC-klagomål.docx", "A 24315-2026")</f>
        <v/>
      </c>
      <c r="AB96">
        <f>HYPERLINK("https://klasma.github.io/Logging_0881/klagomålsmail/A 24315-2026 FSC-klagomål mail.docx", "A 24315-2026")</f>
        <v/>
      </c>
      <c r="AC96">
        <f>HYPERLINK("https://klasma.github.io/Logging_0881/tillsyn/A 24315-2026 tillsynsbegäran.docx", "A 24315-2026")</f>
        <v/>
      </c>
      <c r="AD96">
        <f>HYPERLINK("https://klasma.github.io/Logging_0881/tillsynsmail/A 24315-2026 tillsynsbegäran mail.docx", "A 24315-2026")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46297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31861-2023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45118</v>
      </c>
      <c r="E98" s="1" t="n">
        <v>46297</v>
      </c>
      <c r="F98" t="inlineStr">
        <is>
          <t>KALMAR LÄN</t>
        </is>
      </c>
      <c r="G98" t="inlineStr">
        <is>
          <t>NYBRO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Ask</t>
        </is>
      </c>
      <c r="W98">
        <f>HYPERLINK("https://klasma.github.io/Logging_0881/artfynd/A 31861-2023 artfynd.xlsx", "A 31861-2023")</f>
        <v/>
      </c>
      <c r="X98">
        <f>HYPERLINK("https://klasma.github.io/Logging_0881/kartor/A 31861-2023 karta.png", "A 31861-2023")</f>
        <v/>
      </c>
      <c r="Y98">
        <f>HYPERLINK("https://klasma.github.io/Logging_0881/kartor_geotiff/A 31861-2023 georefererad karta.tif", "A 31861-2023")</f>
        <v/>
      </c>
      <c r="AA98">
        <f>HYPERLINK("https://klasma.github.io/Logging_0881/klagomål/A 31861-2023 FSC-klagomål.docx", "A 31861-2023")</f>
        <v/>
      </c>
      <c r="AB98">
        <f>HYPERLINK("https://klasma.github.io/Logging_0881/klagomålsmail/A 31861-2023 FSC-klagomål mail.docx", "A 31861-2023")</f>
        <v/>
      </c>
      <c r="AC98">
        <f>HYPERLINK("https://klasma.github.io/Logging_0881/tillsyn/A 31861-2023 tillsynsbegäran.docx", "A 31861-2023")</f>
        <v/>
      </c>
      <c r="AD98">
        <f>HYPERLINK("https://klasma.github.io/Logging_0881/tillsynsmail/A 31861-2023 tillsynsbegäran mail.docx", "A 31861-2023")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46297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Blåmossa</t>
        </is>
      </c>
      <c r="W99">
        <f>HYPERLINK("https://klasma.github.io/Logging_0881/artfynd/A 26463-2026 artfynd.xlsx", "A 26463-2026")</f>
        <v/>
      </c>
      <c r="X99">
        <f>HYPERLINK("https://klasma.github.io/Logging_0881/kartor/A 26463-2026 karta.png", "A 26463-2026")</f>
        <v/>
      </c>
      <c r="Y99">
        <f>HYPERLINK("https://klasma.github.io/Logging_0881/kartor_geotiff/A 26463-2026 georefererad karta.tif", "A 26463-2026")</f>
        <v/>
      </c>
      <c r="AA99">
        <f>HYPERLINK("https://klasma.github.io/Logging_0881/klagomål/A 26463-2026 FSC-klagomål.docx", "A 26463-2026")</f>
        <v/>
      </c>
      <c r="AB99">
        <f>HYPERLINK("https://klasma.github.io/Logging_0881/klagomålsmail/A 26463-2026 FSC-klagomål mail.docx", "A 26463-2026")</f>
        <v/>
      </c>
      <c r="AC99">
        <f>HYPERLINK("https://klasma.github.io/Logging_0881/tillsyn/A 26463-2026 tillsynsbegäran.docx", "A 26463-2026")</f>
        <v/>
      </c>
      <c r="AD99">
        <f>HYPERLINK("https://klasma.github.io/Logging_0881/tillsynsmail/A 26463-2026 tillsynsbegäran mail.docx", "A 26463-2026")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46297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27669-2026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46190</v>
      </c>
      <c r="E101" s="1" t="n">
        <v>46297</v>
      </c>
      <c r="F101" t="inlineStr">
        <is>
          <t>KALMAR LÄN</t>
        </is>
      </c>
      <c r="G101" t="inlineStr">
        <is>
          <t>NYBRO</t>
        </is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HYPERLINK("https://klasma.github.io/Logging_0881/artfynd/A 27669-2026 artfynd.xlsx", "A 27669-2026")</f>
        <v/>
      </c>
      <c r="X101">
        <f>HYPERLINK("https://klasma.github.io/Logging_0881/kartor/A 27669-2026 karta.png", "A 27669-2026")</f>
        <v/>
      </c>
      <c r="Y101">
        <f>HYPERLINK("https://klasma.github.io/Logging_0881/kartor_geotiff/A 27669-2026 georefererad karta.tif", "A 27669-2026")</f>
        <v/>
      </c>
      <c r="AA101">
        <f>HYPERLINK("https://klasma.github.io/Logging_0881/klagomål/A 27669-2026 FSC-klagomål.docx", "A 27669-2026")</f>
        <v/>
      </c>
      <c r="AB101">
        <f>HYPERLINK("https://klasma.github.io/Logging_0881/klagomålsmail/A 27669-2026 FSC-klagomål mail.docx", "A 27669-2026")</f>
        <v/>
      </c>
      <c r="AC101">
        <f>HYPERLINK("https://klasma.github.io/Logging_0881/tillsyn/A 27669-2026 tillsynsbegäran.docx", "A 27669-2026")</f>
        <v/>
      </c>
      <c r="AD101">
        <f>HYPERLINK("https://klasma.github.io/Logging_0881/tillsynsmail/A 27669-2026 tillsynsbegäran mail.docx", "A 27669-2026")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46297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HYPERLINK("https://klasma.github.io/Logging_0881/artfynd/A 1717-2024 artfynd.xlsx", "A 1717-2024")</f>
        <v/>
      </c>
      <c r="X102">
        <f>HYPERLINK("https://klasma.github.io/Logging_0881/kartor/A 1717-2024 karta.png", "A 1717-2024")</f>
        <v/>
      </c>
      <c r="Y102">
        <f>HYPERLINK("https://klasma.github.io/Logging_0881/kartor_geotiff/A 1717-2024 georefererad karta.tif", "A 1717-2024")</f>
        <v/>
      </c>
      <c r="AA102">
        <f>HYPERLINK("https://klasma.github.io/Logging_0881/klagomål/A 1717-2024 FSC-klagomål.docx", "A 1717-2024")</f>
        <v/>
      </c>
      <c r="AB102">
        <f>HYPERLINK("https://klasma.github.io/Logging_0881/klagomålsmail/A 1717-2024 FSC-klagomål mail.docx", "A 1717-2024")</f>
        <v/>
      </c>
      <c r="AC102">
        <f>HYPERLINK("https://klasma.github.io/Logging_0881/tillsyn/A 1717-2024 tillsynsbegäran.docx", "A 1717-2024")</f>
        <v/>
      </c>
      <c r="AD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46297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Mindre hackspett</t>
        </is>
      </c>
      <c r="W103">
        <f>HYPERLINK("https://klasma.github.io/Logging_0881/artfynd/A 12323-2025 artfynd.xlsx", "A 12323-2025")</f>
        <v/>
      </c>
      <c r="X103">
        <f>HYPERLINK("https://klasma.github.io/Logging_0881/kartor/A 12323-2025 karta.png", "A 12323-2025")</f>
        <v/>
      </c>
      <c r="Y103">
        <f>HYPERLINK("https://klasma.github.io/Logging_0881/kartor_geotiff/A 12323-2025 georefererad karta.tif", "A 12323-2025")</f>
        <v/>
      </c>
      <c r="AA103">
        <f>HYPERLINK("https://klasma.github.io/Logging_0881/klagomål/A 12323-2025 FSC-klagomål.docx", "A 12323-2025")</f>
        <v/>
      </c>
      <c r="AB103">
        <f>HYPERLINK("https://klasma.github.io/Logging_0881/klagomålsmail/A 12323-2025 FSC-klagomål mail.docx", "A 12323-2025")</f>
        <v/>
      </c>
      <c r="AC103">
        <f>HYPERLINK("https://klasma.github.io/Logging_0881/tillsyn/A 12323-2025 tillsynsbegäran.docx", "A 12323-2025")</f>
        <v/>
      </c>
      <c r="AD103">
        <f>HYPERLINK("https://klasma.github.io/Logging_0881/tillsynsmail/A 12323-2025 tillsynsbegäran mail.docx", "A 12323-2025")</f>
        <v/>
      </c>
      <c r="AE103">
        <f>HYPERLINK("https://klasma.github.io/Logging_0881/fåglar/A 12323-2025 prioriterade fågelarter.docx", "A 12323-2025")</f>
        <v/>
      </c>
    </row>
    <row r="104" ht="15" customHeight="1">
      <c r="A104" t="inlineStr">
        <is>
          <t>A 31773-2026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46297</v>
      </c>
      <c r="F104" t="inlineStr">
        <is>
          <t>KALMAR LÄN</t>
        </is>
      </c>
      <c r="G104" t="inlineStr">
        <is>
          <t>NYBRO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Blompraktbagge</t>
        </is>
      </c>
      <c r="W104">
        <f>HYPERLINK("https://klasma.github.io/Logging_0881/artfynd/A 31773-2026 artfynd.xlsx", "A 31773-2026")</f>
        <v/>
      </c>
      <c r="X104">
        <f>HYPERLINK("https://klasma.github.io/Logging_0881/kartor/A 31773-2026 karta.png", "A 31773-2026")</f>
        <v/>
      </c>
      <c r="Y104">
        <f>HYPERLINK("https://klasma.github.io/Logging_0881/kartor_geotiff/A 31773-2026 georefererad karta.tif", "A 31773-2026")</f>
        <v/>
      </c>
      <c r="AA104">
        <f>HYPERLINK("https://klasma.github.io/Logging_0881/klagomål/A 31773-2026 FSC-klagomål.docx", "A 31773-2026")</f>
        <v/>
      </c>
      <c r="AB104">
        <f>HYPERLINK("https://klasma.github.io/Logging_0881/klagomålsmail/A 31773-2026 FSC-klagomål mail.docx", "A 31773-2026")</f>
        <v/>
      </c>
      <c r="AC104">
        <f>HYPERLINK("https://klasma.github.io/Logging_0881/tillsyn/A 31773-2026 tillsynsbegäran.docx", "A 31773-2026")</f>
        <v/>
      </c>
      <c r="AD104">
        <f>HYPERLINK("https://klasma.github.io/Logging_0881/tillsynsmail/A 31773-2026 tillsynsbegäran mail.docx", "A 31773-2026")</f>
        <v/>
      </c>
    </row>
    <row r="105" ht="15" customHeight="1">
      <c r="A105" t="inlineStr">
        <is>
          <t>A 61790-2022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46297</v>
      </c>
      <c r="F105" t="inlineStr">
        <is>
          <t>KALMAR LÄN</t>
        </is>
      </c>
      <c r="G105" t="inlineStr">
        <is>
          <t>NYBRO</t>
        </is>
      </c>
      <c r="H105" t="inlineStr">
        <is>
          <t>Kommuner</t>
        </is>
      </c>
      <c r="I105" t="n">
        <v>3.7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61790-2022 artfynd.xlsx", "A 61790-2022")</f>
        <v/>
      </c>
      <c r="X105">
        <f>HYPERLINK("https://klasma.github.io/Logging_0881/kartor/A 61790-2022 karta.png", "A 61790-2022")</f>
        <v/>
      </c>
      <c r="Y105">
        <f>HYPERLINK("https://klasma.github.io/Logging_0881/kartor_geotiff/A 61790-2022 georefererad karta.tif", "A 61790-2022")</f>
        <v/>
      </c>
      <c r="AA105">
        <f>HYPERLINK("https://klasma.github.io/Logging_0881/klagomål/A 61790-2022 FSC-klagomål.docx", "A 61790-2022")</f>
        <v/>
      </c>
      <c r="AB105">
        <f>HYPERLINK("https://klasma.github.io/Logging_0881/klagomålsmail/A 61790-2022 FSC-klagomål mail.docx", "A 61790-2022")</f>
        <v/>
      </c>
      <c r="AC105">
        <f>HYPERLINK("https://klasma.github.io/Logging_0881/tillsyn/A 61790-2022 tillsynsbegäran.docx", "A 61790-2022")</f>
        <v/>
      </c>
      <c r="AD105">
        <f>HYPERLINK("https://klasma.github.io/Logging_0881/tillsynsmail/A 61790-2022 tillsynsbegäran mail.docx", "A 61790-2022")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46297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22171-2023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46297</v>
      </c>
      <c r="F107" t="inlineStr">
        <is>
          <t>KALMAR LÄN</t>
        </is>
      </c>
      <c r="G107" t="inlineStr">
        <is>
          <t>NYBRO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Blåmossa</t>
        </is>
      </c>
      <c r="W107">
        <f>HYPERLINK("https://klasma.github.io/Logging_0881/artfynd/A 22171-2023 artfynd.xlsx", "A 22171-2023")</f>
        <v/>
      </c>
      <c r="X107">
        <f>HYPERLINK("https://klasma.github.io/Logging_0881/kartor/A 22171-2023 karta.png", "A 22171-2023")</f>
        <v/>
      </c>
      <c r="Y107">
        <f>HYPERLINK("https://klasma.github.io/Logging_0881/kartor_geotiff/A 22171-2023 georefererad karta.tif", "A 22171-2023")</f>
        <v/>
      </c>
      <c r="AA107">
        <f>HYPERLINK("https://klasma.github.io/Logging_0881/klagomål/A 22171-2023 FSC-klagomål.docx", "A 22171-2023")</f>
        <v/>
      </c>
      <c r="AB107">
        <f>HYPERLINK("https://klasma.github.io/Logging_0881/klagomålsmail/A 22171-2023 FSC-klagomål mail.docx", "A 22171-2023")</f>
        <v/>
      </c>
      <c r="AC107">
        <f>HYPERLINK("https://klasma.github.io/Logging_0881/tillsyn/A 22171-2023 tillsynsbegäran.docx", "A 22171-2023")</f>
        <v/>
      </c>
      <c r="AD107">
        <f>HYPERLINK("https://klasma.github.io/Logging_0881/tillsynsmail/A 22171-2023 tillsynsbegäran mail.docx", "A 22171-2023")</f>
        <v/>
      </c>
    </row>
    <row r="108" ht="15" customHeight="1">
      <c r="A108" t="inlineStr">
        <is>
          <t>A 30510-2023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46297</v>
      </c>
      <c r="F108" t="inlineStr">
        <is>
          <t>KALMAR LÄN</t>
        </is>
      </c>
      <c r="G108" t="inlineStr">
        <is>
          <t>NYBRO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HYPERLINK("https://klasma.github.io/Logging_0881/artfynd/A 30510-2023 artfynd.xlsx", "A 30510-2023")</f>
        <v/>
      </c>
      <c r="X108">
        <f>HYPERLINK("https://klasma.github.io/Logging_0881/kartor/A 30510-2023 karta.png", "A 30510-2023")</f>
        <v/>
      </c>
      <c r="Y108">
        <f>HYPERLINK("https://klasma.github.io/Logging_0881/kartor_geotiff/A 30510-2023 georefererad karta.tif", "A 30510-2023")</f>
        <v/>
      </c>
      <c r="AA108">
        <f>HYPERLINK("https://klasma.github.io/Logging_0881/klagomål/A 30510-2023 FSC-klagomål.docx", "A 30510-2023")</f>
        <v/>
      </c>
      <c r="AB108">
        <f>HYPERLINK("https://klasma.github.io/Logging_0881/klagomålsmail/A 30510-2023 FSC-klagomål mail.docx", "A 30510-2023")</f>
        <v/>
      </c>
      <c r="AC108">
        <f>HYPERLINK("https://klasma.github.io/Logging_0881/tillsyn/A 30510-2023 tillsynsbegäran.docx", "A 30510-2023")</f>
        <v/>
      </c>
      <c r="AD108">
        <f>HYPERLINK("https://klasma.github.io/Logging_0881/tillsynsmail/A 30510-2023 tillsynsbegäran mail.docx", "A 30510-2023")</f>
        <v/>
      </c>
      <c r="AE108">
        <f>HYPERLINK("https://klasma.github.io/Logging_0881/fåglar/A 30510-2023 prioriterade fågelarter.docx", "A 30510-2023")</f>
        <v/>
      </c>
    </row>
    <row r="109" ht="15" customHeight="1">
      <c r="A109" t="inlineStr">
        <is>
          <t>A 6676-2023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46297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Etternässla</t>
        </is>
      </c>
      <c r="W109">
        <f>HYPERLINK("https://klasma.github.io/Logging_0881/artfynd/A 6676-2023 artfynd.xlsx", "A 6676-2023")</f>
        <v/>
      </c>
      <c r="X109">
        <f>HYPERLINK("https://klasma.github.io/Logging_0881/kartor/A 6676-2023 karta.png", "A 6676-2023")</f>
        <v/>
      </c>
      <c r="Y109">
        <f>HYPERLINK("https://klasma.github.io/Logging_0881/kartor_geotiff/A 6676-2023 georefererad karta.tif", "A 6676-2023")</f>
        <v/>
      </c>
      <c r="AA109">
        <f>HYPERLINK("https://klasma.github.io/Logging_0881/klagomål/A 6676-2023 FSC-klagomål.docx", "A 6676-2023")</f>
        <v/>
      </c>
      <c r="AB109">
        <f>HYPERLINK("https://klasma.github.io/Logging_0881/klagomålsmail/A 6676-2023 FSC-klagomål mail.docx", "A 6676-2023")</f>
        <v/>
      </c>
      <c r="AC109">
        <f>HYPERLINK("https://klasma.github.io/Logging_0881/tillsyn/A 6676-2023 tillsynsbegäran.docx", "A 6676-2023")</f>
        <v/>
      </c>
      <c r="AD109">
        <f>HYPERLINK("https://klasma.github.io/Logging_0881/tillsynsmail/A 6676-2023 tillsynsbegäran mail.docx", "A 6676-2023")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46297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3726-2023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44951</v>
      </c>
      <c r="E111" s="1" t="n">
        <v>46297</v>
      </c>
      <c r="F111" t="inlineStr">
        <is>
          <t>KALMAR LÄN</t>
        </is>
      </c>
      <c r="G111" t="inlineStr">
        <is>
          <t>NYBRO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HYPERLINK("https://klasma.github.io/Logging_0881/artfynd/A 3726-2023 artfynd.xlsx", "A 3726-2023")</f>
        <v/>
      </c>
      <c r="X111">
        <f>HYPERLINK("https://klasma.github.io/Logging_0881/kartor/A 3726-2023 karta.png", "A 3726-2023")</f>
        <v/>
      </c>
      <c r="Y111">
        <f>HYPERLINK("https://klasma.github.io/Logging_0881/kartor_geotiff/A 3726-2023 georefererad karta.tif", "A 3726-2023")</f>
        <v/>
      </c>
      <c r="AA111">
        <f>HYPERLINK("https://klasma.github.io/Logging_0881/klagomål/A 3726-2023 FSC-klagomål.docx", "A 3726-2023")</f>
        <v/>
      </c>
      <c r="AB111">
        <f>HYPERLINK("https://klasma.github.io/Logging_0881/klagomålsmail/A 3726-2023 FSC-klagomål mail.docx", "A 3726-2023")</f>
        <v/>
      </c>
      <c r="AC111">
        <f>HYPERLINK("https://klasma.github.io/Logging_0881/tillsyn/A 3726-2023 tillsynsbegäran.docx", "A 3726-2023")</f>
        <v/>
      </c>
      <c r="AD111">
        <f>HYPERLINK("https://klasma.github.io/Logging_0881/tillsynsmail/A 3726-2023 tillsynsbegäran mail.docx", "A 3726-2023")</f>
        <v/>
      </c>
    </row>
    <row r="112" ht="15" customHeight="1">
      <c r="A112" t="inlineStr">
        <is>
          <t>A 61809-2024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46297</v>
      </c>
      <c r="F112" t="inlineStr">
        <is>
          <t>KALMAR LÄN</t>
        </is>
      </c>
      <c r="G112" t="inlineStr">
        <is>
          <t>NYBRO</t>
        </is>
      </c>
      <c r="I112" t="n">
        <v>15.8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HYPERLINK("https://klasma.github.io/Logging_0881/artfynd/A 61809-2024 artfynd.xlsx", "A 61809-2024")</f>
        <v/>
      </c>
      <c r="X112">
        <f>HYPERLINK("https://klasma.github.io/Logging_0881/kartor/A 61809-2024 karta.png", "A 61809-2024")</f>
        <v/>
      </c>
      <c r="Y112">
        <f>HYPERLINK("https://klasma.github.io/Logging_0881/kartor_geotiff/A 61809-2024 georefererad karta.tif", "A 61809-2024")</f>
        <v/>
      </c>
      <c r="AA112">
        <f>HYPERLINK("https://klasma.github.io/Logging_0881/klagomål/A 61809-2024 FSC-klagomål.docx", "A 61809-2024")</f>
        <v/>
      </c>
      <c r="AB112">
        <f>HYPERLINK("https://klasma.github.io/Logging_0881/klagomålsmail/A 61809-2024 FSC-klagomål mail.docx", "A 61809-2024")</f>
        <v/>
      </c>
      <c r="AC112">
        <f>HYPERLINK("https://klasma.github.io/Logging_0881/tillsyn/A 61809-2024 tillsynsbegäran.docx", "A 61809-2024")</f>
        <v/>
      </c>
      <c r="AD112">
        <f>HYPERLINK("https://klasma.github.io/Logging_0881/tillsynsmail/A 61809-2024 tillsynsbegäran mail.docx", "A 61809-2024")</f>
        <v/>
      </c>
      <c r="AE112">
        <f>HYPERLINK("https://klasma.github.io/Logging_0881/fåglar/A 61809-2024 prioriterade fågelarter.docx", "A 61809-2024")</f>
        <v/>
      </c>
    </row>
    <row r="113" ht="15" customHeight="1">
      <c r="A113" t="inlineStr">
        <is>
          <t>A 34361-2026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46254</v>
      </c>
      <c r="E113" s="1" t="n">
        <v>46297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9.5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HYPERLINK("https://klasma.github.io/Logging_0881/artfynd/A 34361-2026 artfynd.xlsx", "A 34361-2026")</f>
        <v/>
      </c>
      <c r="X113">
        <f>HYPERLINK("https://klasma.github.io/Logging_0881/kartor/A 34361-2026 karta.png", "A 34361-2026")</f>
        <v/>
      </c>
      <c r="Y113">
        <f>HYPERLINK("https://klasma.github.io/Logging_0881/kartor_geotiff/A 34361-2026 georefererad karta.tif", "A 34361-2026")</f>
        <v/>
      </c>
      <c r="AA113">
        <f>HYPERLINK("https://klasma.github.io/Logging_0881/klagomål/A 34361-2026 FSC-klagomål.docx", "A 34361-2026")</f>
        <v/>
      </c>
      <c r="AB113">
        <f>HYPERLINK("https://klasma.github.io/Logging_0881/klagomålsmail/A 34361-2026 FSC-klagomål mail.docx", "A 34361-2026")</f>
        <v/>
      </c>
      <c r="AC113">
        <f>HYPERLINK("https://klasma.github.io/Logging_0881/tillsyn/A 34361-2026 tillsynsbegäran.docx", "A 34361-2026")</f>
        <v/>
      </c>
      <c r="AD113">
        <f>HYPERLINK("https://klasma.github.io/Logging_0881/tillsynsmail/A 34361-2026 tillsynsbegäran mail.docx", "A 34361-2026")</f>
        <v/>
      </c>
      <c r="AE113">
        <f>HYPERLINK("https://klasma.github.io/Logging_0881/fåglar/A 34361-2026 prioriterade fågelarter.docx", "A 34361-2026")</f>
        <v/>
      </c>
    </row>
    <row r="114" ht="15" customHeight="1">
      <c r="A114" t="inlineStr">
        <is>
          <t>A 54314-2022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46297</v>
      </c>
      <c r="F114" t="inlineStr">
        <is>
          <t>KALMAR LÄN</t>
        </is>
      </c>
      <c r="G114" t="inlineStr">
        <is>
          <t>NYBRO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6</v>
      </c>
      <c r="U114" t="n">
        <v>0</v>
      </c>
      <c r="V114" s="2" t="inlineStr">
        <is>
          <t>Ask</t>
        </is>
      </c>
      <c r="W114">
        <f>HYPERLINK("https://klasma.github.io/Logging_0881/artfynd/A 54314-2022 artfynd.xlsx", "A 54314-2022")</f>
        <v/>
      </c>
      <c r="X114">
        <f>HYPERLINK("https://klasma.github.io/Logging_0881/kartor/A 54314-2022 karta.png", "A 54314-2022")</f>
        <v/>
      </c>
      <c r="Y114">
        <f>HYPERLINK("https://klasma.github.io/Logging_0881/kartor_geotiff/A 54314-2022 georefererad karta.tif", "A 54314-2022")</f>
        <v/>
      </c>
      <c r="AA114">
        <f>HYPERLINK("https://klasma.github.io/Logging_0881/klagomål/A 54314-2022 FSC-klagomål.docx", "A 54314-2022")</f>
        <v/>
      </c>
      <c r="AB114">
        <f>HYPERLINK("https://klasma.github.io/Logging_0881/klagomålsmail/A 54314-2022 FSC-klagomål mail.docx", "A 54314-2022")</f>
        <v/>
      </c>
      <c r="AC114">
        <f>HYPERLINK("https://klasma.github.io/Logging_0881/tillsyn/A 54314-2022 tillsynsbegäran.docx", "A 54314-2022")</f>
        <v/>
      </c>
      <c r="AD114">
        <f>HYPERLINK("https://klasma.github.io/Logging_0881/tillsynsmail/A 54314-2022 tillsynsbegäran mail.docx", "A 54314-2022")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46297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46297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46297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46297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46297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46297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46297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46297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46297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46297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46297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46297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46297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46297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46297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46297</v>
      </c>
      <c r="F130" t="inlineStr">
        <is>
          <t>KALMAR LÄN</t>
        </is>
      </c>
      <c r="G130" t="inlineStr">
        <is>
          <t>NYBRO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46297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46297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46297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46297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46297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46297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46297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46297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46297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46297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46297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46297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46297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46297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46297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46297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46297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44806</v>
      </c>
      <c r="E148" s="1" t="n">
        <v>46297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46297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46297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46297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46297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46297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46297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46297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46297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46297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46297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46297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46297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46297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46297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46297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46297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46297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46297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46297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46297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46297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46297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46297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46297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46297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46297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46297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46297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46297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46297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46297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46297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46297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44779-2023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45190</v>
      </c>
      <c r="E182" s="1" t="n">
        <v>46297</v>
      </c>
      <c r="F182" t="inlineStr">
        <is>
          <t>KALMAR LÄN</t>
        </is>
      </c>
      <c r="G182" t="inlineStr">
        <is>
          <t>NYBRO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45043</v>
      </c>
      <c r="E183" s="1" t="n">
        <v>46297</v>
      </c>
      <c r="F183" t="inlineStr">
        <is>
          <t>KALMAR LÄN</t>
        </is>
      </c>
      <c r="G183" t="inlineStr">
        <is>
          <t>NYBRO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46297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46297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46297</v>
      </c>
      <c r="F186" t="inlineStr">
        <is>
          <t>KALMAR LÄN</t>
        </is>
      </c>
      <c r="G186" t="inlineStr">
        <is>
          <t>NYBRO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46297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46297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44866</v>
      </c>
      <c r="E189" s="1" t="n">
        <v>46297</v>
      </c>
      <c r="F189" t="inlineStr">
        <is>
          <t>KALMAR LÄN</t>
        </is>
      </c>
      <c r="G189" t="inlineStr">
        <is>
          <t>NYBRO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44755</v>
      </c>
      <c r="E190" s="1" t="n">
        <v>46297</v>
      </c>
      <c r="F190" t="inlineStr">
        <is>
          <t>KALMAR LÄN</t>
        </is>
      </c>
      <c r="G190" t="inlineStr">
        <is>
          <t>NYBRO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44867</v>
      </c>
      <c r="E191" s="1" t="n">
        <v>46297</v>
      </c>
      <c r="F191" t="inlineStr">
        <is>
          <t>KALMAR LÄN</t>
        </is>
      </c>
      <c r="G191" t="inlineStr">
        <is>
          <t>NYBRO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46297</v>
      </c>
      <c r="F192" t="inlineStr">
        <is>
          <t>KALMAR LÄN</t>
        </is>
      </c>
      <c r="G192" t="inlineStr">
        <is>
          <t>NYBRO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45342</v>
      </c>
      <c r="E193" s="1" t="n">
        <v>46297</v>
      </c>
      <c r="F193" t="inlineStr">
        <is>
          <t>KALMAR LÄN</t>
        </is>
      </c>
      <c r="G193" t="inlineStr">
        <is>
          <t>NYBRO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44827</v>
      </c>
      <c r="E194" s="1" t="n">
        <v>46297</v>
      </c>
      <c r="F194" t="inlineStr">
        <is>
          <t>KALMAR LÄN</t>
        </is>
      </c>
      <c r="G194" t="inlineStr">
        <is>
          <t>NYBRO</t>
        </is>
      </c>
      <c r="I194" t="n">
        <v>12.1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45253</v>
      </c>
      <c r="E195" s="1" t="n">
        <v>46297</v>
      </c>
      <c r="F195" t="inlineStr">
        <is>
          <t>KALMAR LÄN</t>
        </is>
      </c>
      <c r="G195" t="inlineStr">
        <is>
          <t>NYBRO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45078</v>
      </c>
      <c r="E196" s="1" t="n">
        <v>46297</v>
      </c>
      <c r="F196" t="inlineStr">
        <is>
          <t>KALMAR LÄN</t>
        </is>
      </c>
      <c r="G196" t="inlineStr">
        <is>
          <t>NYBRO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45336</v>
      </c>
      <c r="E197" s="1" t="n">
        <v>46297</v>
      </c>
      <c r="F197" t="inlineStr">
        <is>
          <t>KALMAR LÄN</t>
        </is>
      </c>
      <c r="G197" t="inlineStr">
        <is>
          <t>NYBRO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46297</v>
      </c>
      <c r="F198" t="inlineStr">
        <is>
          <t>KALMAR LÄN</t>
        </is>
      </c>
      <c r="G198" t="inlineStr">
        <is>
          <t>NYBRO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46297</v>
      </c>
      <c r="F199" t="inlineStr">
        <is>
          <t>KALMAR LÄN</t>
        </is>
      </c>
      <c r="G199" t="inlineStr">
        <is>
          <t>NYBRO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46297</v>
      </c>
      <c r="F200" t="inlineStr">
        <is>
          <t>KALMAR LÄN</t>
        </is>
      </c>
      <c r="G200" t="inlineStr">
        <is>
          <t>NYBRO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45103</v>
      </c>
      <c r="E201" s="1" t="n">
        <v>46297</v>
      </c>
      <c r="F201" t="inlineStr">
        <is>
          <t>KALMAR LÄN</t>
        </is>
      </c>
      <c r="G201" t="inlineStr">
        <is>
          <t>NYBRO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46297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46297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21388-2024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45440</v>
      </c>
      <c r="E204" s="1" t="n">
        <v>46297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46297</v>
      </c>
      <c r="F205" t="inlineStr">
        <is>
          <t>KALMAR LÄN</t>
        </is>
      </c>
      <c r="G205" t="inlineStr">
        <is>
          <t>NYBRO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46297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46297</v>
      </c>
      <c r="F207" t="inlineStr">
        <is>
          <t>KALMAR LÄN</t>
        </is>
      </c>
      <c r="G207" t="inlineStr">
        <is>
          <t>NYBRO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45359</v>
      </c>
      <c r="E208" s="1" t="n">
        <v>46297</v>
      </c>
      <c r="F208" t="inlineStr">
        <is>
          <t>KALMAR LÄN</t>
        </is>
      </c>
      <c r="G208" t="inlineStr">
        <is>
          <t>NYBRO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44839</v>
      </c>
      <c r="E209" s="1" t="n">
        <v>46297</v>
      </c>
      <c r="F209" t="inlineStr">
        <is>
          <t>KALMAR LÄN</t>
        </is>
      </c>
      <c r="G209" t="inlineStr">
        <is>
          <t>NYBRO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46297</v>
      </c>
      <c r="F210" t="inlineStr">
        <is>
          <t>KALMAR LÄN</t>
        </is>
      </c>
      <c r="G210" t="inlineStr">
        <is>
          <t>NYBRO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46297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44505</v>
      </c>
      <c r="E212" s="1" t="n">
        <v>46297</v>
      </c>
      <c r="F212" t="inlineStr">
        <is>
          <t>KALMAR LÄN</t>
        </is>
      </c>
      <c r="G212" t="inlineStr">
        <is>
          <t>NYBRO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44973</v>
      </c>
      <c r="E213" s="1" t="n">
        <v>46297</v>
      </c>
      <c r="F213" t="inlineStr">
        <is>
          <t>KALMAR LÄN</t>
        </is>
      </c>
      <c r="G213" t="inlineStr">
        <is>
          <t>NYBRO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46297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46297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46297</v>
      </c>
      <c r="F216" t="inlineStr">
        <is>
          <t>KALMAR LÄN</t>
        </is>
      </c>
      <c r="G216" t="inlineStr">
        <is>
          <t>NYBRO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46297</v>
      </c>
      <c r="F217" t="inlineStr">
        <is>
          <t>KALMAR LÄN</t>
        </is>
      </c>
      <c r="G217" t="inlineStr">
        <is>
          <t>NYBRO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46297</v>
      </c>
      <c r="F218" t="inlineStr">
        <is>
          <t>KALMAR LÄN</t>
        </is>
      </c>
      <c r="G218" t="inlineStr">
        <is>
          <t>NYBRO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46297</v>
      </c>
      <c r="F219" t="inlineStr">
        <is>
          <t>KALMAR LÄN</t>
        </is>
      </c>
      <c r="G219" t="inlineStr">
        <is>
          <t>NYBRO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46297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46297</v>
      </c>
      <c r="F221" t="inlineStr">
        <is>
          <t>KALMAR LÄN</t>
        </is>
      </c>
      <c r="G221" t="inlineStr">
        <is>
          <t>NYBRO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46297</v>
      </c>
      <c r="F222" t="inlineStr">
        <is>
          <t>KALMAR LÄN</t>
        </is>
      </c>
      <c r="G222" t="inlineStr">
        <is>
          <t>NYBRO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46297</v>
      </c>
      <c r="F223" t="inlineStr">
        <is>
          <t>KALMAR LÄN</t>
        </is>
      </c>
      <c r="G223" t="inlineStr">
        <is>
          <t>NYBRO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46297</v>
      </c>
      <c r="F224" t="inlineStr">
        <is>
          <t>KALMAR LÄN</t>
        </is>
      </c>
      <c r="G224" t="inlineStr">
        <is>
          <t>NYBRO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54512-2023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46297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46297</v>
      </c>
      <c r="F226" t="inlineStr">
        <is>
          <t>KALMAR LÄN</t>
        </is>
      </c>
      <c r="G226" t="inlineStr">
        <is>
          <t>NYBRO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46297</v>
      </c>
      <c r="F227" t="inlineStr">
        <is>
          <t>KALMAR LÄN</t>
        </is>
      </c>
      <c r="G227" t="inlineStr">
        <is>
          <t>NYBRO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44957</v>
      </c>
      <c r="E228" s="1" t="n">
        <v>46297</v>
      </c>
      <c r="F228" t="inlineStr">
        <is>
          <t>KALMAR LÄN</t>
        </is>
      </c>
      <c r="G228" t="inlineStr">
        <is>
          <t>NYBRO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46297</v>
      </c>
      <c r="F229" t="inlineStr">
        <is>
          <t>KALMAR LÄN</t>
        </is>
      </c>
      <c r="G229" t="inlineStr">
        <is>
          <t>NYBRO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45849</v>
      </c>
      <c r="E230" s="1" t="n">
        <v>46297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46297</v>
      </c>
      <c r="F231" t="inlineStr">
        <is>
          <t>KALMAR LÄN</t>
        </is>
      </c>
      <c r="G231" t="inlineStr">
        <is>
          <t>NYBRO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46297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46297</v>
      </c>
      <c r="F233" t="inlineStr">
        <is>
          <t>KALMAR LÄN</t>
        </is>
      </c>
      <c r="G233" t="inlineStr">
        <is>
          <t>NYBRO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46297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46297</v>
      </c>
      <c r="F235" t="inlineStr">
        <is>
          <t>KALMAR LÄN</t>
        </is>
      </c>
      <c r="G235" t="inlineStr">
        <is>
          <t>NYBRO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46297</v>
      </c>
      <c r="F236" t="inlineStr">
        <is>
          <t>KALMAR LÄN</t>
        </is>
      </c>
      <c r="G236" t="inlineStr">
        <is>
          <t>NYBRO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46297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46297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46297</v>
      </c>
      <c r="F239" t="inlineStr">
        <is>
          <t>KALMAR LÄN</t>
        </is>
      </c>
      <c r="G239" t="inlineStr">
        <is>
          <t>NYBRO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68345-2021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44528</v>
      </c>
      <c r="E240" s="1" t="n">
        <v>46297</v>
      </c>
      <c r="F240" t="inlineStr">
        <is>
          <t>KALMAR LÄN</t>
        </is>
      </c>
      <c r="G240" t="inlineStr">
        <is>
          <t>NYBRO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46297</v>
      </c>
      <c r="F241" t="inlineStr">
        <is>
          <t>KALMAR LÄN</t>
        </is>
      </c>
      <c r="G241" t="inlineStr">
        <is>
          <t>NYBRO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46297</v>
      </c>
      <c r="F242" t="inlineStr">
        <is>
          <t>KALMAR LÄN</t>
        </is>
      </c>
      <c r="G242" t="inlineStr">
        <is>
          <t>NYBRO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6727-2024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45341</v>
      </c>
      <c r="E243" s="1" t="n">
        <v>46297</v>
      </c>
      <c r="F243" t="inlineStr">
        <is>
          <t>KALMAR LÄN</t>
        </is>
      </c>
      <c r="G243" t="inlineStr">
        <is>
          <t>NYBRO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46297</v>
      </c>
      <c r="F244" t="inlineStr">
        <is>
          <t>KALMAR LÄN</t>
        </is>
      </c>
      <c r="G244" t="inlineStr">
        <is>
          <t>NYBRO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45475</v>
      </c>
      <c r="E245" s="1" t="n">
        <v>46297</v>
      </c>
      <c r="F245" t="inlineStr">
        <is>
          <t>KALMAR LÄN</t>
        </is>
      </c>
      <c r="G245" t="inlineStr">
        <is>
          <t>NYBRO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46297</v>
      </c>
      <c r="F246" t="inlineStr">
        <is>
          <t>KALMAR LÄN</t>
        </is>
      </c>
      <c r="G246" t="inlineStr">
        <is>
          <t>NYBRO</t>
        </is>
      </c>
      <c r="I246" t="n">
        <v>16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46297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46297</v>
      </c>
      <c r="F248" t="inlineStr">
        <is>
          <t>KALMAR LÄN</t>
        </is>
      </c>
      <c r="G248" t="inlineStr">
        <is>
          <t>NYBRO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46297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46297</v>
      </c>
      <c r="F250" t="inlineStr">
        <is>
          <t>KALMAR LÄN</t>
        </is>
      </c>
      <c r="G250" t="inlineStr">
        <is>
          <t>NYBRO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46297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46297</v>
      </c>
      <c r="F252" t="inlineStr">
        <is>
          <t>KALMAR LÄN</t>
        </is>
      </c>
      <c r="G252" t="inlineStr">
        <is>
          <t>NYBRO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44972</v>
      </c>
      <c r="E253" s="1" t="n">
        <v>46297</v>
      </c>
      <c r="F253" t="inlineStr">
        <is>
          <t>KALMAR LÄN</t>
        </is>
      </c>
      <c r="G253" t="inlineStr">
        <is>
          <t>NYBRO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46297</v>
      </c>
      <c r="F254" t="inlineStr">
        <is>
          <t>KALMAR LÄN</t>
        </is>
      </c>
      <c r="G254" t="inlineStr">
        <is>
          <t>NYBRO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45551</v>
      </c>
      <c r="E255" s="1" t="n">
        <v>46297</v>
      </c>
      <c r="F255" t="inlineStr">
        <is>
          <t>KALMAR LÄN</t>
        </is>
      </c>
      <c r="G255" t="inlineStr">
        <is>
          <t>NYBRO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58455-2021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44488</v>
      </c>
      <c r="E256" s="1" t="n">
        <v>46297</v>
      </c>
      <c r="F256" t="inlineStr">
        <is>
          <t>KALMAR LÄN</t>
        </is>
      </c>
      <c r="G256" t="inlineStr">
        <is>
          <t>NYBRO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44697</v>
      </c>
      <c r="E257" s="1" t="n">
        <v>46297</v>
      </c>
      <c r="F257" t="inlineStr">
        <is>
          <t>KALMAR LÄN</t>
        </is>
      </c>
      <c r="G257" t="inlineStr">
        <is>
          <t>NYBRO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46297</v>
      </c>
      <c r="F258" t="inlineStr">
        <is>
          <t>KALMAR LÄN</t>
        </is>
      </c>
      <c r="G258" t="inlineStr">
        <is>
          <t>NYBRO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46297</v>
      </c>
      <c r="F259" t="inlineStr">
        <is>
          <t>KALMAR LÄN</t>
        </is>
      </c>
      <c r="G259" t="inlineStr">
        <is>
          <t>NYBRO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46297</v>
      </c>
      <c r="F260" t="inlineStr">
        <is>
          <t>KALMAR LÄN</t>
        </is>
      </c>
      <c r="G260" t="inlineStr">
        <is>
          <t>NYBRO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46064</v>
      </c>
      <c r="E261" s="1" t="n">
        <v>46297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46297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45544</v>
      </c>
      <c r="E263" s="1" t="n">
        <v>46297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46297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8883-2026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46067</v>
      </c>
      <c r="E265" s="1" t="n">
        <v>46297</v>
      </c>
      <c r="F265" t="inlineStr">
        <is>
          <t>KALMAR LÄN</t>
        </is>
      </c>
      <c r="G265" t="inlineStr">
        <is>
          <t>NYBRO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46297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46297</v>
      </c>
      <c r="F267" t="inlineStr">
        <is>
          <t>KALMAR LÄN</t>
        </is>
      </c>
      <c r="G267" t="inlineStr">
        <is>
          <t>NYBRO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46297</v>
      </c>
      <c r="F268" t="inlineStr">
        <is>
          <t>KALMAR LÄN</t>
        </is>
      </c>
      <c r="G268" t="inlineStr">
        <is>
          <t>NYBRO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44904</v>
      </c>
      <c r="E269" s="1" t="n">
        <v>46297</v>
      </c>
      <c r="F269" t="inlineStr">
        <is>
          <t>KALMAR LÄN</t>
        </is>
      </c>
      <c r="G269" t="inlineStr">
        <is>
          <t>NYBRO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46072</v>
      </c>
      <c r="E270" s="1" t="n">
        <v>46297</v>
      </c>
      <c r="F270" t="inlineStr">
        <is>
          <t>KALMAR LÄN</t>
        </is>
      </c>
      <c r="G270" t="inlineStr">
        <is>
          <t>NYBRO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46297</v>
      </c>
      <c r="F271" t="inlineStr">
        <is>
          <t>KALMAR LÄN</t>
        </is>
      </c>
      <c r="G271" t="inlineStr">
        <is>
          <t>NYBRO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45442</v>
      </c>
      <c r="E272" s="1" t="n">
        <v>46297</v>
      </c>
      <c r="F272" t="inlineStr">
        <is>
          <t>KALMAR LÄN</t>
        </is>
      </c>
      <c r="G272" t="inlineStr">
        <is>
          <t>NYBRO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34362-2024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45525</v>
      </c>
      <c r="E273" s="1" t="n">
        <v>46297</v>
      </c>
      <c r="F273" t="inlineStr">
        <is>
          <t>KALMAR LÄN</t>
        </is>
      </c>
      <c r="G273" t="inlineStr">
        <is>
          <t>NYBRO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46297</v>
      </c>
      <c r="F274" t="inlineStr">
        <is>
          <t>KALMAR LÄN</t>
        </is>
      </c>
      <c r="G274" t="inlineStr">
        <is>
          <t>NYBRO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46297</v>
      </c>
      <c r="F275" t="inlineStr">
        <is>
          <t>KALMAR LÄN</t>
        </is>
      </c>
      <c r="G275" t="inlineStr">
        <is>
          <t>NYBRO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46297</v>
      </c>
      <c r="F276" t="inlineStr">
        <is>
          <t>KALMAR LÄN</t>
        </is>
      </c>
      <c r="G276" t="inlineStr">
        <is>
          <t>NYBRO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46297</v>
      </c>
      <c r="F277" t="inlineStr">
        <is>
          <t>KALMAR LÄN</t>
        </is>
      </c>
      <c r="G277" t="inlineStr">
        <is>
          <t>NYBRO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46297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72166-2021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44544</v>
      </c>
      <c r="E279" s="1" t="n">
        <v>46297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46297</v>
      </c>
      <c r="F280" t="inlineStr">
        <is>
          <t>KALMAR LÄN</t>
        </is>
      </c>
      <c r="G280" t="inlineStr">
        <is>
          <t>NYBRO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44959</v>
      </c>
      <c r="E281" s="1" t="n">
        <v>46297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46297</v>
      </c>
      <c r="F282" t="inlineStr">
        <is>
          <t>KALMAR LÄN</t>
        </is>
      </c>
      <c r="G282" t="inlineStr">
        <is>
          <t>NYBRO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19244-2022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44692</v>
      </c>
      <c r="E283" s="1" t="n">
        <v>46297</v>
      </c>
      <c r="F283" t="inlineStr">
        <is>
          <t>KALMAR LÄN</t>
        </is>
      </c>
      <c r="G283" t="inlineStr">
        <is>
          <t>NYBRO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46297</v>
      </c>
      <c r="F284" t="inlineStr">
        <is>
          <t>KALMAR LÄN</t>
        </is>
      </c>
      <c r="G284" t="inlineStr">
        <is>
          <t>NYBRO</t>
        </is>
      </c>
      <c r="H284" t="inlineStr">
        <is>
          <t>Kyrkan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45561</v>
      </c>
      <c r="E285" s="1" t="n">
        <v>46297</v>
      </c>
      <c r="F285" t="inlineStr">
        <is>
          <t>KALMAR LÄN</t>
        </is>
      </c>
      <c r="G285" t="inlineStr">
        <is>
          <t>NYBRO</t>
        </is>
      </c>
      <c r="H285" t="inlineStr">
        <is>
          <t>Kyrkan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46297</v>
      </c>
      <c r="F286" t="inlineStr">
        <is>
          <t>KALMAR LÄN</t>
        </is>
      </c>
      <c r="G286" t="inlineStr">
        <is>
          <t>NYBRO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45408</v>
      </c>
      <c r="E287" s="1" t="n">
        <v>46297</v>
      </c>
      <c r="F287" t="inlineStr">
        <is>
          <t>KALMAR LÄN</t>
        </is>
      </c>
      <c r="G287" t="inlineStr">
        <is>
          <t>NYBRO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46087</v>
      </c>
      <c r="E288" s="1" t="n">
        <v>46297</v>
      </c>
      <c r="F288" t="inlineStr">
        <is>
          <t>KALMAR LÄN</t>
        </is>
      </c>
      <c r="G288" t="inlineStr">
        <is>
          <t>NYBRO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46297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46297</v>
      </c>
      <c r="F290" t="inlineStr">
        <is>
          <t>KALMAR LÄN</t>
        </is>
      </c>
      <c r="G290" t="inlineStr">
        <is>
          <t>NYBRO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49338-2025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45938</v>
      </c>
      <c r="E291" s="1" t="n">
        <v>46297</v>
      </c>
      <c r="F291" t="inlineStr">
        <is>
          <t>KALMAR LÄN</t>
        </is>
      </c>
      <c r="G291" t="inlineStr">
        <is>
          <t>NYBRO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46297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44873</v>
      </c>
      <c r="E293" s="1" t="n">
        <v>46297</v>
      </c>
      <c r="F293" t="inlineStr">
        <is>
          <t>KALMAR LÄN</t>
        </is>
      </c>
      <c r="G293" t="inlineStr">
        <is>
          <t>NYBRO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49739-2025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46297</v>
      </c>
      <c r="F294" t="inlineStr">
        <is>
          <t>KALMAR LÄN</t>
        </is>
      </c>
      <c r="G294" t="inlineStr">
        <is>
          <t>NYBRO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46297</v>
      </c>
      <c r="F295" t="inlineStr">
        <is>
          <t>KALMAR LÄN</t>
        </is>
      </c>
      <c r="G295" t="inlineStr">
        <is>
          <t>NYBRO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45145</v>
      </c>
      <c r="E296" s="1" t="n">
        <v>46297</v>
      </c>
      <c r="F296" t="inlineStr">
        <is>
          <t>KALMAR LÄN</t>
        </is>
      </c>
      <c r="G296" t="inlineStr">
        <is>
          <t>NYBRO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46297</v>
      </c>
      <c r="F297" t="inlineStr">
        <is>
          <t>KALMAR LÄN</t>
        </is>
      </c>
      <c r="G297" t="inlineStr">
        <is>
          <t>NYBRO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44593</v>
      </c>
      <c r="E298" s="1" t="n">
        <v>46297</v>
      </c>
      <c r="F298" t="inlineStr">
        <is>
          <t>KALMAR LÄN</t>
        </is>
      </c>
      <c r="G298" t="inlineStr">
        <is>
          <t>NYBRO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46297</v>
      </c>
      <c r="F299" t="inlineStr">
        <is>
          <t>KALMAR LÄN</t>
        </is>
      </c>
      <c r="G299" t="inlineStr">
        <is>
          <t>NYBRO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46297</v>
      </c>
      <c r="F300" t="inlineStr">
        <is>
          <t>KALMAR LÄN</t>
        </is>
      </c>
      <c r="G300" t="inlineStr">
        <is>
          <t>NYBRO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46297</v>
      </c>
      <c r="F301" t="inlineStr">
        <is>
          <t>KALMAR LÄN</t>
        </is>
      </c>
      <c r="G301" t="inlineStr">
        <is>
          <t>NYBRO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46297</v>
      </c>
      <c r="F302" t="inlineStr">
        <is>
          <t>KALMAR LÄN</t>
        </is>
      </c>
      <c r="G302" t="inlineStr">
        <is>
          <t>NYBRO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46297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46297</v>
      </c>
      <c r="F304" t="inlineStr">
        <is>
          <t>KALMAR LÄN</t>
        </is>
      </c>
      <c r="G304" t="inlineStr">
        <is>
          <t>NYBRO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46297</v>
      </c>
      <c r="F305" t="inlineStr">
        <is>
          <t>KALMAR LÄN</t>
        </is>
      </c>
      <c r="G305" t="inlineStr">
        <is>
          <t>NYBRO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46297</v>
      </c>
      <c r="F306" t="inlineStr">
        <is>
          <t>KALMAR LÄN</t>
        </is>
      </c>
      <c r="G306" t="inlineStr">
        <is>
          <t>NYBRO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46297</v>
      </c>
      <c r="F307" t="inlineStr">
        <is>
          <t>KALMAR LÄN</t>
        </is>
      </c>
      <c r="G307" t="inlineStr">
        <is>
          <t>NYBRO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46297</v>
      </c>
      <c r="F308" t="inlineStr">
        <is>
          <t>KALMAR LÄN</t>
        </is>
      </c>
      <c r="G308" t="inlineStr">
        <is>
          <t>NYBRO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46297</v>
      </c>
      <c r="F309" t="inlineStr">
        <is>
          <t>KALMAR LÄN</t>
        </is>
      </c>
      <c r="G309" t="inlineStr">
        <is>
          <t>NYBRO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45037</v>
      </c>
      <c r="E310" s="1" t="n">
        <v>46297</v>
      </c>
      <c r="F310" t="inlineStr">
        <is>
          <t>KALMAR LÄN</t>
        </is>
      </c>
      <c r="G310" t="inlineStr">
        <is>
          <t>NYBRO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44939</v>
      </c>
      <c r="E311" s="1" t="n">
        <v>46297</v>
      </c>
      <c r="F311" t="inlineStr">
        <is>
          <t>KALMAR LÄN</t>
        </is>
      </c>
      <c r="G311" t="inlineStr">
        <is>
          <t>NYBRO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46297</v>
      </c>
      <c r="F312" t="inlineStr">
        <is>
          <t>KALMAR LÄN</t>
        </is>
      </c>
      <c r="G312" t="inlineStr">
        <is>
          <t>NYBRO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53650-2023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45230</v>
      </c>
      <c r="E313" s="1" t="n">
        <v>46297</v>
      </c>
      <c r="F313" t="inlineStr">
        <is>
          <t>KALMAR LÄN</t>
        </is>
      </c>
      <c r="G313" t="inlineStr">
        <is>
          <t>NYBRO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45367</v>
      </c>
      <c r="E314" s="1" t="n">
        <v>46297</v>
      </c>
      <c r="F314" t="inlineStr">
        <is>
          <t>KALMAR LÄN</t>
        </is>
      </c>
      <c r="G314" t="inlineStr">
        <is>
          <t>NYBRO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46297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25717-2022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44733</v>
      </c>
      <c r="E316" s="1" t="n">
        <v>46297</v>
      </c>
      <c r="F316" t="inlineStr">
        <is>
          <t>KALMAR LÄN</t>
        </is>
      </c>
      <c r="G316" t="inlineStr">
        <is>
          <t>NYBRO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46297</v>
      </c>
      <c r="F317" t="inlineStr">
        <is>
          <t>KALMAR LÄN</t>
        </is>
      </c>
      <c r="G317" t="inlineStr">
        <is>
          <t>NYBRO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46297</v>
      </c>
      <c r="F318" t="inlineStr">
        <is>
          <t>KALMAR LÄN</t>
        </is>
      </c>
      <c r="G318" t="inlineStr">
        <is>
          <t>NYBRO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53066-2025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46297</v>
      </c>
      <c r="F319" t="inlineStr">
        <is>
          <t>KALMAR LÄN</t>
        </is>
      </c>
      <c r="G319" t="inlineStr">
        <is>
          <t>NYBRO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53068-2025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46297</v>
      </c>
      <c r="F320" t="inlineStr">
        <is>
          <t>KALMAR LÄN</t>
        </is>
      </c>
      <c r="G320" t="inlineStr">
        <is>
          <t>NYBRO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46297</v>
      </c>
      <c r="F321" t="inlineStr">
        <is>
          <t>KALMAR LÄN</t>
        </is>
      </c>
      <c r="G321" t="inlineStr">
        <is>
          <t>NYBRO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46297</v>
      </c>
      <c r="F322" t="inlineStr">
        <is>
          <t>KALMAR LÄN</t>
        </is>
      </c>
      <c r="G322" t="inlineStr">
        <is>
          <t>NYBRO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46297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46297</v>
      </c>
      <c r="F324" t="inlineStr">
        <is>
          <t>KALMAR LÄN</t>
        </is>
      </c>
      <c r="G324" t="inlineStr">
        <is>
          <t>NYBRO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46297</v>
      </c>
      <c r="F325" t="inlineStr">
        <is>
          <t>KALMAR LÄN</t>
        </is>
      </c>
      <c r="G325" t="inlineStr">
        <is>
          <t>NYBRO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46297</v>
      </c>
      <c r="F326" t="inlineStr">
        <is>
          <t>KALMAR LÄN</t>
        </is>
      </c>
      <c r="G326" t="inlineStr">
        <is>
          <t>NYBRO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46297</v>
      </c>
      <c r="F327" t="inlineStr">
        <is>
          <t>KALMAR LÄN</t>
        </is>
      </c>
      <c r="G327" t="inlineStr">
        <is>
          <t>NYBRO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46297</v>
      </c>
      <c r="F328" t="inlineStr">
        <is>
          <t>KALMAR LÄN</t>
        </is>
      </c>
      <c r="G328" t="inlineStr">
        <is>
          <t>NYBRO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22488-2022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44713</v>
      </c>
      <c r="E329" s="1" t="n">
        <v>46297</v>
      </c>
      <c r="F329" t="inlineStr">
        <is>
          <t>KALMAR LÄN</t>
        </is>
      </c>
      <c r="G329" t="inlineStr">
        <is>
          <t>NYBRO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46113</v>
      </c>
      <c r="E330" s="1" t="n">
        <v>46297</v>
      </c>
      <c r="F330" t="inlineStr">
        <is>
          <t>KALMAR LÄN</t>
        </is>
      </c>
      <c r="G330" t="inlineStr">
        <is>
          <t>NYBRO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46297</v>
      </c>
      <c r="F331" t="inlineStr">
        <is>
          <t>KALMAR LÄN</t>
        </is>
      </c>
      <c r="G331" t="inlineStr">
        <is>
          <t>NYBRO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45415</v>
      </c>
      <c r="E332" s="1" t="n">
        <v>46297</v>
      </c>
      <c r="F332" t="inlineStr">
        <is>
          <t>KALMAR LÄN</t>
        </is>
      </c>
      <c r="G332" t="inlineStr">
        <is>
          <t>NYBRO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45071</v>
      </c>
      <c r="E333" s="1" t="n">
        <v>46297</v>
      </c>
      <c r="F333" t="inlineStr">
        <is>
          <t>KALMAR LÄN</t>
        </is>
      </c>
      <c r="G333" t="inlineStr">
        <is>
          <t>NYBRO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46297</v>
      </c>
      <c r="F334" t="inlineStr">
        <is>
          <t>KALMAR LÄN</t>
        </is>
      </c>
      <c r="G334" t="inlineStr">
        <is>
          <t>NYBRO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46297</v>
      </c>
      <c r="F335" t="inlineStr">
        <is>
          <t>KALMAR LÄN</t>
        </is>
      </c>
      <c r="G335" t="inlineStr">
        <is>
          <t>NYBRO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46297</v>
      </c>
      <c r="F336" t="inlineStr">
        <is>
          <t>KALMAR LÄN</t>
        </is>
      </c>
      <c r="G336" t="inlineStr">
        <is>
          <t>NYBRO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47270-2024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45586</v>
      </c>
      <c r="E337" s="1" t="n">
        <v>46297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45439</v>
      </c>
      <c r="E338" s="1" t="n">
        <v>46297</v>
      </c>
      <c r="F338" t="inlineStr">
        <is>
          <t>KALMAR LÄN</t>
        </is>
      </c>
      <c r="G338" t="inlineStr">
        <is>
          <t>NYBRO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46297</v>
      </c>
      <c r="F339" t="inlineStr">
        <is>
          <t>KALMAR LÄN</t>
        </is>
      </c>
      <c r="G339" t="inlineStr">
        <is>
          <t>NYBRO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40902-2022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44825</v>
      </c>
      <c r="E340" s="1" t="n">
        <v>46297</v>
      </c>
      <c r="F340" t="inlineStr">
        <is>
          <t>KALMAR LÄN</t>
        </is>
      </c>
      <c r="G340" t="inlineStr">
        <is>
          <t>NYBRO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22429-2023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45070</v>
      </c>
      <c r="E341" s="1" t="n">
        <v>46297</v>
      </c>
      <c r="F341" t="inlineStr">
        <is>
          <t>KALMAR LÄN</t>
        </is>
      </c>
      <c r="G341" t="inlineStr">
        <is>
          <t>NYBRO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45367</v>
      </c>
      <c r="E342" s="1" t="n">
        <v>46297</v>
      </c>
      <c r="F342" t="inlineStr">
        <is>
          <t>KALMAR LÄN</t>
        </is>
      </c>
      <c r="G342" t="inlineStr">
        <is>
          <t>NYBRO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16862-2024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46297</v>
      </c>
      <c r="F343" t="inlineStr">
        <is>
          <t>KALMAR LÄN</t>
        </is>
      </c>
      <c r="G343" t="inlineStr">
        <is>
          <t>NYBRO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46297</v>
      </c>
      <c r="F344" t="inlineStr">
        <is>
          <t>KALMAR LÄN</t>
        </is>
      </c>
      <c r="G344" t="inlineStr">
        <is>
          <t>NYBRO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46297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46297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46297</v>
      </c>
      <c r="F347" t="inlineStr">
        <is>
          <t>KALMAR LÄN</t>
        </is>
      </c>
      <c r="G347" t="inlineStr">
        <is>
          <t>NYBRO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28164-2022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44746</v>
      </c>
      <c r="E348" s="1" t="n">
        <v>46297</v>
      </c>
      <c r="F348" t="inlineStr">
        <is>
          <t>KALMAR LÄN</t>
        </is>
      </c>
      <c r="G348" t="inlineStr">
        <is>
          <t>NYBRO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46297</v>
      </c>
      <c r="F349" t="inlineStr">
        <is>
          <t>KALMAR LÄN</t>
        </is>
      </c>
      <c r="G349" t="inlineStr">
        <is>
          <t>NYBRO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46297</v>
      </c>
      <c r="F350" t="inlineStr">
        <is>
          <t>KALMAR LÄN</t>
        </is>
      </c>
      <c r="G350" t="inlineStr">
        <is>
          <t>NYBRO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46125</v>
      </c>
      <c r="E351" s="1" t="n">
        <v>46297</v>
      </c>
      <c r="F351" t="inlineStr">
        <is>
          <t>KALMAR LÄN</t>
        </is>
      </c>
      <c r="G351" t="inlineStr">
        <is>
          <t>NYBRO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18090-2026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46125</v>
      </c>
      <c r="E352" s="1" t="n">
        <v>46297</v>
      </c>
      <c r="F352" t="inlineStr">
        <is>
          <t>KALMAR LÄN</t>
        </is>
      </c>
      <c r="G352" t="inlineStr">
        <is>
          <t>NYBRO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44798</v>
      </c>
      <c r="E353" s="1" t="n">
        <v>46297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45307</v>
      </c>
      <c r="E354" s="1" t="n">
        <v>46297</v>
      </c>
      <c r="F354" t="inlineStr">
        <is>
          <t>KALMAR LÄN</t>
        </is>
      </c>
      <c r="G354" t="inlineStr">
        <is>
          <t>NYBRO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46297</v>
      </c>
      <c r="F355" t="inlineStr">
        <is>
          <t>KALMAR LÄN</t>
        </is>
      </c>
      <c r="G355" t="inlineStr">
        <is>
          <t>NYBRO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46297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46127</v>
      </c>
      <c r="E357" s="1" t="n">
        <v>46297</v>
      </c>
      <c r="F357" t="inlineStr">
        <is>
          <t>KALMAR LÄN</t>
        </is>
      </c>
      <c r="G357" t="inlineStr">
        <is>
          <t>NYBRO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45089</v>
      </c>
      <c r="E358" s="1" t="n">
        <v>46297</v>
      </c>
      <c r="F358" t="inlineStr">
        <is>
          <t>KALMAR LÄN</t>
        </is>
      </c>
      <c r="G358" t="inlineStr">
        <is>
          <t>NYBRO</t>
        </is>
      </c>
      <c r="H358" t="inlineStr">
        <is>
          <t>Kommuner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46297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44931</v>
      </c>
      <c r="E360" s="1" t="n">
        <v>46297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46297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46297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46297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46297</v>
      </c>
      <c r="F364" t="inlineStr">
        <is>
          <t>KALMAR LÄN</t>
        </is>
      </c>
      <c r="G364" t="inlineStr">
        <is>
          <t>NYBRO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46297</v>
      </c>
      <c r="F365" t="inlineStr">
        <is>
          <t>KALMAR LÄN</t>
        </is>
      </c>
      <c r="G365" t="inlineStr">
        <is>
          <t>NYBRO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46297</v>
      </c>
      <c r="F366" t="inlineStr">
        <is>
          <t>KALMAR LÄN</t>
        </is>
      </c>
      <c r="G366" t="inlineStr">
        <is>
          <t>NYBRO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46297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46297</v>
      </c>
      <c r="F368" t="inlineStr">
        <is>
          <t>KALMAR LÄN</t>
        </is>
      </c>
      <c r="G368" t="inlineStr">
        <is>
          <t>NYBRO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45057</v>
      </c>
      <c r="E369" s="1" t="n">
        <v>46297</v>
      </c>
      <c r="F369" t="inlineStr">
        <is>
          <t>KALMAR LÄN</t>
        </is>
      </c>
      <c r="G369" t="inlineStr">
        <is>
          <t>NYBRO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45057</v>
      </c>
      <c r="E370" s="1" t="n">
        <v>46297</v>
      </c>
      <c r="F370" t="inlineStr">
        <is>
          <t>KALMAR LÄN</t>
        </is>
      </c>
      <c r="G370" t="inlineStr">
        <is>
          <t>NYBRO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46297</v>
      </c>
      <c r="F371" t="inlineStr">
        <is>
          <t>KALMAR LÄN</t>
        </is>
      </c>
      <c r="G371" t="inlineStr">
        <is>
          <t>NYBRO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46297</v>
      </c>
      <c r="F372" t="inlineStr">
        <is>
          <t>KALMAR LÄN</t>
        </is>
      </c>
      <c r="G372" t="inlineStr">
        <is>
          <t>NYBRO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45986</v>
      </c>
      <c r="E373" s="1" t="n">
        <v>46297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19474-2026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46297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40444-2022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44819</v>
      </c>
      <c r="E375" s="1" t="n">
        <v>46297</v>
      </c>
      <c r="F375" t="inlineStr">
        <is>
          <t>KALMAR LÄN</t>
        </is>
      </c>
      <c r="G375" t="inlineStr">
        <is>
          <t>NYBRO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46297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46297</v>
      </c>
      <c r="F377" t="inlineStr">
        <is>
          <t>KALMAR LÄN</t>
        </is>
      </c>
      <c r="G377" t="inlineStr">
        <is>
          <t>NYBRO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45363</v>
      </c>
      <c r="E378" s="1" t="n">
        <v>46297</v>
      </c>
      <c r="F378" t="inlineStr">
        <is>
          <t>KALMAR LÄN</t>
        </is>
      </c>
      <c r="G378" t="inlineStr">
        <is>
          <t>NYBRO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45914</v>
      </c>
      <c r="E379" s="1" t="n">
        <v>46297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46297</v>
      </c>
      <c r="F380" t="inlineStr">
        <is>
          <t>KALMAR LÄN</t>
        </is>
      </c>
      <c r="G380" t="inlineStr">
        <is>
          <t>NYBRO</t>
        </is>
      </c>
      <c r="H380" t="inlineStr">
        <is>
          <t>Kyrkan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28362-2025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46297</v>
      </c>
      <c r="F381" t="inlineStr">
        <is>
          <t>KALMAR LÄN</t>
        </is>
      </c>
      <c r="G381" t="inlineStr">
        <is>
          <t>NYBRO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28756-2025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46297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46297</v>
      </c>
      <c r="F383" t="inlineStr">
        <is>
          <t>KALMAR LÄN</t>
        </is>
      </c>
      <c r="G383" t="inlineStr">
        <is>
          <t>NYBRO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54848-2025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46297</v>
      </c>
      <c r="F384" t="inlineStr">
        <is>
          <t>KALMAR LÄN</t>
        </is>
      </c>
      <c r="G384" t="inlineStr">
        <is>
          <t>NYBRO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45681</v>
      </c>
      <c r="E385" s="1" t="n">
        <v>46297</v>
      </c>
      <c r="F385" t="inlineStr">
        <is>
          <t>KALMAR LÄN</t>
        </is>
      </c>
      <c r="G385" t="inlineStr">
        <is>
          <t>NYBRO</t>
        </is>
      </c>
      <c r="H385" t="inlineStr">
        <is>
          <t>Kyrkan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45705</v>
      </c>
      <c r="E386" s="1" t="n">
        <v>46297</v>
      </c>
      <c r="F386" t="inlineStr">
        <is>
          <t>KALMAR LÄN</t>
        </is>
      </c>
      <c r="G386" t="inlineStr">
        <is>
          <t>NYBRO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51588-2025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45951</v>
      </c>
      <c r="E387" s="1" t="n">
        <v>46297</v>
      </c>
      <c r="F387" t="inlineStr">
        <is>
          <t>KALMAR LÄN</t>
        </is>
      </c>
      <c r="G387" t="inlineStr">
        <is>
          <t>NYBRO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58988-2025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45987</v>
      </c>
      <c r="E388" s="1" t="n">
        <v>46297</v>
      </c>
      <c r="F388" t="inlineStr">
        <is>
          <t>KALMAR LÄN</t>
        </is>
      </c>
      <c r="G388" t="inlineStr">
        <is>
          <t>NYBRO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28683-2024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45478</v>
      </c>
      <c r="E389" s="1" t="n">
        <v>46297</v>
      </c>
      <c r="F389" t="inlineStr">
        <is>
          <t>KALMAR LÄN</t>
        </is>
      </c>
      <c r="G389" t="inlineStr">
        <is>
          <t>NYBRO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45577</v>
      </c>
      <c r="E390" s="1" t="n">
        <v>46297</v>
      </c>
      <c r="F390" t="inlineStr">
        <is>
          <t>KALMAR LÄN</t>
        </is>
      </c>
      <c r="G390" t="inlineStr">
        <is>
          <t>NYBRO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57489-2025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46297</v>
      </c>
      <c r="F391" t="inlineStr">
        <is>
          <t>KALMAR LÄN</t>
        </is>
      </c>
      <c r="G391" t="inlineStr">
        <is>
          <t>NYBRO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46297</v>
      </c>
      <c r="F392" t="inlineStr">
        <is>
          <t>KALMAR LÄN</t>
        </is>
      </c>
      <c r="G392" t="inlineStr">
        <is>
          <t>NYBRO</t>
        </is>
      </c>
      <c r="H392" t="inlineStr">
        <is>
          <t>Kyrkan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45392</v>
      </c>
      <c r="E393" s="1" t="n">
        <v>46297</v>
      </c>
      <c r="F393" t="inlineStr">
        <is>
          <t>KALMAR LÄN</t>
        </is>
      </c>
      <c r="G393" t="inlineStr">
        <is>
          <t>NYBRO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45754</v>
      </c>
      <c r="E394" s="1" t="n">
        <v>46297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49104-2023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46297</v>
      </c>
      <c r="F395" t="inlineStr">
        <is>
          <t>KALMAR LÄN</t>
        </is>
      </c>
      <c r="G395" t="inlineStr">
        <is>
          <t>NYBRO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45859</v>
      </c>
      <c r="E396" s="1" t="n">
        <v>46297</v>
      </c>
      <c r="F396" t="inlineStr">
        <is>
          <t>KALMAR LÄN</t>
        </is>
      </c>
      <c r="G396" t="inlineStr">
        <is>
          <t>NYBRO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45475</v>
      </c>
      <c r="E397" s="1" t="n">
        <v>46297</v>
      </c>
      <c r="F397" t="inlineStr">
        <is>
          <t>KALMAR LÄN</t>
        </is>
      </c>
      <c r="G397" t="inlineStr">
        <is>
          <t>NYBRO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46297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12410-2023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44999</v>
      </c>
      <c r="E399" s="1" t="n">
        <v>46297</v>
      </c>
      <c r="F399" t="inlineStr">
        <is>
          <t>KALMAR LÄN</t>
        </is>
      </c>
      <c r="G399" t="inlineStr">
        <is>
          <t>NYBRO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46297</v>
      </c>
      <c r="F400" t="inlineStr">
        <is>
          <t>KALMAR LÄN</t>
        </is>
      </c>
      <c r="G400" t="inlineStr">
        <is>
          <t>NYBRO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45551</v>
      </c>
      <c r="E401" s="1" t="n">
        <v>46297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46297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46297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45862</v>
      </c>
      <c r="E404" s="1" t="n">
        <v>46297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46297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45821</v>
      </c>
      <c r="E406" s="1" t="n">
        <v>46297</v>
      </c>
      <c r="F406" t="inlineStr">
        <is>
          <t>KALMAR LÄN</t>
        </is>
      </c>
      <c r="G406" t="inlineStr">
        <is>
          <t>NYBRO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46297</v>
      </c>
      <c r="F407" t="inlineStr">
        <is>
          <t>KALMAR LÄN</t>
        </is>
      </c>
      <c r="G407" t="inlineStr">
        <is>
          <t>NYBRO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45887</v>
      </c>
      <c r="E408" s="1" t="n">
        <v>46297</v>
      </c>
      <c r="F408" t="inlineStr">
        <is>
          <t>KALMAR LÄN</t>
        </is>
      </c>
      <c r="G408" t="inlineStr">
        <is>
          <t>NYBRO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45327</v>
      </c>
      <c r="E409" s="1" t="n">
        <v>46297</v>
      </c>
      <c r="F409" t="inlineStr">
        <is>
          <t>KALMAR LÄN</t>
        </is>
      </c>
      <c r="G409" t="inlineStr">
        <is>
          <t>NYBRO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46297</v>
      </c>
      <c r="F410" t="inlineStr">
        <is>
          <t>KALMAR LÄN</t>
        </is>
      </c>
      <c r="G410" t="inlineStr">
        <is>
          <t>NYBRO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46297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46297</v>
      </c>
      <c r="F412" t="inlineStr">
        <is>
          <t>KALMAR LÄN</t>
        </is>
      </c>
      <c r="G412" t="inlineStr">
        <is>
          <t>NYBRO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46297</v>
      </c>
      <c r="F413" t="inlineStr">
        <is>
          <t>KALMAR LÄN</t>
        </is>
      </c>
      <c r="G413" t="inlineStr">
        <is>
          <t>NYBRO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46297</v>
      </c>
      <c r="F414" t="inlineStr">
        <is>
          <t>KALMAR LÄN</t>
        </is>
      </c>
      <c r="G414" t="inlineStr">
        <is>
          <t>NYBRO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45484</v>
      </c>
      <c r="E415" s="1" t="n">
        <v>46297</v>
      </c>
      <c r="F415" t="inlineStr">
        <is>
          <t>KALMAR LÄN</t>
        </is>
      </c>
      <c r="G415" t="inlineStr">
        <is>
          <t>NYBRO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45409</v>
      </c>
      <c r="E416" s="1" t="n">
        <v>46297</v>
      </c>
      <c r="F416" t="inlineStr">
        <is>
          <t>KALMAR LÄN</t>
        </is>
      </c>
      <c r="G416" t="inlineStr">
        <is>
          <t>NYBRO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29586-2025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45825</v>
      </c>
      <c r="E417" s="1" t="n">
        <v>46297</v>
      </c>
      <c r="F417" t="inlineStr">
        <is>
          <t>KALMAR LÄN</t>
        </is>
      </c>
      <c r="G417" t="inlineStr">
        <is>
          <t>NYBRO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45694</v>
      </c>
      <c r="E418" s="1" t="n">
        <v>46297</v>
      </c>
      <c r="F418" t="inlineStr">
        <is>
          <t>KALMAR LÄN</t>
        </is>
      </c>
      <c r="G418" t="inlineStr">
        <is>
          <t>NYBRO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45077</v>
      </c>
      <c r="E419" s="1" t="n">
        <v>46297</v>
      </c>
      <c r="F419" t="inlineStr">
        <is>
          <t>KALMAR LÄN</t>
        </is>
      </c>
      <c r="G419" t="inlineStr">
        <is>
          <t>NYBRO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45022</v>
      </c>
      <c r="E420" s="1" t="n">
        <v>46297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46297</v>
      </c>
      <c r="F421" t="inlineStr">
        <is>
          <t>KALMAR LÄN</t>
        </is>
      </c>
      <c r="G421" t="inlineStr">
        <is>
          <t>NYBRO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45111</v>
      </c>
      <c r="E422" s="1" t="n">
        <v>46297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45834</v>
      </c>
      <c r="E423" s="1" t="n">
        <v>46297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46297</v>
      </c>
      <c r="F424" t="inlineStr">
        <is>
          <t>KALMAR LÄN</t>
        </is>
      </c>
      <c r="G424" t="inlineStr">
        <is>
          <t>NYBRO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46297</v>
      </c>
      <c r="F425" t="inlineStr">
        <is>
          <t>KALMAR LÄN</t>
        </is>
      </c>
      <c r="G425" t="inlineStr">
        <is>
          <t>NYBRO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46297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46297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46297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46297</v>
      </c>
      <c r="F429" t="inlineStr">
        <is>
          <t>KALMAR LÄN</t>
        </is>
      </c>
      <c r="G429" t="inlineStr">
        <is>
          <t>NYBRO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32344-2025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45837</v>
      </c>
      <c r="E430" s="1" t="n">
        <v>46297</v>
      </c>
      <c r="F430" t="inlineStr">
        <is>
          <t>KALMAR LÄN</t>
        </is>
      </c>
      <c r="G430" t="inlineStr">
        <is>
          <t>NYBRO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45837</v>
      </c>
      <c r="E431" s="1" t="n">
        <v>46297</v>
      </c>
      <c r="F431" t="inlineStr">
        <is>
          <t>KALMAR LÄN</t>
        </is>
      </c>
      <c r="G431" t="inlineStr">
        <is>
          <t>NYBRO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36162-2024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45534</v>
      </c>
      <c r="E432" s="1" t="n">
        <v>46297</v>
      </c>
      <c r="F432" t="inlineStr">
        <is>
          <t>KALMAR LÄN</t>
        </is>
      </c>
      <c r="G432" t="inlineStr">
        <is>
          <t>NYBRO</t>
        </is>
      </c>
      <c r="I432" t="n">
        <v>13.2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45572</v>
      </c>
      <c r="E433" s="1" t="n">
        <v>46297</v>
      </c>
      <c r="F433" t="inlineStr">
        <is>
          <t>KALMAR LÄN</t>
        </is>
      </c>
      <c r="G433" t="inlineStr">
        <is>
          <t>NYBRO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45616</v>
      </c>
      <c r="E434" s="1" t="n">
        <v>46297</v>
      </c>
      <c r="F434" t="inlineStr">
        <is>
          <t>KALMAR LÄN</t>
        </is>
      </c>
      <c r="G434" t="inlineStr">
        <is>
          <t>NYBRO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46297</v>
      </c>
      <c r="F435" t="inlineStr">
        <is>
          <t>KALMAR LÄN</t>
        </is>
      </c>
      <c r="G435" t="inlineStr">
        <is>
          <t>NYBRO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46297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46297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54245-2024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45616</v>
      </c>
      <c r="E438" s="1" t="n">
        <v>46297</v>
      </c>
      <c r="F438" t="inlineStr">
        <is>
          <t>KALMAR LÄN</t>
        </is>
      </c>
      <c r="G438" t="inlineStr">
        <is>
          <t>NYBRO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46297</v>
      </c>
      <c r="F439" t="inlineStr">
        <is>
          <t>KALMAR LÄN</t>
        </is>
      </c>
      <c r="G439" t="inlineStr">
        <is>
          <t>NYBRO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46297</v>
      </c>
      <c r="F440" t="inlineStr">
        <is>
          <t>KALMAR LÄN</t>
        </is>
      </c>
      <c r="G440" t="inlineStr">
        <is>
          <t>NYBRO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39535-2022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46297</v>
      </c>
      <c r="F441" t="inlineStr">
        <is>
          <t>KALMAR LÄN</t>
        </is>
      </c>
      <c r="G441" t="inlineStr">
        <is>
          <t>NYBRO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45369</v>
      </c>
      <c r="E442" s="1" t="n">
        <v>46297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45856</v>
      </c>
      <c r="E443" s="1" t="n">
        <v>46297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45856</v>
      </c>
      <c r="E444" s="1" t="n">
        <v>46297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45762</v>
      </c>
      <c r="E445" s="1" t="n">
        <v>46297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44945</v>
      </c>
      <c r="E446" s="1" t="n">
        <v>46297</v>
      </c>
      <c r="F446" t="inlineStr">
        <is>
          <t>KALMAR LÄN</t>
        </is>
      </c>
      <c r="G446" t="inlineStr">
        <is>
          <t>NYBRO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59689-2021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44494</v>
      </c>
      <c r="E447" s="1" t="n">
        <v>46297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46297</v>
      </c>
      <c r="F448" t="inlineStr">
        <is>
          <t>KALMAR LÄN</t>
        </is>
      </c>
      <c r="G448" t="inlineStr">
        <is>
          <t>NYBRO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45832</v>
      </c>
      <c r="E449" s="1" t="n">
        <v>46297</v>
      </c>
      <c r="F449" t="inlineStr">
        <is>
          <t>KALMAR LÄN</t>
        </is>
      </c>
      <c r="G449" t="inlineStr">
        <is>
          <t>NYBRO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28363-2025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45818</v>
      </c>
      <c r="E450" s="1" t="n">
        <v>46297</v>
      </c>
      <c r="F450" t="inlineStr">
        <is>
          <t>KALMAR LÄN</t>
        </is>
      </c>
      <c r="G450" t="inlineStr">
        <is>
          <t>NYBRO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44991</v>
      </c>
      <c r="E451" s="1" t="n">
        <v>46297</v>
      </c>
      <c r="F451" t="inlineStr">
        <is>
          <t>KALMAR LÄN</t>
        </is>
      </c>
      <c r="G451" t="inlineStr">
        <is>
          <t>NYBRO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45616</v>
      </c>
      <c r="E452" s="1" t="n">
        <v>46297</v>
      </c>
      <c r="F452" t="inlineStr">
        <is>
          <t>KALMAR LÄN</t>
        </is>
      </c>
      <c r="G452" t="inlineStr">
        <is>
          <t>NYBRO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40131-2024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46297</v>
      </c>
      <c r="F453" t="inlineStr">
        <is>
          <t>KALMAR LÄN</t>
        </is>
      </c>
      <c r="G453" t="inlineStr">
        <is>
          <t>NYBRO</t>
        </is>
      </c>
      <c r="H453" t="inlineStr">
        <is>
          <t>Kyrkan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10745-2026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46078</v>
      </c>
      <c r="E454" s="1" t="n">
        <v>46297</v>
      </c>
      <c r="F454" t="inlineStr">
        <is>
          <t>KALMAR LÄN</t>
        </is>
      </c>
      <c r="G454" t="inlineStr">
        <is>
          <t>NYBRO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44816</v>
      </c>
      <c r="E455" s="1" t="n">
        <v>46297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53999-2022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44881</v>
      </c>
      <c r="E456" s="1" t="n">
        <v>46297</v>
      </c>
      <c r="F456" t="inlineStr">
        <is>
          <t>KALMAR LÄN</t>
        </is>
      </c>
      <c r="G456" t="inlineStr">
        <is>
          <t>NYBRO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44844</v>
      </c>
      <c r="E457" s="1" t="n">
        <v>46297</v>
      </c>
      <c r="F457" t="inlineStr">
        <is>
          <t>KALMAR LÄN</t>
        </is>
      </c>
      <c r="G457" t="inlineStr">
        <is>
          <t>NYBRO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46297</v>
      </c>
      <c r="F458" t="inlineStr">
        <is>
          <t>KALMAR LÄN</t>
        </is>
      </c>
      <c r="G458" t="inlineStr">
        <is>
          <t>NYBRO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46297</v>
      </c>
      <c r="F459" t="inlineStr">
        <is>
          <t>KALMAR LÄN</t>
        </is>
      </c>
      <c r="G459" t="inlineStr">
        <is>
          <t>NYBRO</t>
        </is>
      </c>
      <c r="H459" t="inlineStr">
        <is>
          <t>Kyrkan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46297</v>
      </c>
      <c r="F460" t="inlineStr">
        <is>
          <t>KALMAR LÄN</t>
        </is>
      </c>
      <c r="G460" t="inlineStr">
        <is>
          <t>NYBRO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11968-2025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45728</v>
      </c>
      <c r="E461" s="1" t="n">
        <v>46297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46297</v>
      </c>
      <c r="F462" t="inlineStr">
        <is>
          <t>KALMAR LÄN</t>
        </is>
      </c>
      <c r="G462" t="inlineStr">
        <is>
          <t>NYBRO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20621-2022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44700</v>
      </c>
      <c r="E463" s="1" t="n">
        <v>46297</v>
      </c>
      <c r="F463" t="inlineStr">
        <is>
          <t>KALMAR LÄN</t>
        </is>
      </c>
      <c r="G463" t="inlineStr">
        <is>
          <t>NYBRO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22873-2023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45072</v>
      </c>
      <c r="E464" s="1" t="n">
        <v>46297</v>
      </c>
      <c r="F464" t="inlineStr">
        <is>
          <t>KALMAR LÄN</t>
        </is>
      </c>
      <c r="G464" t="inlineStr">
        <is>
          <t>NYBRO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20642-2026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46297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56143-2022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44889</v>
      </c>
      <c r="E466" s="1" t="n">
        <v>46297</v>
      </c>
      <c r="F466" t="inlineStr">
        <is>
          <t>KALMAR LÄN</t>
        </is>
      </c>
      <c r="G466" t="inlineStr">
        <is>
          <t>NYBRO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46297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34021-2023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45135</v>
      </c>
      <c r="E468" s="1" t="n">
        <v>46297</v>
      </c>
      <c r="F468" t="inlineStr">
        <is>
          <t>KALMAR LÄN</t>
        </is>
      </c>
      <c r="G468" t="inlineStr">
        <is>
          <t>NYBRO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45055</v>
      </c>
      <c r="E469" s="1" t="n">
        <v>46297</v>
      </c>
      <c r="F469" t="inlineStr">
        <is>
          <t>KALMAR LÄN</t>
        </is>
      </c>
      <c r="G469" t="inlineStr">
        <is>
          <t>NYBRO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46297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46297</v>
      </c>
      <c r="F471" t="inlineStr">
        <is>
          <t>KALMAR LÄN</t>
        </is>
      </c>
      <c r="G471" t="inlineStr">
        <is>
          <t>NYBRO</t>
        </is>
      </c>
      <c r="H471" t="inlineStr">
        <is>
          <t>Kommuner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45111</v>
      </c>
      <c r="E472" s="1" t="n">
        <v>46297</v>
      </c>
      <c r="F472" t="inlineStr">
        <is>
          <t>KALMAR LÄN</t>
        </is>
      </c>
      <c r="G472" t="inlineStr">
        <is>
          <t>NYBRO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14061-2024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45392</v>
      </c>
      <c r="E473" s="1" t="n">
        <v>46297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46297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45426</v>
      </c>
      <c r="E475" s="1" t="n">
        <v>46297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45882</v>
      </c>
      <c r="E476" s="1" t="n">
        <v>46297</v>
      </c>
      <c r="F476" t="inlineStr">
        <is>
          <t>KALMAR LÄN</t>
        </is>
      </c>
      <c r="G476" t="inlineStr">
        <is>
          <t>NYBRO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46141</v>
      </c>
      <c r="E477" s="1" t="n">
        <v>46297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46297</v>
      </c>
      <c r="F478" t="inlineStr">
        <is>
          <t>KALMAR LÄN</t>
        </is>
      </c>
      <c r="G478" t="inlineStr">
        <is>
          <t>NYBRO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46297</v>
      </c>
      <c r="F479" t="inlineStr">
        <is>
          <t>KALMAR LÄN</t>
        </is>
      </c>
      <c r="G479" t="inlineStr">
        <is>
          <t>NYBRO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18586-2025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45763</v>
      </c>
      <c r="E480" s="1" t="n">
        <v>46297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46297</v>
      </c>
      <c r="F481" t="inlineStr">
        <is>
          <t>KALMAR LÄN</t>
        </is>
      </c>
      <c r="G481" t="inlineStr">
        <is>
          <t>NYBRO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45849</v>
      </c>
      <c r="E482" s="1" t="n">
        <v>46297</v>
      </c>
      <c r="F482" t="inlineStr">
        <is>
          <t>KALMAR LÄN</t>
        </is>
      </c>
      <c r="G482" t="inlineStr">
        <is>
          <t>NYBRO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45253</v>
      </c>
      <c r="E483" s="1" t="n">
        <v>46297</v>
      </c>
      <c r="F483" t="inlineStr">
        <is>
          <t>KALMAR LÄN</t>
        </is>
      </c>
      <c r="G483" t="inlineStr">
        <is>
          <t>NYBRO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52382-2022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44874</v>
      </c>
      <c r="E484" s="1" t="n">
        <v>46297</v>
      </c>
      <c r="F484" t="inlineStr">
        <is>
          <t>KALMAR LÄN</t>
        </is>
      </c>
      <c r="G484" t="inlineStr">
        <is>
          <t>NYBRO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45013</v>
      </c>
      <c r="E485" s="1" t="n">
        <v>46297</v>
      </c>
      <c r="F485" t="inlineStr">
        <is>
          <t>KALMAR LÄN</t>
        </is>
      </c>
      <c r="G485" t="inlineStr">
        <is>
          <t>NYBRO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25838-2023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46297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44882</v>
      </c>
      <c r="E487" s="1" t="n">
        <v>46297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46297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45210</v>
      </c>
      <c r="E489" s="1" t="n">
        <v>46297</v>
      </c>
      <c r="F489" t="inlineStr">
        <is>
          <t>KALMAR LÄN</t>
        </is>
      </c>
      <c r="G489" t="inlineStr">
        <is>
          <t>NYBRO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45296</v>
      </c>
      <c r="E490" s="1" t="n">
        <v>46297</v>
      </c>
      <c r="F490" t="inlineStr">
        <is>
          <t>KALMAR LÄN</t>
        </is>
      </c>
      <c r="G490" t="inlineStr">
        <is>
          <t>NYBRO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44825</v>
      </c>
      <c r="E491" s="1" t="n">
        <v>46297</v>
      </c>
      <c r="F491" t="inlineStr">
        <is>
          <t>KALMAR LÄN</t>
        </is>
      </c>
      <c r="G491" t="inlineStr">
        <is>
          <t>NYBRO</t>
        </is>
      </c>
      <c r="I491" t="n">
        <v>18.6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45342</v>
      </c>
      <c r="E492" s="1" t="n">
        <v>46297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45096</v>
      </c>
      <c r="E493" s="1" t="n">
        <v>46297</v>
      </c>
      <c r="F493" t="inlineStr">
        <is>
          <t>KALMAR LÄN</t>
        </is>
      </c>
      <c r="G493" t="inlineStr">
        <is>
          <t>NYBRO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46297</v>
      </c>
      <c r="F494" t="inlineStr">
        <is>
          <t>KALMAR LÄN</t>
        </is>
      </c>
      <c r="G494" t="inlineStr">
        <is>
          <t>NYBRO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46297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44920-2024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45575</v>
      </c>
      <c r="E496" s="1" t="n">
        <v>46297</v>
      </c>
      <c r="F496" t="inlineStr">
        <is>
          <t>KALMAR LÄN</t>
        </is>
      </c>
      <c r="G496" t="inlineStr">
        <is>
          <t>NYBRO</t>
        </is>
      </c>
      <c r="I496" t="n">
        <v>8.199999999999999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37461-2023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45156</v>
      </c>
      <c r="E497" s="1" t="n">
        <v>46297</v>
      </c>
      <c r="F497" t="inlineStr">
        <is>
          <t>KALMAR LÄN</t>
        </is>
      </c>
      <c r="G497" t="inlineStr">
        <is>
          <t>NYBRO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45313</v>
      </c>
      <c r="E498" s="1" t="n">
        <v>46297</v>
      </c>
      <c r="F498" t="inlineStr">
        <is>
          <t>KALMAR LÄN</t>
        </is>
      </c>
      <c r="G498" t="inlineStr">
        <is>
          <t>NYBRO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41958-2024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45561</v>
      </c>
      <c r="E499" s="1" t="n">
        <v>46297</v>
      </c>
      <c r="F499" t="inlineStr">
        <is>
          <t>KALMAR LÄN</t>
        </is>
      </c>
      <c r="G499" t="inlineStr">
        <is>
          <t>NYBRO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45761</v>
      </c>
      <c r="E500" s="1" t="n">
        <v>46297</v>
      </c>
      <c r="F500" t="inlineStr">
        <is>
          <t>KALMAR LÄN</t>
        </is>
      </c>
      <c r="G500" t="inlineStr">
        <is>
          <t>NYBRO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14534-2024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45394</v>
      </c>
      <c r="E501" s="1" t="n">
        <v>46297</v>
      </c>
      <c r="F501" t="inlineStr">
        <is>
          <t>KALMAR LÄN</t>
        </is>
      </c>
      <c r="G501" t="inlineStr">
        <is>
          <t>NYBRO</t>
        </is>
      </c>
      <c r="H501" t="inlineStr">
        <is>
          <t>Kommuner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10654-2024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45368</v>
      </c>
      <c r="E502" s="1" t="n">
        <v>46297</v>
      </c>
      <c r="F502" t="inlineStr">
        <is>
          <t>KALMAR LÄN</t>
        </is>
      </c>
      <c r="G502" t="inlineStr">
        <is>
          <t>NYBRO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10737-2024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45369</v>
      </c>
      <c r="E503" s="1" t="n">
        <v>46297</v>
      </c>
      <c r="F503" t="inlineStr">
        <is>
          <t>KALMAR LÄN</t>
        </is>
      </c>
      <c r="G503" t="inlineStr">
        <is>
          <t>NYBRO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46297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40193-2025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45894</v>
      </c>
      <c r="E505" s="1" t="n">
        <v>46297</v>
      </c>
      <c r="F505" t="inlineStr">
        <is>
          <t>KALMAR LÄN</t>
        </is>
      </c>
      <c r="G505" t="inlineStr">
        <is>
          <t>NYBRO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22872-2026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46160</v>
      </c>
      <c r="E506" s="1" t="n">
        <v>46297</v>
      </c>
      <c r="F506" t="inlineStr">
        <is>
          <t>KALMAR LÄN</t>
        </is>
      </c>
      <c r="G506" t="inlineStr">
        <is>
          <t>NYBRO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45118</v>
      </c>
      <c r="E507" s="1" t="n">
        <v>46297</v>
      </c>
      <c r="F507" t="inlineStr">
        <is>
          <t>KALMAR LÄN</t>
        </is>
      </c>
      <c r="G507" t="inlineStr">
        <is>
          <t>NYBRO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45121</v>
      </c>
      <c r="E508" s="1" t="n">
        <v>46297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46297</v>
      </c>
      <c r="F509" t="inlineStr">
        <is>
          <t>KALMAR LÄN</t>
        </is>
      </c>
      <c r="G509" t="inlineStr">
        <is>
          <t>NYBRO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45123</v>
      </c>
      <c r="E510" s="1" t="n">
        <v>46297</v>
      </c>
      <c r="F510" t="inlineStr">
        <is>
          <t>KALMAR LÄN</t>
        </is>
      </c>
      <c r="G510" t="inlineStr">
        <is>
          <t>NYBRO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31612-2023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46297</v>
      </c>
      <c r="F511" t="inlineStr">
        <is>
          <t>KALMAR LÄN</t>
        </is>
      </c>
      <c r="G511" t="inlineStr">
        <is>
          <t>NYBRO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46297</v>
      </c>
      <c r="F512" t="inlineStr">
        <is>
          <t>KALMAR LÄN</t>
        </is>
      </c>
      <c r="G512" t="inlineStr">
        <is>
          <t>NYBRO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24689-2023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46297</v>
      </c>
      <c r="F513" t="inlineStr">
        <is>
          <t>KALMAR LÄN</t>
        </is>
      </c>
      <c r="G513" t="inlineStr">
        <is>
          <t>NYBRO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45561</v>
      </c>
      <c r="E514" s="1" t="n">
        <v>46297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58761-2021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44489</v>
      </c>
      <c r="E515" s="1" t="n">
        <v>46297</v>
      </c>
      <c r="F515" t="inlineStr">
        <is>
          <t>KALMAR LÄN</t>
        </is>
      </c>
      <c r="G515" t="inlineStr">
        <is>
          <t>NYBRO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24111-2023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45079</v>
      </c>
      <c r="E516" s="1" t="n">
        <v>46297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45107</v>
      </c>
      <c r="E517" s="1" t="n">
        <v>46297</v>
      </c>
      <c r="F517" t="inlineStr">
        <is>
          <t>KALMAR LÄN</t>
        </is>
      </c>
      <c r="G517" t="inlineStr">
        <is>
          <t>NYBRO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44953</v>
      </c>
      <c r="E518" s="1" t="n">
        <v>46297</v>
      </c>
      <c r="F518" t="inlineStr">
        <is>
          <t>KALMAR LÄN</t>
        </is>
      </c>
      <c r="G518" t="inlineStr">
        <is>
          <t>NYBRO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45156</v>
      </c>
      <c r="E519" s="1" t="n">
        <v>46297</v>
      </c>
      <c r="F519" t="inlineStr">
        <is>
          <t>KALMAR LÄN</t>
        </is>
      </c>
      <c r="G519" t="inlineStr">
        <is>
          <t>NYBRO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46297</v>
      </c>
      <c r="F520" t="inlineStr">
        <is>
          <t>KALMAR LÄN</t>
        </is>
      </c>
      <c r="G520" t="inlineStr">
        <is>
          <t>NYBRO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46297</v>
      </c>
      <c r="F521" t="inlineStr">
        <is>
          <t>KALMAR LÄN</t>
        </is>
      </c>
      <c r="G521" t="inlineStr">
        <is>
          <t>NYBRO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46297</v>
      </c>
      <c r="F522" t="inlineStr">
        <is>
          <t>KALMAR LÄN</t>
        </is>
      </c>
      <c r="G522" t="inlineStr">
        <is>
          <t>NYBRO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44973</v>
      </c>
      <c r="E523" s="1" t="n">
        <v>46297</v>
      </c>
      <c r="F523" t="inlineStr">
        <is>
          <t>KALMAR LÄN</t>
        </is>
      </c>
      <c r="G523" t="inlineStr">
        <is>
          <t>NYBRO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1535-2025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45670</v>
      </c>
      <c r="E524" s="1" t="n">
        <v>46297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45744</v>
      </c>
      <c r="E525" s="1" t="n">
        <v>46297</v>
      </c>
      <c r="F525" t="inlineStr">
        <is>
          <t>KALMAR LÄN</t>
        </is>
      </c>
      <c r="G525" t="inlineStr">
        <is>
          <t>NYBRO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46297</v>
      </c>
      <c r="F526" t="inlineStr">
        <is>
          <t>KALMAR LÄN</t>
        </is>
      </c>
      <c r="G526" t="inlineStr">
        <is>
          <t>NYBRO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46297</v>
      </c>
      <c r="F527" t="inlineStr">
        <is>
          <t>KALMAR LÄN</t>
        </is>
      </c>
      <c r="G527" t="inlineStr">
        <is>
          <t>NYBRO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46297</v>
      </c>
      <c r="F528" t="inlineStr">
        <is>
          <t>KALMAR LÄN</t>
        </is>
      </c>
      <c r="G528" t="inlineStr">
        <is>
          <t>NYBRO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28149-2023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45096</v>
      </c>
      <c r="E529" s="1" t="n">
        <v>46297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27513-2024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46297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45169</v>
      </c>
      <c r="E531" s="1" t="n">
        <v>46297</v>
      </c>
      <c r="F531" t="inlineStr">
        <is>
          <t>KALMAR LÄN</t>
        </is>
      </c>
      <c r="G531" t="inlineStr">
        <is>
          <t>NYBRO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44580</v>
      </c>
      <c r="E532" s="1" t="n">
        <v>46297</v>
      </c>
      <c r="F532" t="inlineStr">
        <is>
          <t>KALMAR LÄN</t>
        </is>
      </c>
      <c r="G532" t="inlineStr">
        <is>
          <t>NYBRO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46297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24614-2026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46169</v>
      </c>
      <c r="E534" s="1" t="n">
        <v>46297</v>
      </c>
      <c r="F534" t="inlineStr">
        <is>
          <t>KALMAR LÄN</t>
        </is>
      </c>
      <c r="G534" t="inlineStr">
        <is>
          <t>NYBRO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45320</v>
      </c>
      <c r="E535" s="1" t="n">
        <v>46297</v>
      </c>
      <c r="F535" t="inlineStr">
        <is>
          <t>KALMAR LÄN</t>
        </is>
      </c>
      <c r="G535" t="inlineStr">
        <is>
          <t>NYBRO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25510-2026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46297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46297</v>
      </c>
      <c r="F537" t="inlineStr">
        <is>
          <t>KALMAR LÄN</t>
        </is>
      </c>
      <c r="G537" t="inlineStr">
        <is>
          <t>NYBRO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33472-2023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45131</v>
      </c>
      <c r="E538" s="1" t="n">
        <v>46297</v>
      </c>
      <c r="F538" t="inlineStr">
        <is>
          <t>KALMAR LÄN</t>
        </is>
      </c>
      <c r="G538" t="inlineStr">
        <is>
          <t>NYBRO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18587-2025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46297</v>
      </c>
      <c r="F539" t="inlineStr">
        <is>
          <t>KALMAR LÄN</t>
        </is>
      </c>
      <c r="G539" t="inlineStr">
        <is>
          <t>NYBRO</t>
        </is>
      </c>
      <c r="I539" t="n">
        <v>30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46297</v>
      </c>
      <c r="F540" t="inlineStr">
        <is>
          <t>KALMAR LÄN</t>
        </is>
      </c>
      <c r="G540" t="inlineStr">
        <is>
          <t>NYBRO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45016</v>
      </c>
      <c r="E541" s="1" t="n">
        <v>46297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46297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44566</v>
      </c>
      <c r="E543" s="1" t="n">
        <v>46297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46297</v>
      </c>
      <c r="F544" t="inlineStr">
        <is>
          <t>KALMAR LÄN</t>
        </is>
      </c>
      <c r="G544" t="inlineStr">
        <is>
          <t>NYBRO</t>
        </is>
      </c>
      <c r="H544" t="inlineStr">
        <is>
          <t>Kommuner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46282-2023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45197</v>
      </c>
      <c r="E545" s="1" t="n">
        <v>46297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45035</v>
      </c>
      <c r="E546" s="1" t="n">
        <v>46297</v>
      </c>
      <c r="F546" t="inlineStr">
        <is>
          <t>KALMAR LÄN</t>
        </is>
      </c>
      <c r="G546" t="inlineStr">
        <is>
          <t>NYBRO</t>
        </is>
      </c>
      <c r="I546" t="n">
        <v>15.1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42740-2022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44832</v>
      </c>
      <c r="E547" s="1" t="n">
        <v>46297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46297</v>
      </c>
      <c r="F548" t="inlineStr">
        <is>
          <t>KALMAR LÄN</t>
        </is>
      </c>
      <c r="G548" t="inlineStr">
        <is>
          <t>NYBRO</t>
        </is>
      </c>
      <c r="H548" t="inlineStr">
        <is>
          <t>Kyrkan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25717-2026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46178</v>
      </c>
      <c r="E549" s="1" t="n">
        <v>46297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46297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25714-2026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46178</v>
      </c>
      <c r="E551" s="1" t="n">
        <v>46297</v>
      </c>
      <c r="F551" t="inlineStr">
        <is>
          <t>KALMAR LÄN</t>
        </is>
      </c>
      <c r="G551" t="inlineStr">
        <is>
          <t>NYBRO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46297</v>
      </c>
      <c r="F552" t="inlineStr">
        <is>
          <t>KALMAR LÄN</t>
        </is>
      </c>
      <c r="G552" t="inlineStr">
        <is>
          <t>NYBRO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46297</v>
      </c>
      <c r="F553" t="inlineStr">
        <is>
          <t>KALMAR LÄN</t>
        </is>
      </c>
      <c r="G553" t="inlineStr">
        <is>
          <t>NYBRO</t>
        </is>
      </c>
      <c r="I553" t="n">
        <v>15.9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41679-2024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45560</v>
      </c>
      <c r="E554" s="1" t="n">
        <v>46297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46297</v>
      </c>
      <c r="F555" t="inlineStr">
        <is>
          <t>KALMAR LÄN</t>
        </is>
      </c>
      <c r="G555" t="inlineStr">
        <is>
          <t>NYBRO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44645</v>
      </c>
      <c r="E556" s="1" t="n">
        <v>46297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46297</v>
      </c>
      <c r="F557" t="inlineStr">
        <is>
          <t>KALMAR LÄN</t>
        </is>
      </c>
      <c r="G557" t="inlineStr">
        <is>
          <t>NYBRO</t>
        </is>
      </c>
      <c r="H557" t="inlineStr">
        <is>
          <t>Kommuner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45664</v>
      </c>
      <c r="E558" s="1" t="n">
        <v>46297</v>
      </c>
      <c r="F558" t="inlineStr">
        <is>
          <t>KALMAR LÄN</t>
        </is>
      </c>
      <c r="G558" t="inlineStr">
        <is>
          <t>NYBRO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17157-2022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44677</v>
      </c>
      <c r="E559" s="1" t="n">
        <v>46297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46297</v>
      </c>
      <c r="F560" t="inlineStr">
        <is>
          <t>KALMAR LÄN</t>
        </is>
      </c>
      <c r="G560" t="inlineStr">
        <is>
          <t>NYBRO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21613-2023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45063</v>
      </c>
      <c r="E561" s="1" t="n">
        <v>46297</v>
      </c>
      <c r="F561" t="inlineStr">
        <is>
          <t>KALMAR LÄN</t>
        </is>
      </c>
      <c r="G561" t="inlineStr">
        <is>
          <t>NYBRO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45082</v>
      </c>
      <c r="E562" s="1" t="n">
        <v>46297</v>
      </c>
      <c r="F562" t="inlineStr">
        <is>
          <t>KALMAR LÄN</t>
        </is>
      </c>
      <c r="G562" t="inlineStr">
        <is>
          <t>NYBRO</t>
        </is>
      </c>
      <c r="H562" t="inlineStr">
        <is>
          <t>Kommuner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46297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14983-2022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46297</v>
      </c>
      <c r="F564" t="inlineStr">
        <is>
          <t>KALMAR LÄN</t>
        </is>
      </c>
      <c r="G564" t="inlineStr">
        <is>
          <t>NYBRO</t>
        </is>
      </c>
      <c r="H564" t="inlineStr">
        <is>
          <t>Kyrkan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46297</v>
      </c>
      <c r="F565" t="inlineStr">
        <is>
          <t>KALMAR LÄN</t>
        </is>
      </c>
      <c r="G565" t="inlineStr">
        <is>
          <t>NYBRO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46297</v>
      </c>
      <c r="F566" t="inlineStr">
        <is>
          <t>KALMAR LÄN</t>
        </is>
      </c>
      <c r="G566" t="inlineStr">
        <is>
          <t>NYBRO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5355-2022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44594</v>
      </c>
      <c r="E567" s="1" t="n">
        <v>46297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45049</v>
      </c>
      <c r="E568" s="1" t="n">
        <v>46297</v>
      </c>
      <c r="F568" t="inlineStr">
        <is>
          <t>KALMAR LÄN</t>
        </is>
      </c>
      <c r="G568" t="inlineStr">
        <is>
          <t>NYBRO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10289-2022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44622</v>
      </c>
      <c r="E569" s="1" t="n">
        <v>46297</v>
      </c>
      <c r="F569" t="inlineStr">
        <is>
          <t>KALMAR LÄN</t>
        </is>
      </c>
      <c r="G569" t="inlineStr">
        <is>
          <t>NYBRO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45637</v>
      </c>
      <c r="E570" s="1" t="n">
        <v>46297</v>
      </c>
      <c r="F570" t="inlineStr">
        <is>
          <t>KALMAR LÄN</t>
        </is>
      </c>
      <c r="G570" t="inlineStr">
        <is>
          <t>NYBRO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46197</v>
      </c>
      <c r="E571" s="1" t="n">
        <v>46297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45072</v>
      </c>
      <c r="E572" s="1" t="n">
        <v>46297</v>
      </c>
      <c r="F572" t="inlineStr">
        <is>
          <t>KALMAR LÄN</t>
        </is>
      </c>
      <c r="G572" t="inlineStr">
        <is>
          <t>NYBRO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46297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46197</v>
      </c>
      <c r="E574" s="1" t="n">
        <v>46297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18323-2025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45762</v>
      </c>
      <c r="E575" s="1" t="n">
        <v>46297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45118</v>
      </c>
      <c r="E576" s="1" t="n">
        <v>46297</v>
      </c>
      <c r="F576" t="inlineStr">
        <is>
          <t>KALMAR LÄN</t>
        </is>
      </c>
      <c r="G576" t="inlineStr">
        <is>
          <t>NYBRO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45392</v>
      </c>
      <c r="E577" s="1" t="n">
        <v>46297</v>
      </c>
      <c r="F577" t="inlineStr">
        <is>
          <t>KALMAR LÄN</t>
        </is>
      </c>
      <c r="G577" t="inlineStr">
        <is>
          <t>NYBRO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45196</v>
      </c>
      <c r="E578" s="1" t="n">
        <v>46297</v>
      </c>
      <c r="F578" t="inlineStr">
        <is>
          <t>KALMAR LÄN</t>
        </is>
      </c>
      <c r="G578" t="inlineStr">
        <is>
          <t>NYBRO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46297</v>
      </c>
      <c r="F579" t="inlineStr">
        <is>
          <t>KALMAR LÄN</t>
        </is>
      </c>
      <c r="G579" t="inlineStr">
        <is>
          <t>NYBRO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46297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44833</v>
      </c>
      <c r="E581" s="1" t="n">
        <v>46297</v>
      </c>
      <c r="F581" t="inlineStr">
        <is>
          <t>KALMAR LÄN</t>
        </is>
      </c>
      <c r="G581" t="inlineStr">
        <is>
          <t>NYBRO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18884-2022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44690</v>
      </c>
      <c r="E582" s="1" t="n">
        <v>46297</v>
      </c>
      <c r="F582" t="inlineStr">
        <is>
          <t>KALMAR LÄN</t>
        </is>
      </c>
      <c r="G582" t="inlineStr">
        <is>
          <t>NYBRO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18072-2022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44684</v>
      </c>
      <c r="E583" s="1" t="n">
        <v>46297</v>
      </c>
      <c r="F583" t="inlineStr">
        <is>
          <t>KALMAR LÄN</t>
        </is>
      </c>
      <c r="G583" t="inlineStr">
        <is>
          <t>NYBRO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46297</v>
      </c>
      <c r="F584" t="inlineStr">
        <is>
          <t>KALMAR LÄN</t>
        </is>
      </c>
      <c r="G584" t="inlineStr">
        <is>
          <t>NYBRO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46297</v>
      </c>
      <c r="F585" t="inlineStr">
        <is>
          <t>KALMAR LÄN</t>
        </is>
      </c>
      <c r="G585" t="inlineStr">
        <is>
          <t>NYBRO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45175</v>
      </c>
      <c r="E586" s="1" t="n">
        <v>46297</v>
      </c>
      <c r="F586" t="inlineStr">
        <is>
          <t>KALMAR LÄN</t>
        </is>
      </c>
      <c r="G586" t="inlineStr">
        <is>
          <t>NYBRO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45093</v>
      </c>
      <c r="E587" s="1" t="n">
        <v>46297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57809-2023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45244</v>
      </c>
      <c r="E588" s="1" t="n">
        <v>46297</v>
      </c>
      <c r="F588" t="inlineStr">
        <is>
          <t>KALMAR LÄN</t>
        </is>
      </c>
      <c r="G588" t="inlineStr">
        <is>
          <t>NYBRO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46297</v>
      </c>
      <c r="F589" t="inlineStr">
        <is>
          <t>KALMAR LÄN</t>
        </is>
      </c>
      <c r="G589" t="inlineStr">
        <is>
          <t>NYBRO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45756</v>
      </c>
      <c r="E590" s="1" t="n">
        <v>46297</v>
      </c>
      <c r="F590" t="inlineStr">
        <is>
          <t>KALMAR LÄN</t>
        </is>
      </c>
      <c r="G590" t="inlineStr">
        <is>
          <t>NYBRO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49340-2023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45211</v>
      </c>
      <c r="E591" s="1" t="n">
        <v>46297</v>
      </c>
      <c r="F591" t="inlineStr">
        <is>
          <t>KALMAR LÄN</t>
        </is>
      </c>
      <c r="G591" t="inlineStr">
        <is>
          <t>NYBRO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43731-2023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45187</v>
      </c>
      <c r="E592" s="1" t="n">
        <v>46297</v>
      </c>
      <c r="F592" t="inlineStr">
        <is>
          <t>KALMAR LÄN</t>
        </is>
      </c>
      <c r="G592" t="inlineStr">
        <is>
          <t>NYBRO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16268-2024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45407</v>
      </c>
      <c r="E593" s="1" t="n">
        <v>46297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55723-2023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45239</v>
      </c>
      <c r="E594" s="1" t="n">
        <v>46297</v>
      </c>
      <c r="F594" t="inlineStr">
        <is>
          <t>KALMAR LÄN</t>
        </is>
      </c>
      <c r="G594" t="inlineStr">
        <is>
          <t>NYBRO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27419-2022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44742</v>
      </c>
      <c r="E595" s="1" t="n">
        <v>46297</v>
      </c>
      <c r="F595" t="inlineStr">
        <is>
          <t>KALMAR LÄN</t>
        </is>
      </c>
      <c r="G595" t="inlineStr">
        <is>
          <t>NYBRO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44909</v>
      </c>
      <c r="E596" s="1" t="n">
        <v>46297</v>
      </c>
      <c r="F596" t="inlineStr">
        <is>
          <t>KALMAR LÄN</t>
        </is>
      </c>
      <c r="G596" t="inlineStr">
        <is>
          <t>NYBRO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41531-2023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45175</v>
      </c>
      <c r="E597" s="1" t="n">
        <v>46297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45198</v>
      </c>
      <c r="E598" s="1" t="n">
        <v>46297</v>
      </c>
      <c r="F598" t="inlineStr">
        <is>
          <t>KALMAR LÄN</t>
        </is>
      </c>
      <c r="G598" t="inlineStr">
        <is>
          <t>NYBRO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46297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44749</v>
      </c>
      <c r="E600" s="1" t="n">
        <v>46297</v>
      </c>
      <c r="F600" t="inlineStr">
        <is>
          <t>KALMAR LÄN</t>
        </is>
      </c>
      <c r="G600" t="inlineStr">
        <is>
          <t>NYBRO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23607-2022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44721</v>
      </c>
      <c r="E601" s="1" t="n">
        <v>46297</v>
      </c>
      <c r="F601" t="inlineStr">
        <is>
          <t>KALMAR LÄN</t>
        </is>
      </c>
      <c r="G601" t="inlineStr">
        <is>
          <t>NYBRO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27610-2022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44743</v>
      </c>
      <c r="E602" s="1" t="n">
        <v>46297</v>
      </c>
      <c r="F602" t="inlineStr">
        <is>
          <t>KALMAR LÄN</t>
        </is>
      </c>
      <c r="G602" t="inlineStr">
        <is>
          <t>NYBRO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45175</v>
      </c>
      <c r="E603" s="1" t="n">
        <v>46297</v>
      </c>
      <c r="F603" t="inlineStr">
        <is>
          <t>KALMAR LÄN</t>
        </is>
      </c>
      <c r="G603" t="inlineStr">
        <is>
          <t>NYBRO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46297</v>
      </c>
      <c r="F604" t="inlineStr">
        <is>
          <t>KALMAR LÄN</t>
        </is>
      </c>
      <c r="G604" t="inlineStr">
        <is>
          <t>NYBRO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46297</v>
      </c>
      <c r="F605" t="inlineStr">
        <is>
          <t>KALMAR LÄN</t>
        </is>
      </c>
      <c r="G605" t="inlineStr">
        <is>
          <t>NYBRO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45756</v>
      </c>
      <c r="E606" s="1" t="n">
        <v>46297</v>
      </c>
      <c r="F606" t="inlineStr">
        <is>
          <t>KALMAR LÄN</t>
        </is>
      </c>
      <c r="G606" t="inlineStr">
        <is>
          <t>NYBRO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34923-2026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46297</v>
      </c>
      <c r="F607" t="inlineStr">
        <is>
          <t>KALMAR LÄN</t>
        </is>
      </c>
      <c r="G607" t="inlineStr">
        <is>
          <t>NYBRO</t>
        </is>
      </c>
      <c r="H607" t="inlineStr">
        <is>
          <t>Kyrkan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60039-2022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44909</v>
      </c>
      <c r="E608" s="1" t="n">
        <v>46297</v>
      </c>
      <c r="F608" t="inlineStr">
        <is>
          <t>KALMAR LÄN</t>
        </is>
      </c>
      <c r="G608" t="inlineStr">
        <is>
          <t>NYBRO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45244</v>
      </c>
      <c r="E609" s="1" t="n">
        <v>46297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44801-2022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44841</v>
      </c>
      <c r="E610" s="1" t="n">
        <v>46297</v>
      </c>
      <c r="F610" t="inlineStr">
        <is>
          <t>KALMAR LÄN</t>
        </is>
      </c>
      <c r="G610" t="inlineStr">
        <is>
          <t>NYBRO</t>
        </is>
      </c>
      <c r="I610" t="n">
        <v>7.3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46297</v>
      </c>
      <c r="F611" t="inlineStr">
        <is>
          <t>KALMAR LÄN</t>
        </is>
      </c>
      <c r="G611" t="inlineStr">
        <is>
          <t>NYBRO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36247-2022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44803</v>
      </c>
      <c r="E612" s="1" t="n">
        <v>46297</v>
      </c>
      <c r="F612" t="inlineStr">
        <is>
          <t>KALMAR LÄN</t>
        </is>
      </c>
      <c r="G612" t="inlineStr">
        <is>
          <t>NYBRO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19451-2022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44693</v>
      </c>
      <c r="E613" s="1" t="n">
        <v>46297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45448</v>
      </c>
      <c r="E614" s="1" t="n">
        <v>46297</v>
      </c>
      <c r="F614" t="inlineStr">
        <is>
          <t>KALMAR LÄN</t>
        </is>
      </c>
      <c r="G614" t="inlineStr">
        <is>
          <t>NYBRO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26715-2022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44739</v>
      </c>
      <c r="E615" s="1" t="n">
        <v>46297</v>
      </c>
      <c r="F615" t="inlineStr">
        <is>
          <t>KALMAR LÄN</t>
        </is>
      </c>
      <c r="G615" t="inlineStr">
        <is>
          <t>NYBRO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35347-2026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46297</v>
      </c>
      <c r="F616" t="inlineStr">
        <is>
          <t>KALMAR LÄN</t>
        </is>
      </c>
      <c r="G616" t="inlineStr">
        <is>
          <t>NYBRO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44746</v>
      </c>
      <c r="E617" s="1" t="n">
        <v>46297</v>
      </c>
      <c r="F617" t="inlineStr">
        <is>
          <t>KALMAR LÄN</t>
        </is>
      </c>
      <c r="G617" t="inlineStr">
        <is>
          <t>NYBRO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59545-2023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46297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45330</v>
      </c>
      <c r="E619" s="1" t="n">
        <v>46297</v>
      </c>
      <c r="F619" t="inlineStr">
        <is>
          <t>KALMAR LÄN</t>
        </is>
      </c>
      <c r="G619" t="inlineStr">
        <is>
          <t>NYBRO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61060-2021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44497</v>
      </c>
      <c r="E620" s="1" t="n">
        <v>46297</v>
      </c>
      <c r="F620" t="inlineStr">
        <is>
          <t>KALMAR LÄN</t>
        </is>
      </c>
      <c r="G620" t="inlineStr">
        <is>
          <t>NYBRO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44974</v>
      </c>
      <c r="E621" s="1" t="n">
        <v>46297</v>
      </c>
      <c r="F621" t="inlineStr">
        <is>
          <t>KALMAR LÄN</t>
        </is>
      </c>
      <c r="G621" t="inlineStr">
        <is>
          <t>NYBRO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10457-2024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45366</v>
      </c>
      <c r="E622" s="1" t="n">
        <v>46297</v>
      </c>
      <c r="F622" t="inlineStr">
        <is>
          <t>KALMAR LÄN</t>
        </is>
      </c>
      <c r="G622" t="inlineStr">
        <is>
          <t>NYBRO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45217</v>
      </c>
      <c r="E623" s="1" t="n">
        <v>46297</v>
      </c>
      <c r="F623" t="inlineStr">
        <is>
          <t>KALMAR LÄN</t>
        </is>
      </c>
      <c r="G623" t="inlineStr">
        <is>
          <t>NYBRO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61780-2022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44917</v>
      </c>
      <c r="E624" s="1" t="n">
        <v>46297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44959</v>
      </c>
      <c r="E625" s="1" t="n">
        <v>46297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63111-2023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46297</v>
      </c>
      <c r="F626" t="inlineStr">
        <is>
          <t>KALMAR LÄN</t>
        </is>
      </c>
      <c r="G626" t="inlineStr">
        <is>
          <t>NYBRO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39771-2022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44819</v>
      </c>
      <c r="E627" s="1" t="n">
        <v>46297</v>
      </c>
      <c r="F627" t="inlineStr">
        <is>
          <t>KALMAR LÄN</t>
        </is>
      </c>
      <c r="G627" t="inlineStr">
        <is>
          <t>NYBRO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45301</v>
      </c>
      <c r="E628" s="1" t="n">
        <v>46297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46297</v>
      </c>
      <c r="F629" t="inlineStr">
        <is>
          <t>KALMAR LÄN</t>
        </is>
      </c>
      <c r="G629" t="inlineStr">
        <is>
          <t>NYBRO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18592-2025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45763</v>
      </c>
      <c r="E630" s="1" t="n">
        <v>46297</v>
      </c>
      <c r="F630" t="inlineStr">
        <is>
          <t>KALMAR LÄN</t>
        </is>
      </c>
      <c r="G630" t="inlineStr">
        <is>
          <t>NYBRO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45327</v>
      </c>
      <c r="E631" s="1" t="n">
        <v>46297</v>
      </c>
      <c r="F631" t="inlineStr">
        <is>
          <t>KALMAR LÄN</t>
        </is>
      </c>
      <c r="G631" t="inlineStr">
        <is>
          <t>NYBRO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26422-2023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46297</v>
      </c>
      <c r="F632" t="inlineStr">
        <is>
          <t>KALMAR LÄN</t>
        </is>
      </c>
      <c r="G632" t="inlineStr">
        <is>
          <t>NYBRO</t>
        </is>
      </c>
      <c r="H632" t="inlineStr">
        <is>
          <t>Kommuner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7481-2024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45346</v>
      </c>
      <c r="E633" s="1" t="n">
        <v>46297</v>
      </c>
      <c r="F633" t="inlineStr">
        <is>
          <t>KALMAR LÄN</t>
        </is>
      </c>
      <c r="G633" t="inlineStr">
        <is>
          <t>NYBRO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46297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46269</v>
      </c>
      <c r="E635" s="1" t="n">
        <v>46297</v>
      </c>
      <c r="F635" t="inlineStr">
        <is>
          <t>KALMAR LÄN</t>
        </is>
      </c>
      <c r="G635" t="inlineStr">
        <is>
          <t>NYBRO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63945-2023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45278</v>
      </c>
      <c r="E636" s="1" t="n">
        <v>46297</v>
      </c>
      <c r="F636" t="inlineStr">
        <is>
          <t>KALMAR LÄN</t>
        </is>
      </c>
      <c r="G636" t="inlineStr">
        <is>
          <t>NYBRO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46297</v>
      </c>
      <c r="F637" t="inlineStr">
        <is>
          <t>KALMAR LÄN</t>
        </is>
      </c>
      <c r="G637" t="inlineStr">
        <is>
          <t>NYBRO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25816-2023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46297</v>
      </c>
      <c r="F638" t="inlineStr">
        <is>
          <t>KALMAR LÄN</t>
        </is>
      </c>
      <c r="G638" t="inlineStr">
        <is>
          <t>NYBRO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52752-2024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45610</v>
      </c>
      <c r="E639" s="1" t="n">
        <v>46297</v>
      </c>
      <c r="F639" t="inlineStr">
        <is>
          <t>KALMAR LÄN</t>
        </is>
      </c>
      <c r="G639" t="inlineStr">
        <is>
          <t>NYBRO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44756</v>
      </c>
      <c r="E640" s="1" t="n">
        <v>46297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26129-2023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45091</v>
      </c>
      <c r="E641" s="1" t="n">
        <v>46297</v>
      </c>
      <c r="F641" t="inlineStr">
        <is>
          <t>KALMAR LÄN</t>
        </is>
      </c>
      <c r="G641" t="inlineStr">
        <is>
          <t>NYBRO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46269</v>
      </c>
      <c r="E642" s="1" t="n">
        <v>46297</v>
      </c>
      <c r="F642" t="inlineStr">
        <is>
          <t>KALMAR LÄN</t>
        </is>
      </c>
      <c r="G642" t="inlineStr">
        <is>
          <t>NYBRO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51082-2022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44868</v>
      </c>
      <c r="E643" s="1" t="n">
        <v>46297</v>
      </c>
      <c r="F643" t="inlineStr">
        <is>
          <t>KALMAR LÄN</t>
        </is>
      </c>
      <c r="G643" t="inlineStr">
        <is>
          <t>NYBRO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10114-2022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44621</v>
      </c>
      <c r="E644" s="1" t="n">
        <v>46297</v>
      </c>
      <c r="F644" t="inlineStr">
        <is>
          <t>KALMAR LÄN</t>
        </is>
      </c>
      <c r="G644" t="inlineStr">
        <is>
          <t>NYBRO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36876-2026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46297</v>
      </c>
      <c r="F645" t="inlineStr">
        <is>
          <t>KALMAR LÄN</t>
        </is>
      </c>
      <c r="G645" t="inlineStr">
        <is>
          <t>NYBRO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46297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49929-2022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44865</v>
      </c>
      <c r="E647" s="1" t="n">
        <v>46297</v>
      </c>
      <c r="F647" t="inlineStr">
        <is>
          <t>KALMAR LÄN</t>
        </is>
      </c>
      <c r="G647" t="inlineStr">
        <is>
          <t>NYBRO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37277-2026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46274</v>
      </c>
      <c r="E648" s="1" t="n">
        <v>46297</v>
      </c>
      <c r="F648" t="inlineStr">
        <is>
          <t>KALMAR LÄN</t>
        </is>
      </c>
      <c r="G648" t="inlineStr">
        <is>
          <t>NYBRO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9942-2023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44985</v>
      </c>
      <c r="E649" s="1" t="n">
        <v>46297</v>
      </c>
      <c r="F649" t="inlineStr">
        <is>
          <t>KALMAR LÄN</t>
        </is>
      </c>
      <c r="G649" t="inlineStr">
        <is>
          <t>NYBRO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25547-2024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45463</v>
      </c>
      <c r="E650" s="1" t="n">
        <v>46297</v>
      </c>
      <c r="F650" t="inlineStr">
        <is>
          <t>KALMAR LÄN</t>
        </is>
      </c>
      <c r="G650" t="inlineStr">
        <is>
          <t>NYBRO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36366-2024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45534</v>
      </c>
      <c r="E651" s="1" t="n">
        <v>46297</v>
      </c>
      <c r="F651" t="inlineStr">
        <is>
          <t>KALMAR LÄN</t>
        </is>
      </c>
      <c r="G651" t="inlineStr">
        <is>
          <t>NYBRO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45394</v>
      </c>
      <c r="E652" s="1" t="n">
        <v>46297</v>
      </c>
      <c r="F652" t="inlineStr">
        <is>
          <t>KALMAR LÄN</t>
        </is>
      </c>
      <c r="G652" t="inlineStr">
        <is>
          <t>NYBRO</t>
        </is>
      </c>
      <c r="H652" t="inlineStr">
        <is>
          <t>Kommuner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46297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45342</v>
      </c>
      <c r="E654" s="1" t="n">
        <v>46297</v>
      </c>
      <c r="F654" t="inlineStr">
        <is>
          <t>KALMAR LÄN</t>
        </is>
      </c>
      <c r="G654" t="inlineStr">
        <is>
          <t>NYBRO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15332-2024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45400</v>
      </c>
      <c r="E655" s="1" t="n">
        <v>46297</v>
      </c>
      <c r="F655" t="inlineStr">
        <is>
          <t>KALMAR LÄN</t>
        </is>
      </c>
      <c r="G655" t="inlineStr">
        <is>
          <t>NYBRO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39624-2024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45552</v>
      </c>
      <c r="E656" s="1" t="n">
        <v>46297</v>
      </c>
      <c r="F656" t="inlineStr">
        <is>
          <t>KALMAR LÄN</t>
        </is>
      </c>
      <c r="G656" t="inlineStr">
        <is>
          <t>NYBRO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60030-2022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44909</v>
      </c>
      <c r="E657" s="1" t="n">
        <v>46297</v>
      </c>
      <c r="F657" t="inlineStr">
        <is>
          <t>KALMAR LÄN</t>
        </is>
      </c>
      <c r="G657" t="inlineStr">
        <is>
          <t>NYBRO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8000-2023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44973</v>
      </c>
      <c r="E658" s="1" t="n">
        <v>46297</v>
      </c>
      <c r="F658" t="inlineStr">
        <is>
          <t>KALMAR LÄN</t>
        </is>
      </c>
      <c r="G658" t="inlineStr">
        <is>
          <t>NYBRO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59052-2022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46297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45174</v>
      </c>
      <c r="E660" s="1" t="n">
        <v>46297</v>
      </c>
      <c r="F660" t="inlineStr">
        <is>
          <t>KALMAR LÄN</t>
        </is>
      </c>
      <c r="G660" t="inlineStr">
        <is>
          <t>NYBRO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5803-2024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45335</v>
      </c>
      <c r="E661" s="1" t="n">
        <v>46297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46297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37393-2026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46275</v>
      </c>
      <c r="E663" s="1" t="n">
        <v>46297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37705-2026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46297</v>
      </c>
      <c r="F664" t="inlineStr">
        <is>
          <t>KALMAR LÄN</t>
        </is>
      </c>
      <c r="G664" t="inlineStr">
        <is>
          <t>NYBRO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44579</v>
      </c>
      <c r="E665" s="1" t="n">
        <v>46297</v>
      </c>
      <c r="F665" t="inlineStr">
        <is>
          <t>KALMAR LÄN</t>
        </is>
      </c>
      <c r="G665" t="inlineStr">
        <is>
          <t>NYBRO</t>
        </is>
      </c>
      <c r="I665" t="n">
        <v>8.4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44928</v>
      </c>
      <c r="E666" s="1" t="n">
        <v>46297</v>
      </c>
      <c r="F666" t="inlineStr">
        <is>
          <t>KALMAR LÄN</t>
        </is>
      </c>
      <c r="G666" t="inlineStr">
        <is>
          <t>NYBRO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44594</v>
      </c>
      <c r="E667" s="1" t="n">
        <v>46297</v>
      </c>
      <c r="F667" t="inlineStr">
        <is>
          <t>KALMAR LÄN</t>
        </is>
      </c>
      <c r="G667" t="inlineStr">
        <is>
          <t>NYBRO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935-2023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44933</v>
      </c>
      <c r="E668" s="1" t="n">
        <v>46297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8489-2023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46297</v>
      </c>
      <c r="F669" t="inlineStr">
        <is>
          <t>KALMAR LÄN</t>
        </is>
      </c>
      <c r="G669" t="inlineStr">
        <is>
          <t>NYBRO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54051-2022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46297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44368-2023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45188</v>
      </c>
      <c r="E671" s="1" t="n">
        <v>46297</v>
      </c>
      <c r="F671" t="inlineStr">
        <is>
          <t>KALMAR LÄN</t>
        </is>
      </c>
      <c r="G671" t="inlineStr">
        <is>
          <t>NYBRO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45244</v>
      </c>
      <c r="E672" s="1" t="n">
        <v>46297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45072</v>
      </c>
      <c r="E673" s="1" t="n">
        <v>46297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11150-2024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45371</v>
      </c>
      <c r="E674" s="1" t="n">
        <v>46297</v>
      </c>
      <c r="F674" t="inlineStr">
        <is>
          <t>KALMAR LÄN</t>
        </is>
      </c>
      <c r="G674" t="inlineStr">
        <is>
          <t>NYBRO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44914</v>
      </c>
      <c r="E675" s="1" t="n">
        <v>46297</v>
      </c>
      <c r="F675" t="inlineStr">
        <is>
          <t>KALMAR LÄN</t>
        </is>
      </c>
      <c r="G675" t="inlineStr">
        <is>
          <t>NYBRO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37708-2026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46297</v>
      </c>
      <c r="F676" t="inlineStr">
        <is>
          <t>KALMAR LÄN</t>
        </is>
      </c>
      <c r="G676" t="inlineStr">
        <is>
          <t>NYBRO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38288-2026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46282</v>
      </c>
      <c r="E677" s="1" t="n">
        <v>46297</v>
      </c>
      <c r="F677" t="inlineStr">
        <is>
          <t>KALMAR LÄN</t>
        </is>
      </c>
      <c r="G677" t="inlineStr">
        <is>
          <t>NYBRO</t>
        </is>
      </c>
      <c r="I677" t="n">
        <v>8.800000000000001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60794-2021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44497</v>
      </c>
      <c r="E678" s="1" t="n">
        <v>46297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46297</v>
      </c>
      <c r="F679" t="inlineStr">
        <is>
          <t>KALMAR LÄN</t>
        </is>
      </c>
      <c r="G679" t="inlineStr">
        <is>
          <t>NYBRO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32264-2024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45512</v>
      </c>
      <c r="E680" s="1" t="n">
        <v>46297</v>
      </c>
      <c r="F680" t="inlineStr">
        <is>
          <t>KALMAR LÄN</t>
        </is>
      </c>
      <c r="G680" t="inlineStr">
        <is>
          <t>NYBRO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32397-2026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46238</v>
      </c>
      <c r="E681" s="1" t="n">
        <v>46297</v>
      </c>
      <c r="F681" t="inlineStr">
        <is>
          <t>KALMAR LÄN</t>
        </is>
      </c>
      <c r="G681" t="inlineStr">
        <is>
          <t>NYBRO</t>
        </is>
      </c>
      <c r="H681" t="inlineStr">
        <is>
          <t>Sveaskog</t>
        </is>
      </c>
      <c r="I681" t="n">
        <v>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60603-2023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45260</v>
      </c>
      <c r="E682" s="1" t="n">
        <v>46297</v>
      </c>
      <c r="F682" t="inlineStr">
        <is>
          <t>KALMAR LÄN</t>
        </is>
      </c>
      <c r="G682" t="inlineStr">
        <is>
          <t>NYBRO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45188</v>
      </c>
      <c r="E683" s="1" t="n">
        <v>46297</v>
      </c>
      <c r="F683" t="inlineStr">
        <is>
          <t>KALMAR LÄN</t>
        </is>
      </c>
      <c r="G683" t="inlineStr">
        <is>
          <t>NYBRO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60026-2022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44909</v>
      </c>
      <c r="E684" s="1" t="n">
        <v>46297</v>
      </c>
      <c r="F684" t="inlineStr">
        <is>
          <t>KALMAR LÄN</t>
        </is>
      </c>
      <c r="G684" t="inlineStr">
        <is>
          <t>NYBRO</t>
        </is>
      </c>
      <c r="I684" t="n">
        <v>7.6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12943-2024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45385</v>
      </c>
      <c r="E685" s="1" t="n">
        <v>46297</v>
      </c>
      <c r="F685" t="inlineStr">
        <is>
          <t>KALMAR LÄN</t>
        </is>
      </c>
      <c r="G685" t="inlineStr">
        <is>
          <t>NYBRO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20434-2023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45056</v>
      </c>
      <c r="E686" s="1" t="n">
        <v>46297</v>
      </c>
      <c r="F686" t="inlineStr">
        <is>
          <t>KALMAR LÄN</t>
        </is>
      </c>
      <c r="G686" t="inlineStr">
        <is>
          <t>NYBRO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51652-2024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45606</v>
      </c>
      <c r="E687" s="1" t="n">
        <v>46297</v>
      </c>
      <c r="F687" t="inlineStr">
        <is>
          <t>KALMAR LÄN</t>
        </is>
      </c>
      <c r="G687" t="inlineStr">
        <is>
          <t>NYBRO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32398-2026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46297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10.3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23204-2023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45075</v>
      </c>
      <c r="E689" s="1" t="n">
        <v>46297</v>
      </c>
      <c r="F689" t="inlineStr">
        <is>
          <t>KALMAR LÄN</t>
        </is>
      </c>
      <c r="G689" t="inlineStr">
        <is>
          <t>NYBRO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38558-2026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46297</v>
      </c>
      <c r="F690" t="inlineStr">
        <is>
          <t>KALMAR LÄN</t>
        </is>
      </c>
      <c r="G690" t="inlineStr">
        <is>
          <t>NYBRO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46297</v>
      </c>
      <c r="F691" t="inlineStr">
        <is>
          <t>KALMAR LÄN</t>
        </is>
      </c>
      <c r="G691" t="inlineStr">
        <is>
          <t>NYBRO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49895-2023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45213</v>
      </c>
      <c r="E692" s="1" t="n">
        <v>46297</v>
      </c>
      <c r="F692" t="inlineStr">
        <is>
          <t>KALMAR LÄN</t>
        </is>
      </c>
      <c r="G692" t="inlineStr">
        <is>
          <t>NYBRO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59053-2022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46297</v>
      </c>
      <c r="F693" t="inlineStr">
        <is>
          <t>KALMAR LÄN</t>
        </is>
      </c>
      <c r="G693" t="inlineStr">
        <is>
          <t>NYBRO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46297</v>
      </c>
      <c r="F694" t="inlineStr">
        <is>
          <t>KALMAR LÄN</t>
        </is>
      </c>
      <c r="G694" t="inlineStr">
        <is>
          <t>NYBRO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32788-2026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46241</v>
      </c>
      <c r="E695" s="1" t="n">
        <v>46297</v>
      </c>
      <c r="F695" t="inlineStr">
        <is>
          <t>KALMAR LÄN</t>
        </is>
      </c>
      <c r="G695" t="inlineStr">
        <is>
          <t>NYBRO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60041-2022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44909</v>
      </c>
      <c r="E696" s="1" t="n">
        <v>46297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26125-2023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45091</v>
      </c>
      <c r="E697" s="1" t="n">
        <v>46297</v>
      </c>
      <c r="F697" t="inlineStr">
        <is>
          <t>KALMAR LÄN</t>
        </is>
      </c>
      <c r="G697" t="inlineStr">
        <is>
          <t>NYBRO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15109-2025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45744</v>
      </c>
      <c r="E698" s="1" t="n">
        <v>46297</v>
      </c>
      <c r="F698" t="inlineStr">
        <is>
          <t>KALMAR LÄN</t>
        </is>
      </c>
      <c r="G698" t="inlineStr">
        <is>
          <t>NYBRO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59687-2021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44494</v>
      </c>
      <c r="E699" s="1" t="n">
        <v>46297</v>
      </c>
      <c r="F699" t="inlineStr">
        <is>
          <t>KALMAR LÄN</t>
        </is>
      </c>
      <c r="G699" t="inlineStr">
        <is>
          <t>NYBRO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38945-2026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46286</v>
      </c>
      <c r="E700" s="1" t="n">
        <v>46297</v>
      </c>
      <c r="F700" t="inlineStr">
        <is>
          <t>KALMAR LÄN</t>
        </is>
      </c>
      <c r="G700" t="inlineStr">
        <is>
          <t>NYBRO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21433-2023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45063</v>
      </c>
      <c r="E701" s="1" t="n">
        <v>46297</v>
      </c>
      <c r="F701" t="inlineStr">
        <is>
          <t>KALMAR LÄN</t>
        </is>
      </c>
      <c r="G701" t="inlineStr">
        <is>
          <t>NYBRO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35406-2022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44798</v>
      </c>
      <c r="E702" s="1" t="n">
        <v>46297</v>
      </c>
      <c r="F702" t="inlineStr">
        <is>
          <t>KALMAR LÄN</t>
        </is>
      </c>
      <c r="G702" t="inlineStr">
        <is>
          <t>NYBRO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47435-2022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44853</v>
      </c>
      <c r="E703" s="1" t="n">
        <v>46297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26893-2024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46297</v>
      </c>
      <c r="F704" t="inlineStr">
        <is>
          <t>KALMAR LÄN</t>
        </is>
      </c>
      <c r="G704" t="inlineStr">
        <is>
          <t>NYBRO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15735-2023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45021</v>
      </c>
      <c r="E705" s="1" t="n">
        <v>46297</v>
      </c>
      <c r="F705" t="inlineStr">
        <is>
          <t>KALMAR LÄN</t>
        </is>
      </c>
      <c r="G705" t="inlineStr">
        <is>
          <t>NYBRO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24183-2023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45079</v>
      </c>
      <c r="E706" s="1" t="n">
        <v>46297</v>
      </c>
      <c r="F706" t="inlineStr">
        <is>
          <t>KALMAR LÄN</t>
        </is>
      </c>
      <c r="G706" t="inlineStr">
        <is>
          <t>NYBRO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45668</v>
      </c>
      <c r="E707" s="1" t="n">
        <v>46297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22487-2022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44713</v>
      </c>
      <c r="E708" s="1" t="n">
        <v>46297</v>
      </c>
      <c r="F708" t="inlineStr">
        <is>
          <t>KALMAR LÄN</t>
        </is>
      </c>
      <c r="G708" t="inlineStr">
        <is>
          <t>NYBRO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61136-2022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44908</v>
      </c>
      <c r="E709" s="1" t="n">
        <v>46297</v>
      </c>
      <c r="F709" t="inlineStr">
        <is>
          <t>KALMAR LÄN</t>
        </is>
      </c>
      <c r="G709" t="inlineStr">
        <is>
          <t>NYBRO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8069-2023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44974</v>
      </c>
      <c r="E710" s="1" t="n">
        <v>46297</v>
      </c>
      <c r="F710" t="inlineStr">
        <is>
          <t>KALMAR LÄN</t>
        </is>
      </c>
      <c r="G710" t="inlineStr">
        <is>
          <t>NYBRO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45079</v>
      </c>
      <c r="E711" s="1" t="n">
        <v>46297</v>
      </c>
      <c r="F711" t="inlineStr">
        <is>
          <t>KALMAR LÄN</t>
        </is>
      </c>
      <c r="G711" t="inlineStr">
        <is>
          <t>NYBRO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48732-2023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45208</v>
      </c>
      <c r="E712" s="1" t="n">
        <v>46297</v>
      </c>
      <c r="F712" t="inlineStr">
        <is>
          <t>KALMAR LÄN</t>
        </is>
      </c>
      <c r="G712" t="inlineStr">
        <is>
          <t>NYBRO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34345-2024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45525</v>
      </c>
      <c r="E713" s="1" t="n">
        <v>46297</v>
      </c>
      <c r="F713" t="inlineStr">
        <is>
          <t>KALMAR LÄN</t>
        </is>
      </c>
      <c r="G713" t="inlineStr">
        <is>
          <t>NYBRO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48312-2024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46297</v>
      </c>
      <c r="F714" t="inlineStr">
        <is>
          <t>KALMAR LÄN</t>
        </is>
      </c>
      <c r="G714" t="inlineStr">
        <is>
          <t>NYBRO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46297</v>
      </c>
      <c r="F715" t="inlineStr">
        <is>
          <t>KALMAR LÄN</t>
        </is>
      </c>
      <c r="G715" t="inlineStr">
        <is>
          <t>NYBRO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41635-2023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45175</v>
      </c>
      <c r="E716" s="1" t="n">
        <v>46297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46297</v>
      </c>
      <c r="F717" t="inlineStr">
        <is>
          <t>KALMAR LÄN</t>
        </is>
      </c>
      <c r="G717" t="inlineStr">
        <is>
          <t>NYBRO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33254-2026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46246</v>
      </c>
      <c r="E718" s="1" t="n">
        <v>46297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46246</v>
      </c>
      <c r="E719" s="1" t="n">
        <v>46297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45078</v>
      </c>
      <c r="E720" s="1" t="n">
        <v>46297</v>
      </c>
      <c r="F720" t="inlineStr">
        <is>
          <t>KALMAR LÄN</t>
        </is>
      </c>
      <c r="G720" t="inlineStr">
        <is>
          <t>NYBRO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33252-2026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46246</v>
      </c>
      <c r="E721" s="1" t="n">
        <v>46297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23479-2025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45792</v>
      </c>
      <c r="E722" s="1" t="n">
        <v>46297</v>
      </c>
      <c r="F722" t="inlineStr">
        <is>
          <t>KALMAR LÄN</t>
        </is>
      </c>
      <c r="G722" t="inlineStr">
        <is>
          <t>NYBRO</t>
        </is>
      </c>
      <c r="H722" t="inlineStr">
        <is>
          <t>Sveaskog</t>
        </is>
      </c>
      <c r="I722" t="n">
        <v>8.800000000000001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29950-2024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45488</v>
      </c>
      <c r="E723" s="1" t="n">
        <v>46297</v>
      </c>
      <c r="F723" t="inlineStr">
        <is>
          <t>KALMAR LÄN</t>
        </is>
      </c>
      <c r="G723" t="inlineStr">
        <is>
          <t>NYBRO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19539-2023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45050</v>
      </c>
      <c r="E724" s="1" t="n">
        <v>46297</v>
      </c>
      <c r="F724" t="inlineStr">
        <is>
          <t>KALMAR LÄN</t>
        </is>
      </c>
      <c r="G724" t="inlineStr">
        <is>
          <t>NYBRO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49390-2025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45938</v>
      </c>
      <c r="E725" s="1" t="n">
        <v>46297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15584-2024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45401</v>
      </c>
      <c r="E726" s="1" t="n">
        <v>46297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46297</v>
      </c>
      <c r="F727" t="inlineStr">
        <is>
          <t>KALMAR LÄN</t>
        </is>
      </c>
      <c r="G727" t="inlineStr">
        <is>
          <t>NYBRO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23926-2023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45075</v>
      </c>
      <c r="E728" s="1" t="n">
        <v>46297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45679</v>
      </c>
      <c r="E729" s="1" t="n">
        <v>46297</v>
      </c>
      <c r="F729" t="inlineStr">
        <is>
          <t>KALMAR LÄN</t>
        </is>
      </c>
      <c r="G729" t="inlineStr">
        <is>
          <t>NYBRO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46289</v>
      </c>
      <c r="E730" s="1" t="n">
        <v>46297</v>
      </c>
      <c r="F730" t="inlineStr">
        <is>
          <t>KALMAR LÄN</t>
        </is>
      </c>
      <c r="G730" t="inlineStr">
        <is>
          <t>NYBRO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53681-2022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44880</v>
      </c>
      <c r="E731" s="1" t="n">
        <v>46297</v>
      </c>
      <c r="F731" t="inlineStr">
        <is>
          <t>KALMAR LÄN</t>
        </is>
      </c>
      <c r="G731" t="inlineStr">
        <is>
          <t>NYBRO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5152-2022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46297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51651-2024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45606</v>
      </c>
      <c r="E733" s="1" t="n">
        <v>46297</v>
      </c>
      <c r="F733" t="inlineStr">
        <is>
          <t>KALMAR LÄN</t>
        </is>
      </c>
      <c r="G733" t="inlineStr">
        <is>
          <t>NYBRO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46250</v>
      </c>
      <c r="E734" s="1" t="n">
        <v>46297</v>
      </c>
      <c r="F734" t="inlineStr">
        <is>
          <t>KALMAR LÄN</t>
        </is>
      </c>
      <c r="G734" t="inlineStr">
        <is>
          <t>NYBRO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44586</v>
      </c>
      <c r="E735" s="1" t="n">
        <v>46297</v>
      </c>
      <c r="F735" t="inlineStr">
        <is>
          <t>KALMAR LÄN</t>
        </is>
      </c>
      <c r="G735" t="inlineStr">
        <is>
          <t>NYBRO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26729-2023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45093</v>
      </c>
      <c r="E736" s="1" t="n">
        <v>46297</v>
      </c>
      <c r="F736" t="inlineStr">
        <is>
          <t>KALMAR LÄN</t>
        </is>
      </c>
      <c r="G736" t="inlineStr">
        <is>
          <t>NYBRO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46248</v>
      </c>
      <c r="E737" s="1" t="n">
        <v>46297</v>
      </c>
      <c r="F737" t="inlineStr">
        <is>
          <t>KALMAR LÄN</t>
        </is>
      </c>
      <c r="G737" t="inlineStr">
        <is>
          <t>NYBRO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38623-2023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45162</v>
      </c>
      <c r="E738" s="1" t="n">
        <v>46297</v>
      </c>
      <c r="F738" t="inlineStr">
        <is>
          <t>KALMAR LÄN</t>
        </is>
      </c>
      <c r="G738" t="inlineStr">
        <is>
          <t>NYBRO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49912-2022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44865</v>
      </c>
      <c r="E739" s="1" t="n">
        <v>46297</v>
      </c>
      <c r="F739" t="inlineStr">
        <is>
          <t>KALMAR LÄN</t>
        </is>
      </c>
      <c r="G739" t="inlineStr">
        <is>
          <t>NYBRO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60033-2022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44909</v>
      </c>
      <c r="E740" s="1" t="n">
        <v>46297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24941-2023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46297</v>
      </c>
      <c r="F741" t="inlineStr">
        <is>
          <t>KALMAR LÄN</t>
        </is>
      </c>
      <c r="G741" t="inlineStr">
        <is>
          <t>NYBRO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1928-2024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45308</v>
      </c>
      <c r="E742" s="1" t="n">
        <v>46297</v>
      </c>
      <c r="F742" t="inlineStr">
        <is>
          <t>KALMAR LÄN</t>
        </is>
      </c>
      <c r="G742" t="inlineStr">
        <is>
          <t>NYBRO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61807-2024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45649</v>
      </c>
      <c r="E743" s="1" t="n">
        <v>46297</v>
      </c>
      <c r="F743" t="inlineStr">
        <is>
          <t>KALMAR LÄN</t>
        </is>
      </c>
      <c r="G743" t="inlineStr">
        <is>
          <t>NYBRO</t>
        </is>
      </c>
      <c r="I743" t="n">
        <v>14.2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61835-2024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45649</v>
      </c>
      <c r="E744" s="1" t="n">
        <v>46297</v>
      </c>
      <c r="F744" t="inlineStr">
        <is>
          <t>KALMAR LÄN</t>
        </is>
      </c>
      <c r="G744" t="inlineStr">
        <is>
          <t>NYBRO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56069-2023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46297</v>
      </c>
      <c r="F745" t="inlineStr">
        <is>
          <t>KALMAR LÄN</t>
        </is>
      </c>
      <c r="G745" t="inlineStr">
        <is>
          <t>NYBRO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33035-2022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44785</v>
      </c>
      <c r="E746" s="1" t="n">
        <v>46297</v>
      </c>
      <c r="F746" t="inlineStr">
        <is>
          <t>KALMAR LÄN</t>
        </is>
      </c>
      <c r="G746" t="inlineStr">
        <is>
          <t>NYBRO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14299-2023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45011</v>
      </c>
      <c r="E747" s="1" t="n">
        <v>46297</v>
      </c>
      <c r="F747" t="inlineStr">
        <is>
          <t>KALMAR LÄN</t>
        </is>
      </c>
      <c r="G747" t="inlineStr">
        <is>
          <t>NYBRO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49096-2023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45210</v>
      </c>
      <c r="E748" s="1" t="n">
        <v>46297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46297</v>
      </c>
      <c r="F749" t="inlineStr">
        <is>
          <t>KALMAR LÄN</t>
        </is>
      </c>
      <c r="G749" t="inlineStr">
        <is>
          <t>NYBRO</t>
        </is>
      </c>
      <c r="H749" t="inlineStr">
        <is>
          <t>Kyrkan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48467-2024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45591</v>
      </c>
      <c r="E750" s="1" t="n">
        <v>46297</v>
      </c>
      <c r="F750" t="inlineStr">
        <is>
          <t>KALMAR LÄN</t>
        </is>
      </c>
      <c r="G750" t="inlineStr">
        <is>
          <t>NYBRO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58551-2024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45635</v>
      </c>
      <c r="E751" s="1" t="n">
        <v>46297</v>
      </c>
      <c r="F751" t="inlineStr">
        <is>
          <t>KALMAR LÄN</t>
        </is>
      </c>
      <c r="G751" t="inlineStr">
        <is>
          <t>NYBRO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16338-2023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45028</v>
      </c>
      <c r="E752" s="1" t="n">
        <v>46297</v>
      </c>
      <c r="F752" t="inlineStr">
        <is>
          <t>KALMAR LÄN</t>
        </is>
      </c>
      <c r="G752" t="inlineStr">
        <is>
          <t>NYBRO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46297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37967-2022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44811</v>
      </c>
      <c r="E754" s="1" t="n">
        <v>46297</v>
      </c>
      <c r="F754" t="inlineStr">
        <is>
          <t>KALMAR LÄN</t>
        </is>
      </c>
      <c r="G754" t="inlineStr">
        <is>
          <t>NYBRO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50978-2022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44867</v>
      </c>
      <c r="E755" s="1" t="n">
        <v>46297</v>
      </c>
      <c r="F755" t="inlineStr">
        <is>
          <t>KALMAR LÄN</t>
        </is>
      </c>
      <c r="G755" t="inlineStr">
        <is>
          <t>NYBRO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19461-2024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45429</v>
      </c>
      <c r="E756" s="1" t="n">
        <v>46297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46295</v>
      </c>
      <c r="E757" s="1" t="n">
        <v>46297</v>
      </c>
      <c r="F757" t="inlineStr">
        <is>
          <t>KALMAR LÄN</t>
        </is>
      </c>
      <c r="G757" t="inlineStr">
        <is>
          <t>NYBRO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33924-2026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46252</v>
      </c>
      <c r="E758" s="1" t="n">
        <v>46297</v>
      </c>
      <c r="F758" t="inlineStr">
        <is>
          <t>KALMAR LÄN</t>
        </is>
      </c>
      <c r="G758" t="inlineStr">
        <is>
          <t>NYBRO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5354-2022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44594</v>
      </c>
      <c r="E759" s="1" t="n">
        <v>46297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5405-2024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45331</v>
      </c>
      <c r="E760" s="1" t="n">
        <v>46297</v>
      </c>
      <c r="F760" t="inlineStr">
        <is>
          <t>KALMAR LÄN</t>
        </is>
      </c>
      <c r="G760" t="inlineStr">
        <is>
          <t>NYBRO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46297</v>
      </c>
      <c r="F761" t="inlineStr">
        <is>
          <t>KALMAR LÄN</t>
        </is>
      </c>
      <c r="G761" t="inlineStr">
        <is>
          <t>NYBRO</t>
        </is>
      </c>
      <c r="H761" t="inlineStr">
        <is>
          <t>Sveaskog</t>
        </is>
      </c>
      <c r="I761" t="n">
        <v>12.3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15828-2023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46297</v>
      </c>
      <c r="F762" t="inlineStr">
        <is>
          <t>KALMAR LÄN</t>
        </is>
      </c>
      <c r="G762" t="inlineStr">
        <is>
          <t>NYBRO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34260-2026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46253</v>
      </c>
      <c r="E763" s="1" t="n">
        <v>46297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10.8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32048-2022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44778</v>
      </c>
      <c r="E764" s="1" t="n">
        <v>46297</v>
      </c>
      <c r="F764" t="inlineStr">
        <is>
          <t>KALMAR LÄN</t>
        </is>
      </c>
      <c r="G764" t="inlineStr">
        <is>
          <t>NYBRO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46297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46297</v>
      </c>
      <c r="F766" t="inlineStr">
        <is>
          <t>KALMAR LÄN</t>
        </is>
      </c>
      <c r="G766" t="inlineStr">
        <is>
          <t>NYBRO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46297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48102-2023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46297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46297</v>
      </c>
      <c r="F769" t="inlineStr">
        <is>
          <t>KALMAR LÄN</t>
        </is>
      </c>
      <c r="G769" t="inlineStr">
        <is>
          <t>NYBRO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45240</v>
      </c>
      <c r="E770" s="1" t="n">
        <v>46297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44903</v>
      </c>
      <c r="E771" s="1" t="n">
        <v>46297</v>
      </c>
      <c r="F771" t="inlineStr">
        <is>
          <t>KALMAR LÄN</t>
        </is>
      </c>
      <c r="G771" t="inlineStr">
        <is>
          <t>NYBRO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28272-2024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46297</v>
      </c>
      <c r="F772" t="inlineStr">
        <is>
          <t>KALMAR LÄN</t>
        </is>
      </c>
      <c r="G772" t="inlineStr">
        <is>
          <t>NYBRO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45407</v>
      </c>
      <c r="E773" s="1" t="n">
        <v>46297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54341-2022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44882</v>
      </c>
      <c r="E774" s="1" t="n">
        <v>46297</v>
      </c>
      <c r="F774" t="inlineStr">
        <is>
          <t>KALMAR LÄN</t>
        </is>
      </c>
      <c r="G774" t="inlineStr">
        <is>
          <t>NYBRO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45069</v>
      </c>
      <c r="E775" s="1" t="n">
        <v>46297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46297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46297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46297</v>
      </c>
      <c r="F778" t="inlineStr">
        <is>
          <t>KALMAR LÄN</t>
        </is>
      </c>
      <c r="G778" t="inlineStr">
        <is>
          <t>NYBRO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46297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45321</v>
      </c>
      <c r="E780" s="1" t="n">
        <v>46297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45013</v>
      </c>
      <c r="E781" s="1" t="n">
        <v>46297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41674-2024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45560</v>
      </c>
      <c r="E782" s="1" t="n">
        <v>46297</v>
      </c>
      <c r="F782" t="inlineStr">
        <is>
          <t>KALMAR LÄN</t>
        </is>
      </c>
      <c r="G782" t="inlineStr">
        <is>
          <t>NYBRO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46297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46297</v>
      </c>
      <c r="F784" t="inlineStr">
        <is>
          <t>KALMAR LÄN</t>
        </is>
      </c>
      <c r="G784" t="inlineStr">
        <is>
          <t>NYBRO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46297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46297</v>
      </c>
      <c r="F786" t="inlineStr">
        <is>
          <t>KALMAR LÄN</t>
        </is>
      </c>
      <c r="G786" t="inlineStr">
        <is>
          <t>NYBRO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46297</v>
      </c>
      <c r="F787" t="inlineStr">
        <is>
          <t>KALMAR LÄN</t>
        </is>
      </c>
      <c r="G787" t="inlineStr">
        <is>
          <t>NYBRO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61839-2024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45649</v>
      </c>
      <c r="E788" s="1" t="n">
        <v>46297</v>
      </c>
      <c r="F788" t="inlineStr">
        <is>
          <t>KALMAR LÄN</t>
        </is>
      </c>
      <c r="G788" t="inlineStr">
        <is>
          <t>NYBRO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50783-2023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46297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46297</v>
      </c>
      <c r="F790" t="inlineStr">
        <is>
          <t>KALMAR LÄN</t>
        </is>
      </c>
      <c r="G790" t="inlineStr">
        <is>
          <t>NYBRO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44999</v>
      </c>
      <c r="E791" s="1" t="n">
        <v>46297</v>
      </c>
      <c r="F791" t="inlineStr">
        <is>
          <t>KALMAR LÄN</t>
        </is>
      </c>
      <c r="G791" t="inlineStr">
        <is>
          <t>NYBRO</t>
        </is>
      </c>
      <c r="I791" t="n">
        <v>16.5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46297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46297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22435-2023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45070</v>
      </c>
      <c r="E794" s="1" t="n">
        <v>46297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46297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46297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46297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46297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46297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46297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46297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46297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46297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45572</v>
      </c>
      <c r="E804" s="1" t="n">
        <v>46297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46297</v>
      </c>
      <c r="F805" t="inlineStr">
        <is>
          <t>KALMAR LÄN</t>
        </is>
      </c>
      <c r="G805" t="inlineStr">
        <is>
          <t>NYBRO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45370</v>
      </c>
      <c r="E806" s="1" t="n">
        <v>46297</v>
      </c>
      <c r="F806" t="inlineStr">
        <is>
          <t>KALMAR LÄN</t>
        </is>
      </c>
      <c r="G806" t="inlineStr">
        <is>
          <t>NYBRO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46297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45357</v>
      </c>
      <c r="E808" s="1" t="n">
        <v>46297</v>
      </c>
      <c r="F808" t="inlineStr">
        <is>
          <t>KALMAR LÄN</t>
        </is>
      </c>
      <c r="G808" t="inlineStr">
        <is>
          <t>NYBRO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45367</v>
      </c>
      <c r="E809" s="1" t="n">
        <v>46297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45673</v>
      </c>
      <c r="E810" s="1" t="n">
        <v>46297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46297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56972-2024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46297</v>
      </c>
      <c r="F812" t="inlineStr">
        <is>
          <t>KALMAR LÄN</t>
        </is>
      </c>
      <c r="G812" t="inlineStr">
        <is>
          <t>NYBRO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46297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46297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46297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15510-2024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45401</v>
      </c>
      <c r="E816" s="1" t="n">
        <v>46297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36374-2024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45534</v>
      </c>
      <c r="E817" s="1" t="n">
        <v>46297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46297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570-2022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44592</v>
      </c>
      <c r="E819" s="1" t="n">
        <v>46297</v>
      </c>
      <c r="F819" t="inlineStr">
        <is>
          <t>KALMAR LÄN</t>
        </is>
      </c>
      <c r="G819" t="inlineStr">
        <is>
          <t>NYBRO</t>
        </is>
      </c>
      <c r="I819" t="n">
        <v>23.4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477-2022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44587</v>
      </c>
      <c r="E820" s="1" t="n">
        <v>46297</v>
      </c>
      <c r="F820" t="inlineStr">
        <is>
          <t>KALMAR LÄN</t>
        </is>
      </c>
      <c r="G820" t="inlineStr">
        <is>
          <t>NYBRO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44594</v>
      </c>
      <c r="E821" s="1" t="n">
        <v>46297</v>
      </c>
      <c r="F821" t="inlineStr">
        <is>
          <t>KALMAR LÄN</t>
        </is>
      </c>
      <c r="G821" t="inlineStr">
        <is>
          <t>NYBRO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2489-2022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44693</v>
      </c>
      <c r="E822" s="1" t="n">
        <v>46297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453-2022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46297</v>
      </c>
      <c r="F823" t="inlineStr">
        <is>
          <t>KALMAR LÄN</t>
        </is>
      </c>
      <c r="G823" t="inlineStr">
        <is>
          <t>NYBRO</t>
        </is>
      </c>
      <c r="I823" t="n">
        <v>20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46297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46297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46297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46297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46297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46297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46297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46297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46297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46297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46297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4877-2022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44806</v>
      </c>
      <c r="E835" s="1" t="n">
        <v>46297</v>
      </c>
      <c r="F835" t="inlineStr">
        <is>
          <t>KALMAR LÄN</t>
        </is>
      </c>
      <c r="G835" t="inlineStr">
        <is>
          <t>NYBRO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5164-2024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46297</v>
      </c>
      <c r="F836" t="inlineStr">
        <is>
          <t>KALMAR LÄN</t>
        </is>
      </c>
      <c r="G836" t="inlineStr">
        <is>
          <t>NYBRO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1608-2023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46297</v>
      </c>
      <c r="F837" t="inlineStr">
        <is>
          <t>KALMAR LÄN</t>
        </is>
      </c>
      <c r="G837" t="inlineStr">
        <is>
          <t>NYBRO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46297</v>
      </c>
      <c r="F838" t="inlineStr">
        <is>
          <t>KALMAR LÄN</t>
        </is>
      </c>
      <c r="G838" t="inlineStr">
        <is>
          <t>NYBRO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46297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46297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46297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46297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46297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46297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46297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46297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46297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46297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46297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46297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46297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46297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46297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2566-2026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46295</v>
      </c>
      <c r="E854" s="1" t="n">
        <v>46297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2026-10-02T02:04:55Z</dcterms:created>
  <dcterms:modified xmlns:dcterms="http://purl.org/dc/terms/" xmlns:xsi="http://www.w3.org/2001/XMLSchema-instance" xsi:type="dcterms:W3CDTF">2026-10-02T02:04:56Z</dcterms:modified>
</cp:coreProperties>
</file>