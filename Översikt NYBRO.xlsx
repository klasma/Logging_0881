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45360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45360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45360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45360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45360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45360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45360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45360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45360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45360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45360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45360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45360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45360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45360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45360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20073-2019</t>
        </is>
      </c>
      <c r="B18" s="1" t="n">
        <v>43566</v>
      </c>
      <c r="C18" s="1" t="n">
        <v>45360</v>
      </c>
      <c r="D18" t="inlineStr">
        <is>
          <t>KALMAR LÄN</t>
        </is>
      </c>
      <c r="E18" t="inlineStr">
        <is>
          <t>NYBRO</t>
        </is>
      </c>
      <c r="F18" t="inlineStr">
        <is>
          <t>Kyrkan</t>
        </is>
      </c>
      <c r="G18" t="n">
        <v>18.4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Trädlärka</t>
        </is>
      </c>
      <c r="S18">
        <f>HYPERLINK("https://klasma.github.io/Logging_0881/artfynd/A 20073-2019 artfynd.xlsx", "A 20073-2019")</f>
        <v/>
      </c>
      <c r="T18">
        <f>HYPERLINK("https://klasma.github.io/Logging_0881/kartor/A 20073-2019 karta.png", "A 20073-2019")</f>
        <v/>
      </c>
      <c r="V18">
        <f>HYPERLINK("https://klasma.github.io/Logging_0881/klagomål/A 20073-2019 FSC-klagomål.docx", "A 20073-2019")</f>
        <v/>
      </c>
      <c r="W18">
        <f>HYPERLINK("https://klasma.github.io/Logging_0881/klagomålsmail/A 20073-2019 FSC-klagomål mail.docx", "A 20073-2019")</f>
        <v/>
      </c>
      <c r="X18">
        <f>HYPERLINK("https://klasma.github.io/Logging_0881/tillsyn/A 20073-2019 tillsynsbegäran.docx", "A 20073-2019")</f>
        <v/>
      </c>
      <c r="Y18">
        <f>HYPERLINK("https://klasma.github.io/Logging_0881/tillsynsmail/A 20073-2019 tillsynsbegäran mail.docx", "A 20073-2019")</f>
        <v/>
      </c>
      <c r="Z18">
        <f>HYPERLINK("https://klasma.github.io/Logging_0881/fåglar/A 20073-2019 prioriterade fågelarter.docx", "A 20073-2019")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45360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45360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45360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45360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45360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45360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45360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45360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45360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45360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45360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45360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45360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45360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45360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45360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45360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45360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45360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45360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45360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45360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45360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45360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45360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45360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45360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45360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45360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45360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45360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45360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45360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45360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45360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45360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45360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45360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45360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45360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45360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45360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45360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45360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45360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45360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45360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45360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45360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45360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45360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45360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45360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45360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45360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45360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45360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45360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45360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45360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45360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45360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45360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45360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45360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45360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45360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45360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45360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45360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45360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45360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45360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45360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45360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45360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45360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45360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45360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45360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45360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45360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45360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45360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45360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45360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45360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45360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45360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45360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45360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45360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45360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45360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45360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45360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45360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45360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45360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45360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45360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45360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45360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45360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45360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45360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45360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45360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45360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45360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45360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45360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45360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45360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45360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45360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45360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45360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45360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45360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45360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45360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45360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45360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45360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45360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45360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45360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45360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45360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45360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45360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45360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45360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45360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45360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45360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45360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45360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45360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45360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45360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45360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45360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45360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45360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45360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45360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45360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45360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45360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45360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45360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45360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45360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45360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45360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45360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45360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45360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45360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45360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45360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45360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45360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45360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45360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45360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45360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45360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45360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45360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45360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45360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45360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45360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45360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45360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45360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45360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45360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45360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45360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45360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45360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45360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45360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45360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45360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45360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45360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45360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45360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45360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45360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45360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45360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45360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45360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45360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45360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45360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45360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45360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45360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45360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45360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45360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45360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45360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45360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45360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45360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45360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45360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45360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45360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45360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45360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45360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45360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45360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45360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45360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45360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45360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45360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45360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45360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45360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45360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45360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45360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45360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45360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45360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45360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45360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45360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45360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45360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45360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45360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45360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45360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45360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45360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45360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45360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45360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45360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45360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45360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45360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45360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45360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45360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45360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45360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45360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45360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45360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45360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45360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45360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45360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45360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45360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45360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45360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45360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45360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45360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45360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45360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45360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45360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45360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45360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45360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45360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45360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45360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45360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45360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45360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45360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45360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45360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45360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45360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45360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45360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45360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45360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45360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45360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45360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45360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45360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45360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45360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45360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45360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45360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45360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45360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45360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45360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45360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45360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45360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45360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45360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45360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45360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45360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45360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45360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45360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45360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45360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45360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45360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45360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45360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45360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45360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45360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45360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45360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45360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45360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45360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45360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45360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45360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45360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45360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45360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45360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45360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45360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45360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45360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45360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45360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45360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45360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45360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45360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45360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45360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45360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45360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45360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45360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45360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45360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45360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45360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45360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45360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45360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45360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45360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45360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45360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45360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45360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45360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45360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45360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45360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45360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45360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45360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45360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45360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45360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45360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45360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45360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45360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45360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45360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45360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45360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45360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45360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45360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45360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45360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45360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45360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45360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45360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45360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45360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45360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45360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45360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45360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45360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45360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45360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45360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45360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45360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45360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45360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45360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45360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45360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45360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45360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45360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45360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45360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45360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45360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45360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45360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45360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45360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45360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45360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45360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45360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45360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45360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45360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45360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45360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45360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45360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45360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45360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45360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45360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45360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45360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45360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45360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45360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45360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45360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45360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45360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45360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45360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45360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45360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45360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45360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45360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45360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45360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45360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45360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45360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45360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45360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45360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45360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45360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45360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45360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45360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45360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45360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45360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45360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45360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45360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45360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45360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45360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45360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45360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45360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45360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45360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45360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45360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45360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45360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45360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45360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45360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45360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45360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45360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45360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45360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45360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45360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45360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45360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45360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45360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45360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45360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45360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45360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45360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45360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45360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45360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45360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45360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45360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45360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45360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45360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45360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45360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45360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45360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45360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45360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45360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45360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45360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45360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45360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45360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45360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45360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45360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45360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45360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45360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45360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45360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45360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45360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45360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45360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45360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45360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45360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45360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45360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45360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45360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45360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45360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45360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45360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45360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45360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45360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45360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45360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45360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45360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45360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45360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45360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45360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45360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45360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45360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45360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45360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45360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45360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45360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45360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45360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45360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45360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45360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45360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45360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45360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45360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45360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45360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45360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45360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45360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45360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45360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45360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45360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45360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45360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45360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45360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45360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45360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45360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45360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45360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45360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45360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45360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45360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45360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45360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45360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45360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45360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45360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45360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45360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45360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45360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45360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45360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45360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45360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45360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45360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45360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45360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45360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45360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45360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45360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45360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45360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45360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45360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45360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45360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45360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45360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45360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45360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45360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45360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45360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45360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45360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45360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45360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45360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45360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45360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45360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45360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45360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45360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45360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45360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45360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45360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45360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45360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45360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45360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45360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45360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45360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45360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45360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45360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45360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45360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45360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45360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45360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45360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45360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45360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45360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45360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45360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45360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45360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45360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45360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45360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45360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45360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45360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45360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45360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45360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45360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45360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45360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45360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45360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45360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45360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45360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45360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45360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45360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45360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45360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45360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45360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45360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45360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45360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45360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45360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45360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45360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45360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45360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45360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45360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45360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45360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45360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45360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45360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45360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45360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45360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45360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45360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45360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45360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45360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45360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45360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45360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45360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45360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45360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45360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45360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45360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45360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45360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45360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45360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45360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45360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45360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45360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45360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45360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45360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45360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45360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45360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45360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45360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45360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45360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45360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45360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45360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45360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45360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45360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45360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45360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45360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45360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45360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45360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45360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45360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45360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45360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45360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45360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45360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45360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45360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45360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45360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45360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45360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45360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45360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45360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45360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45360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45360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45360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45360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45360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45360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45360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45360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45360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45360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45360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45360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45360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45360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45360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45360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45360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45360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45360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45360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45360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45360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45360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45360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45360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45360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45360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45360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45360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45360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45360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45360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45360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45360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45360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45360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45360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45360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45360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45360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45360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45360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45360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45360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45360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45360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45360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45360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45360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45360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45360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45360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45360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45360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45360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45360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45360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45360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45360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45360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45360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45360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45360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45360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45360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45360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45360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45360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45360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45360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45360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45360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45360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45360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45360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45360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45360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45360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45360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45360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45360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45360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45360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45360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45360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45360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45360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45360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45360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45360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45360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45360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45360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45360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45360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45360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45360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45360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45360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45360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45360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45360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45360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45360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45360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45360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45360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45360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45360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45360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45360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45360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45360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45360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45360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45360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45360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45360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45360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45360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45360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45360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45360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45360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45360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45360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45360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45360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45360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45360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45360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45360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45360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45360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45360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45360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45360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45360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45360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45360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45360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45360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45360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45360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45360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45360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45360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45360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45360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45360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45360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45360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45360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45360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45360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45360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45360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45360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45360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45360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45360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45360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45360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45360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45360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45360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45360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45360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45360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45360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45360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45360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45360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45360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45360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45360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45360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45360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45360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45360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45360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45360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45360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45360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45360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45360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45360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45360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45360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45360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45360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45360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45360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45360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45360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45360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45360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45360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45360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45360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45360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45360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45360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45360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45360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45360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45360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45360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45360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45360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45360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45360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45360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45360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45360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45360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45360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45360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45360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45360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45360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45360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45360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45360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45360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45360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45360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45360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45360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45360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45360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45360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45360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45360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45360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45360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45360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45360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45360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45360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45360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45360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45360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45360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45360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45360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45360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45360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45360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45360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45360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45360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45360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45360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45360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45360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45360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45360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45360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45360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45360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45360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45360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45360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45360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45360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45360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45360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45360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45360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45360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45360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45360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45360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45360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45360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45360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45360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45360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45360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45360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45360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45360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45360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45360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45360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45360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45360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45360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45360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45360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45360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45360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45360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45360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45360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45360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45360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45360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45360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45360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45360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45360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45360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45360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45360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45360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45360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45360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45360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45360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45360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45360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45360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45360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45360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45360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45360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45360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45360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45360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45360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45360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45360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45360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45360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45360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45360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45360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45360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45360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45360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45360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45360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45360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45360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45360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45360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45360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45360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45360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45360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45360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45360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45360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45360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45360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45360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45360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45360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45360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45360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45360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45360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45360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45360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45360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45360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45360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45360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45360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45360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45360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45360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45360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45360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45360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45360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45360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45360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45360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45360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45360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45360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45360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45360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45360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45360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45360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45360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45360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45360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45360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45360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45360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45360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45360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45360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45360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45360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45360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45360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45360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45360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45360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45360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45360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45360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45360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45360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45360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45360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45360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45360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45360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45360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45360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45360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45360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45360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45360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45360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45360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45360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45360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45360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45360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45360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45360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45360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45360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45360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45360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45360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45360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45360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45360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45360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45360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45360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45360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45360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45360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45360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45360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45360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45360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45360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45360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45360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45360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45360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45360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45360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45360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45360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45360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45360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45360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45360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45360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45360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45360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45360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45360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45360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45360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45360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45360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45360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45360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45360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45360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45360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45360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45360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45360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45360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45360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45360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45360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45360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45360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45360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45360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45360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45360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45360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45360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45360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45360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45360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45360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45360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45360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45360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45360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45360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45360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45360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45360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45360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45360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45360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45360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45360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45360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45360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45360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45360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45360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45360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45360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45360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45360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45360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45360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45360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45360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45360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45360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45360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45360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45360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45360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45360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45360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45360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45360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45360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45360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45360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45360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45360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45360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45360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45360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45360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45360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45360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45360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45360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45360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45360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45360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45360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45360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45360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45360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45360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45360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45360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45360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45360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45360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45360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45360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45360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45360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45360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45360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45360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45360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45360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45360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45360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45360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45360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45360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45360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45360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45360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45360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45360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45360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45360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45360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45360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45360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45360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45360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45360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45360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45360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45360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45360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45360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45360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45360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45360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45360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45360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45360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45360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45360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45360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45360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45360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45360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45360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45360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45360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45360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45360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45360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45360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45360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45360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45360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45360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45360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45360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45360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45360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45360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45360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45360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45360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45360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45360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45360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45360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45360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45360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45360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45360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45360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45360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45360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45360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45360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45360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45360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45360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45360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45360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45360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45360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45360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45360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45360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45360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45360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45360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45360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45360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45360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45360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45360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45360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45360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45360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45360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45360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45360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45360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45360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45360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45360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45360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45360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45360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45360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45360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45360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45360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45360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45360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45360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45360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45360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45360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45360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45360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45360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45360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45360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45360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45360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45360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45360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45360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45360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45360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45360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45360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45360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45360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45360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45360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45360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45360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45360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45360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45360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45360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45360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45360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45360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45360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45360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45360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45360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45360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45360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45360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45360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45360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45360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45360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45360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45360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45360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45360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45360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45360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45360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45360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45360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45360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45360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45360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45360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45360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45360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45360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45360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45360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45360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45360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45360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45360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45360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45360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45360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45360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45360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45360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45360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45360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45360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45360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45360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45360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45360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45360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45360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45360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45360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45360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45360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45360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45360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45360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45360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45360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45360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45360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45360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45360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45360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45360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45360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45360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45360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45360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45360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45360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45360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45360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45360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45360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45360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45360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45360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45360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45360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45360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45360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45360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45360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45360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45360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45360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45360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45360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45360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45360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45360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45360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45360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45360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45360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45360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45360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45360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45360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45360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45360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45360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45360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45360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45360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45360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45360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45360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5176-2024</t>
        </is>
      </c>
      <c r="B1592" s="1" t="n">
        <v>45330</v>
      </c>
      <c r="C1592" s="1" t="n">
        <v>45360</v>
      </c>
      <c r="D1592" t="inlineStr">
        <is>
          <t>KALMAR LÄN</t>
        </is>
      </c>
      <c r="E1592" t="inlineStr">
        <is>
          <t>NYBRO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45360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5408-2024</t>
        </is>
      </c>
      <c r="B1594" s="1" t="n">
        <v>45331</v>
      </c>
      <c r="C1594" s="1" t="n">
        <v>45360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45360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5510-2024</t>
        </is>
      </c>
      <c r="B1596" s="1" t="n">
        <v>45334</v>
      </c>
      <c r="C1596" s="1" t="n">
        <v>45360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5752-2024</t>
        </is>
      </c>
      <c r="B1597" s="1" t="n">
        <v>45335</v>
      </c>
      <c r="C1597" s="1" t="n">
        <v>45360</v>
      </c>
      <c r="D1597" t="inlineStr">
        <is>
          <t>KALMAR LÄN</t>
        </is>
      </c>
      <c r="E1597" t="inlineStr">
        <is>
          <t>NYBRO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5766-2024</t>
        </is>
      </c>
      <c r="B1598" s="1" t="n">
        <v>45335</v>
      </c>
      <c r="C1598" s="1" t="n">
        <v>45360</v>
      </c>
      <c r="D1598" t="inlineStr">
        <is>
          <t>KALMAR LÄN</t>
        </is>
      </c>
      <c r="E1598" t="inlineStr">
        <is>
          <t>NYBRO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5803-2024</t>
        </is>
      </c>
      <c r="B1599" s="1" t="n">
        <v>45335</v>
      </c>
      <c r="C1599" s="1" t="n">
        <v>45360</v>
      </c>
      <c r="D1599" t="inlineStr">
        <is>
          <t>KALMAR LÄN</t>
        </is>
      </c>
      <c r="E1599" t="inlineStr">
        <is>
          <t>NYBRO</t>
        </is>
      </c>
      <c r="F1599" t="inlineStr">
        <is>
          <t>Sveaskog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45360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45360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6177-2024</t>
        </is>
      </c>
      <c r="B1602" s="1" t="n">
        <v>45337</v>
      </c>
      <c r="C1602" s="1" t="n">
        <v>45360</v>
      </c>
      <c r="D1602" t="inlineStr">
        <is>
          <t>KALMAR LÄN</t>
        </is>
      </c>
      <c r="E1602" t="inlineStr">
        <is>
          <t>NYBRO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6182-2024</t>
        </is>
      </c>
      <c r="B1603" s="1" t="n">
        <v>45337</v>
      </c>
      <c r="C1603" s="1" t="n">
        <v>45360</v>
      </c>
      <c r="D1603" t="inlineStr">
        <is>
          <t>KALMAR LÄN</t>
        </is>
      </c>
      <c r="E1603" t="inlineStr">
        <is>
          <t>NYBRO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6306-2024</t>
        </is>
      </c>
      <c r="B1604" s="1" t="n">
        <v>45338</v>
      </c>
      <c r="C1604" s="1" t="n">
        <v>45360</v>
      </c>
      <c r="D1604" t="inlineStr">
        <is>
          <t>KALMAR LÄN</t>
        </is>
      </c>
      <c r="E1604" t="inlineStr">
        <is>
          <t>NYBRO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6336-2024</t>
        </is>
      </c>
      <c r="B1605" s="1" t="n">
        <v>45338</v>
      </c>
      <c r="C1605" s="1" t="n">
        <v>45360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45360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6544-2024</t>
        </is>
      </c>
      <c r="B1607" s="1" t="n">
        <v>45341</v>
      </c>
      <c r="C1607" s="1" t="n">
        <v>45360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45360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6810-2024</t>
        </is>
      </c>
      <c r="B1609" s="1" t="n">
        <v>45342</v>
      </c>
      <c r="C1609" s="1" t="n">
        <v>45360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6811-2024</t>
        </is>
      </c>
      <c r="B1610" s="1" t="n">
        <v>45342</v>
      </c>
      <c r="C1610" s="1" t="n">
        <v>45360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6895-2024</t>
        </is>
      </c>
      <c r="B1611" s="1" t="n">
        <v>45342</v>
      </c>
      <c r="C1611" s="1" t="n">
        <v>45360</v>
      </c>
      <c r="D1611" t="inlineStr">
        <is>
          <t>KALMAR LÄN</t>
        </is>
      </c>
      <c r="E1611" t="inlineStr">
        <is>
          <t>NYBRO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6896-2024</t>
        </is>
      </c>
      <c r="B1612" s="1" t="n">
        <v>45342</v>
      </c>
      <c r="C1612" s="1" t="n">
        <v>45360</v>
      </c>
      <c r="D1612" t="inlineStr">
        <is>
          <t>KALMAR LÄN</t>
        </is>
      </c>
      <c r="E1612" t="inlineStr">
        <is>
          <t>NYBRO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45360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45360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45360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8688-2024</t>
        </is>
      </c>
      <c r="B1616" s="1" t="n">
        <v>45356</v>
      </c>
      <c r="C1616" s="1" t="n">
        <v>45360</v>
      </c>
      <c r="D1616" t="inlineStr">
        <is>
          <t>KALMAR LÄN</t>
        </is>
      </c>
      <c r="E1616" t="inlineStr">
        <is>
          <t>NYBRO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8692-2024</t>
        </is>
      </c>
      <c r="B1617" s="1" t="n">
        <v>45356</v>
      </c>
      <c r="C1617" s="1" t="n">
        <v>45360</v>
      </c>
      <c r="D1617" t="inlineStr">
        <is>
          <t>KALMAR LÄN</t>
        </is>
      </c>
      <c r="E1617" t="inlineStr">
        <is>
          <t>NYBRO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8697-2024</t>
        </is>
      </c>
      <c r="B1618" s="1" t="n">
        <v>45356</v>
      </c>
      <c r="C1618" s="1" t="n">
        <v>45360</v>
      </c>
      <c r="D1618" t="inlineStr">
        <is>
          <t>KALMAR LÄN</t>
        </is>
      </c>
      <c r="E1618" t="inlineStr">
        <is>
          <t>NYBRO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8686-2024</t>
        </is>
      </c>
      <c r="B1619" s="1" t="n">
        <v>45356</v>
      </c>
      <c r="C1619" s="1" t="n">
        <v>45360</v>
      </c>
      <c r="D1619" t="inlineStr">
        <is>
          <t>KALMAR LÄN</t>
        </is>
      </c>
      <c r="E1619" t="inlineStr">
        <is>
          <t>NYBRO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8696-2024</t>
        </is>
      </c>
      <c r="B1620" s="1" t="n">
        <v>45356</v>
      </c>
      <c r="C1620" s="1" t="n">
        <v>45360</v>
      </c>
      <c r="D1620" t="inlineStr">
        <is>
          <t>KALMAR LÄN</t>
        </is>
      </c>
      <c r="E1620" t="inlineStr">
        <is>
          <t>NYBRO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45360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9219-2024</t>
        </is>
      </c>
      <c r="B1622" s="1" t="n">
        <v>45358</v>
      </c>
      <c r="C1622" s="1" t="n">
        <v>45360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9519-2024</t>
        </is>
      </c>
      <c r="B1623" s="1" t="n">
        <v>45359</v>
      </c>
      <c r="C1623" s="1" t="n">
        <v>45360</v>
      </c>
      <c r="D1623" t="inlineStr">
        <is>
          <t>KALMAR LÄN</t>
        </is>
      </c>
      <c r="E1623" t="inlineStr">
        <is>
          <t>NYBRO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9520-2024</t>
        </is>
      </c>
      <c r="B1624" s="1" t="n">
        <v>45359</v>
      </c>
      <c r="C1624" s="1" t="n">
        <v>45360</v>
      </c>
      <c r="D1624" t="inlineStr">
        <is>
          <t>KALMAR LÄN</t>
        </is>
      </c>
      <c r="E1624" t="inlineStr">
        <is>
          <t>NYBRO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9523-2024</t>
        </is>
      </c>
      <c r="B1625" s="1" t="n">
        <v>45359</v>
      </c>
      <c r="C1625" s="1" t="n">
        <v>45360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9436-2024</t>
        </is>
      </c>
      <c r="B1626" s="1" t="n">
        <v>45359</v>
      </c>
      <c r="C1626" s="1" t="n">
        <v>45360</v>
      </c>
      <c r="D1626" t="inlineStr">
        <is>
          <t>KALMAR LÄN</t>
        </is>
      </c>
      <c r="E1626" t="inlineStr">
        <is>
          <t>NYBRO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2024-03-09T13:59:03Z</dcterms:created>
  <dcterms:modified xmlns:dcterms="http://purl.org/dc/terms/" xmlns:xsi="http://www.w3.org/2001/XMLSchema-instance" xsi:type="dcterms:W3CDTF">2024-03-09T13:59:04Z</dcterms:modified>
</cp:coreProperties>
</file>