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46268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46268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46268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46268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46268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46268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46268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46268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46268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46268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46268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46268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46268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46268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46268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46268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46268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46268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46268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46268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46268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46268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46268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46268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46268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46268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46268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46268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46268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46268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46268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46268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46268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46268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46268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46268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46268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46268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46268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46268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46268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46268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46268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46268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46268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46268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46268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46268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46268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46268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46268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46268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46268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46268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46268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46268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46268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46268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46268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46268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46268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46268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46268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46268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46268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46268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46268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7038-2026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46268</v>
      </c>
      <c r="F87" t="inlineStr">
        <is>
          <t>KALMAR LÄN</t>
        </is>
      </c>
      <c r="G87" t="inlineStr">
        <is>
          <t>NYBRO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flatbagge</t>
        </is>
      </c>
      <c r="W87">
        <f>HYPERLINK("https://klasma.github.io/Logging_0881/artfynd/A 7038-2026 artfynd.xlsx", "A 7038-2026")</f>
        <v/>
      </c>
      <c r="X87">
        <f>HYPERLINK("https://klasma.github.io/Logging_0881/kartor/A 7038-2026 karta.png", "A 7038-2026")</f>
        <v/>
      </c>
      <c r="Y87">
        <f>HYPERLINK("https://klasma.github.io/Logging_0881/kartor_geotiff/A 7038-2026 georefererad karta.tif", "A 7038-2026")</f>
        <v/>
      </c>
      <c r="AA87">
        <f>HYPERLINK("https://klasma.github.io/Logging_0881/klagomål/A 7038-2026 FSC-klagomål.docx", "A 7038-2026")</f>
        <v/>
      </c>
      <c r="AB87">
        <f>HYPERLINK("https://klasma.github.io/Logging_0881/klagomålsmail/A 7038-2026 FSC-klagomål mail.docx", "A 7038-2026")</f>
        <v/>
      </c>
      <c r="AC87">
        <f>HYPERLINK("https://klasma.github.io/Logging_0881/tillsyn/A 7038-2026 tillsynsbegäran.docx", "A 7038-2026")</f>
        <v/>
      </c>
      <c r="AD87">
        <f>HYPERLINK("https://klasma.github.io/Logging_0881/tillsynsmail/A 7038-2026 tillsynsbegäran mail.docx", "A 7038-2026")</f>
        <v/>
      </c>
    </row>
    <row r="88" ht="15" customHeight="1">
      <c r="A88" t="inlineStr">
        <is>
          <t>A 27346-2023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46268</v>
      </c>
      <c r="F88" t="inlineStr">
        <is>
          <t>KALMAR LÄN</t>
        </is>
      </c>
      <c r="G88" t="inlineStr">
        <is>
          <t>NYBRO</t>
        </is>
      </c>
      <c r="I88" t="n">
        <v>1.2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HYPERLINK("https://klasma.github.io/Logging_0881/artfynd/A 27346-2023 artfynd.xlsx", "A 27346-2023")</f>
        <v/>
      </c>
      <c r="X88">
        <f>HYPERLINK("https://klasma.github.io/Logging_0881/kartor/A 27346-2023 karta.png", "A 27346-2023")</f>
        <v/>
      </c>
      <c r="Y88">
        <f>HYPERLINK("https://klasma.github.io/Logging_0881/kartor_geotiff/A 27346-2023 georefererad karta.tif", "A 27346-2023")</f>
        <v/>
      </c>
      <c r="AA88">
        <f>HYPERLINK("https://klasma.github.io/Logging_0881/klagomål/A 27346-2023 FSC-klagomål.docx", "A 27346-2023")</f>
        <v/>
      </c>
      <c r="AB88">
        <f>HYPERLINK("https://klasma.github.io/Logging_0881/klagomålsmail/A 27346-2023 FSC-klagomål mail.docx", "A 27346-2023")</f>
        <v/>
      </c>
      <c r="AC88">
        <f>HYPERLINK("https://klasma.github.io/Logging_0881/tillsyn/A 27346-2023 tillsynsbegäran.docx", "A 27346-2023")</f>
        <v/>
      </c>
      <c r="AD88">
        <f>HYPERLINK("https://klasma.github.io/Logging_0881/tillsynsmail/A 27346-2023 tillsynsbegäran mail.docx", "A 27346-2023")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46268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Slåtterfibbla</t>
        </is>
      </c>
      <c r="W89">
        <f>HYPERLINK("https://klasma.github.io/Logging_0881/artfynd/A 13412-2026 artfynd.xlsx", "A 13412-2026")</f>
        <v/>
      </c>
      <c r="X89">
        <f>HYPERLINK("https://klasma.github.io/Logging_0881/kartor/A 13412-2026 karta.png", "A 13412-2026")</f>
        <v/>
      </c>
      <c r="Y89">
        <f>HYPERLINK("https://klasma.github.io/Logging_0881/kartor_geotiff/A 13412-2026 georefererad karta.tif", "A 13412-2026")</f>
        <v/>
      </c>
      <c r="AA89">
        <f>HYPERLINK("https://klasma.github.io/Logging_0881/klagomål/A 13412-2026 FSC-klagomål.docx", "A 13412-2026")</f>
        <v/>
      </c>
      <c r="AB89">
        <f>HYPERLINK("https://klasma.github.io/Logging_0881/klagomålsmail/A 13412-2026 FSC-klagomål mail.docx", "A 13412-2026")</f>
        <v/>
      </c>
      <c r="AC89">
        <f>HYPERLINK("https://klasma.github.io/Logging_0881/tillsyn/A 13412-2026 tillsynsbegäran.docx", "A 13412-2026")</f>
        <v/>
      </c>
      <c r="AD89">
        <f>HYPERLINK("https://klasma.github.io/Logging_0881/tillsynsmail/A 13412-2026 tillsynsbegäran mail.docx", "A 13412-2026")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46268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46268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16715-2025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46268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brunfladdermus</t>
        </is>
      </c>
      <c r="W92">
        <f>HYPERLINK("https://klasma.github.io/Logging_0881/artfynd/A 16715-2025 artfynd.xlsx", "A 16715-2025")</f>
        <v/>
      </c>
      <c r="X92">
        <f>HYPERLINK("https://klasma.github.io/Logging_0881/kartor/A 16715-2025 karta.png", "A 16715-2025")</f>
        <v/>
      </c>
      <c r="Y92">
        <f>HYPERLINK("https://klasma.github.io/Logging_0881/kartor_geotiff/A 16715-2025 georefererad karta.tif", "A 16715-2025")</f>
        <v/>
      </c>
      <c r="AA92">
        <f>HYPERLINK("https://klasma.github.io/Logging_0881/klagomål/A 16715-2025 FSC-klagomål.docx", "A 16715-2025")</f>
        <v/>
      </c>
      <c r="AB92">
        <f>HYPERLINK("https://klasma.github.io/Logging_0881/klagomålsmail/A 16715-2025 FSC-klagomål mail.docx", "A 16715-2025")</f>
        <v/>
      </c>
      <c r="AC92">
        <f>HYPERLINK("https://klasma.github.io/Logging_0881/tillsyn/A 16715-2025 tillsynsbegäran.docx", "A 16715-2025")</f>
        <v/>
      </c>
      <c r="AD92">
        <f>HYPERLINK("https://klasma.github.io/Logging_0881/tillsynsmail/A 16715-2025 tillsynsbegäran mail.docx", "A 16715-2025")</f>
        <v/>
      </c>
    </row>
    <row r="93" ht="15" customHeight="1">
      <c r="A93" t="inlineStr">
        <is>
          <t>A 61809-2024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45649</v>
      </c>
      <c r="E93" s="1" t="n">
        <v>46268</v>
      </c>
      <c r="F93" t="inlineStr">
        <is>
          <t>KALMAR LÄN</t>
        </is>
      </c>
      <c r="G93" t="inlineStr">
        <is>
          <t>NYBRO</t>
        </is>
      </c>
      <c r="I93" t="n">
        <v>15.8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61809-2024 artfynd.xlsx", "A 61809-2024")</f>
        <v/>
      </c>
      <c r="X93">
        <f>HYPERLINK("https://klasma.github.io/Logging_0881/kartor/A 61809-2024 karta.png", "A 61809-2024")</f>
        <v/>
      </c>
      <c r="Y93">
        <f>HYPERLINK("https://klasma.github.io/Logging_0881/kartor_geotiff/A 61809-2024 georefererad karta.tif", "A 61809-2024")</f>
        <v/>
      </c>
      <c r="AA93">
        <f>HYPERLINK("https://klasma.github.io/Logging_0881/klagomål/A 61809-2024 FSC-klagomål.docx", "A 61809-2024")</f>
        <v/>
      </c>
      <c r="AB93">
        <f>HYPERLINK("https://klasma.github.io/Logging_0881/klagomålsmail/A 61809-2024 FSC-klagomål mail.docx", "A 61809-2024")</f>
        <v/>
      </c>
      <c r="AC93">
        <f>HYPERLINK("https://klasma.github.io/Logging_0881/tillsyn/A 61809-2024 tillsynsbegäran.docx", "A 61809-2024")</f>
        <v/>
      </c>
      <c r="AD93">
        <f>HYPERLINK("https://klasma.github.io/Logging_0881/tillsynsmail/A 61809-2024 tillsynsbegäran mail.docx", "A 61809-2024")</f>
        <v/>
      </c>
      <c r="AE93">
        <f>HYPERLINK("https://klasma.github.io/Logging_0881/fåglar/A 61809-2024 prioriterade fågelarter.docx", "A 61809-2024")</f>
        <v/>
      </c>
    </row>
    <row r="94" ht="15" customHeight="1">
      <c r="A94" t="inlineStr">
        <is>
          <t>A 17741-2025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45758</v>
      </c>
      <c r="E94" s="1" t="n">
        <v>46268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Tårkragskivling</t>
        </is>
      </c>
      <c r="W94">
        <f>HYPERLINK("https://klasma.github.io/Logging_0881/artfynd/A 17741-2025 artfynd.xlsx", "A 17741-2025")</f>
        <v/>
      </c>
      <c r="X94">
        <f>HYPERLINK("https://klasma.github.io/Logging_0881/kartor/A 17741-2025 karta.png", "A 17741-2025")</f>
        <v/>
      </c>
      <c r="Y94">
        <f>HYPERLINK("https://klasma.github.io/Logging_0881/kartor_geotiff/A 17741-2025 georefererad karta.tif", "A 17741-2025")</f>
        <v/>
      </c>
      <c r="AA94">
        <f>HYPERLINK("https://klasma.github.io/Logging_0881/klagomål/A 17741-2025 FSC-klagomål.docx", "A 17741-2025")</f>
        <v/>
      </c>
      <c r="AB94">
        <f>HYPERLINK("https://klasma.github.io/Logging_0881/klagomålsmail/A 17741-2025 FSC-klagomål mail.docx", "A 17741-2025")</f>
        <v/>
      </c>
      <c r="AC94">
        <f>HYPERLINK("https://klasma.github.io/Logging_0881/tillsyn/A 17741-2025 tillsynsbegäran.docx", "A 17741-2025")</f>
        <v/>
      </c>
      <c r="AD94">
        <f>HYPERLINK("https://klasma.github.io/Logging_0881/tillsynsmail/A 17741-2025 tillsynsbegäran mail.docx", "A 17741-2025")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46268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Mosippa</t>
        </is>
      </c>
      <c r="W95">
        <f>HYPERLINK("https://klasma.github.io/Logging_0881/artfynd/A 16161-2026 artfynd.xlsx", "A 16161-2026")</f>
        <v/>
      </c>
      <c r="X95">
        <f>HYPERLINK("https://klasma.github.io/Logging_0881/kartor/A 16161-2026 karta.png", "A 16161-2026")</f>
        <v/>
      </c>
      <c r="Y95">
        <f>HYPERLINK("https://klasma.github.io/Logging_0881/kartor_geotiff/A 16161-2026 georefererad karta.tif", "A 16161-2026")</f>
        <v/>
      </c>
      <c r="AA95">
        <f>HYPERLINK("https://klasma.github.io/Logging_0881/klagomål/A 16161-2026 FSC-klagomål.docx", "A 16161-2026")</f>
        <v/>
      </c>
      <c r="AB95">
        <f>HYPERLINK("https://klasma.github.io/Logging_0881/klagomålsmail/A 16161-2026 FSC-klagomål mail.docx", "A 16161-2026")</f>
        <v/>
      </c>
      <c r="AC95">
        <f>HYPERLINK("https://klasma.github.io/Logging_0881/tillsyn/A 16161-2026 tillsynsbegäran.docx", "A 16161-2026")</f>
        <v/>
      </c>
      <c r="AD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46268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46268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46268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46268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20647-2026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46268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Ljungögontröst</t>
        </is>
      </c>
      <c r="W100">
        <f>HYPERLINK("https://klasma.github.io/Logging_0881/artfynd/A 20647-2026 artfynd.xlsx", "A 20647-2026")</f>
        <v/>
      </c>
      <c r="X100">
        <f>HYPERLINK("https://klasma.github.io/Logging_0881/kartor/A 20647-2026 karta.png", "A 20647-2026")</f>
        <v/>
      </c>
      <c r="Y100">
        <f>HYPERLINK("https://klasma.github.io/Logging_0881/kartor_geotiff/A 20647-2026 georefererad karta.tif", "A 20647-2026")</f>
        <v/>
      </c>
      <c r="AA100">
        <f>HYPERLINK("https://klasma.github.io/Logging_0881/klagomål/A 20647-2026 FSC-klagomål.docx", "A 20647-2026")</f>
        <v/>
      </c>
      <c r="AB100">
        <f>HYPERLINK("https://klasma.github.io/Logging_0881/klagomålsmail/A 20647-2026 FSC-klagomål mail.docx", "A 20647-2026")</f>
        <v/>
      </c>
      <c r="AC100">
        <f>HYPERLINK("https://klasma.github.io/Logging_0881/tillsyn/A 20647-2026 tillsynsbegäran.docx", "A 20647-2026")</f>
        <v/>
      </c>
      <c r="AD100">
        <f>HYPERLINK("https://klasma.github.io/Logging_0881/tillsynsmail/A 20647-2026 tillsynsbegäran mail.docx", "A 20647-2026")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46268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22097-2026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46268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Talltita</t>
        </is>
      </c>
      <c r="W102">
        <f>HYPERLINK("https://klasma.github.io/Logging_0881/artfynd/A 22097-2026 artfynd.xlsx", "A 22097-2026")</f>
        <v/>
      </c>
      <c r="X102">
        <f>HYPERLINK("https://klasma.github.io/Logging_0881/kartor/A 22097-2026 karta.png", "A 22097-2026")</f>
        <v/>
      </c>
      <c r="Y102">
        <f>HYPERLINK("https://klasma.github.io/Logging_0881/kartor_geotiff/A 22097-2026 georefererad karta.tif", "A 22097-2026")</f>
        <v/>
      </c>
      <c r="AA102">
        <f>HYPERLINK("https://klasma.github.io/Logging_0881/klagomål/A 22097-2026 FSC-klagomål.docx", "A 22097-2026")</f>
        <v/>
      </c>
      <c r="AB102">
        <f>HYPERLINK("https://klasma.github.io/Logging_0881/klagomålsmail/A 22097-2026 FSC-klagomål mail.docx", "A 22097-2026")</f>
        <v/>
      </c>
      <c r="AC102">
        <f>HYPERLINK("https://klasma.github.io/Logging_0881/tillsyn/A 22097-2026 tillsynsbegäran.docx", "A 22097-2026")</f>
        <v/>
      </c>
      <c r="AD102">
        <f>HYPERLINK("https://klasma.github.io/Logging_0881/tillsynsmail/A 22097-2026 tillsynsbegäran mail.docx", "A 22097-2026")</f>
        <v/>
      </c>
      <c r="AE102">
        <f>HYPERLINK("https://klasma.github.io/Logging_0881/fåglar/A 22097-2026 prioriterade fågelarter.docx", "A 22097-2026")</f>
        <v/>
      </c>
    </row>
    <row r="103" ht="15" customHeight="1">
      <c r="A103" t="inlineStr">
        <is>
          <t>A 22089-2026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46268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Talltita</t>
        </is>
      </c>
      <c r="W103">
        <f>HYPERLINK("https://klasma.github.io/Logging_0881/artfynd/A 22089-2026 artfynd.xlsx", "A 22089-2026")</f>
        <v/>
      </c>
      <c r="X103">
        <f>HYPERLINK("https://klasma.github.io/Logging_0881/kartor/A 22089-2026 karta.png", "A 22089-2026")</f>
        <v/>
      </c>
      <c r="Y103">
        <f>HYPERLINK("https://klasma.github.io/Logging_0881/kartor_geotiff/A 22089-2026 georefererad karta.tif", "A 22089-2026")</f>
        <v/>
      </c>
      <c r="AA103">
        <f>HYPERLINK("https://klasma.github.io/Logging_0881/klagomål/A 22089-2026 FSC-klagomål.docx", "A 22089-2026")</f>
        <v/>
      </c>
      <c r="AB103">
        <f>HYPERLINK("https://klasma.github.io/Logging_0881/klagomålsmail/A 22089-2026 FSC-klagomål mail.docx", "A 22089-2026")</f>
        <v/>
      </c>
      <c r="AC103">
        <f>HYPERLINK("https://klasma.github.io/Logging_0881/tillsyn/A 22089-2026 tillsynsbegäran.docx", "A 22089-2026")</f>
        <v/>
      </c>
      <c r="AD103">
        <f>HYPERLINK("https://klasma.github.io/Logging_0881/tillsynsmail/A 22089-2026 tillsynsbegäran mail.docx", "A 22089-2026")</f>
        <v/>
      </c>
      <c r="AE103">
        <f>HYPERLINK("https://klasma.github.io/Logging_0881/fåglar/A 22089-2026 prioriterade fågelarter.docx", "A 22089-2026")</f>
        <v/>
      </c>
    </row>
    <row r="104" ht="15" customHeight="1">
      <c r="A104" t="inlineStr">
        <is>
          <t>A 22127-2026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46268</v>
      </c>
      <c r="F104" t="inlineStr">
        <is>
          <t>KALMAR LÄN</t>
        </is>
      </c>
      <c r="G104" t="inlineStr">
        <is>
          <t>NYBRO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HYPERLINK("https://klasma.github.io/Logging_0881/artfynd/A 22127-2026 artfynd.xlsx", "A 22127-2026")</f>
        <v/>
      </c>
      <c r="X104">
        <f>HYPERLINK("https://klasma.github.io/Logging_0881/kartor/A 22127-2026 karta.png", "A 22127-2026")</f>
        <v/>
      </c>
      <c r="Y104">
        <f>HYPERLINK("https://klasma.github.io/Logging_0881/kartor_geotiff/A 22127-2026 georefererad karta.tif", "A 22127-2026")</f>
        <v/>
      </c>
      <c r="AA104">
        <f>HYPERLINK("https://klasma.github.io/Logging_0881/klagomål/A 22127-2026 FSC-klagomål.docx", "A 22127-2026")</f>
        <v/>
      </c>
      <c r="AB104">
        <f>HYPERLINK("https://klasma.github.io/Logging_0881/klagomålsmail/A 22127-2026 FSC-klagomål mail.docx", "A 22127-2026")</f>
        <v/>
      </c>
      <c r="AC104">
        <f>HYPERLINK("https://klasma.github.io/Logging_0881/tillsyn/A 22127-2026 tillsynsbegäran.docx", "A 22127-2026")</f>
        <v/>
      </c>
      <c r="AD104">
        <f>HYPERLINK("https://klasma.github.io/Logging_0881/tillsynsmail/A 22127-2026 tillsynsbegäran mail.docx", "A 22127-2026")</f>
        <v/>
      </c>
      <c r="AE104">
        <f>HYPERLINK("https://klasma.github.io/Logging_0881/fåglar/A 22127-2026 prioriterade fågelarter.docx", "A 22127-2026")</f>
        <v/>
      </c>
    </row>
    <row r="105" ht="15" customHeight="1">
      <c r="A105" t="inlineStr">
        <is>
          <t>A 22086-2026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46268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Talltita</t>
        </is>
      </c>
      <c r="W105">
        <f>HYPERLINK("https://klasma.github.io/Logging_0881/artfynd/A 22086-2026 artfynd.xlsx", "A 22086-2026")</f>
        <v/>
      </c>
      <c r="X105">
        <f>HYPERLINK("https://klasma.github.io/Logging_0881/kartor/A 22086-2026 karta.png", "A 22086-2026")</f>
        <v/>
      </c>
      <c r="Y105">
        <f>HYPERLINK("https://klasma.github.io/Logging_0881/kartor_geotiff/A 22086-2026 georefererad karta.tif", "A 22086-2026")</f>
        <v/>
      </c>
      <c r="AA105">
        <f>HYPERLINK("https://klasma.github.io/Logging_0881/klagomål/A 22086-2026 FSC-klagomål.docx", "A 22086-2026")</f>
        <v/>
      </c>
      <c r="AB105">
        <f>HYPERLINK("https://klasma.github.io/Logging_0881/klagomålsmail/A 22086-2026 FSC-klagomål mail.docx", "A 22086-2026")</f>
        <v/>
      </c>
      <c r="AC105">
        <f>HYPERLINK("https://klasma.github.io/Logging_0881/tillsyn/A 22086-2026 tillsynsbegäran.docx", "A 22086-2026")</f>
        <v/>
      </c>
      <c r="AD105">
        <f>HYPERLINK("https://klasma.github.io/Logging_0881/tillsynsmail/A 22086-2026 tillsynsbegäran mail.docx", "A 22086-2026")</f>
        <v/>
      </c>
      <c r="AE105">
        <f>HYPERLINK("https://klasma.github.io/Logging_0881/fåglar/A 22086-2026 prioriterade fågelarter.docx", "A 22086-2026")</f>
        <v/>
      </c>
    </row>
    <row r="106" ht="15" customHeight="1">
      <c r="A106" t="inlineStr">
        <is>
          <t>A 54314-2022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46268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6</v>
      </c>
      <c r="U106" t="n">
        <v>0</v>
      </c>
      <c r="V106" s="2" t="inlineStr">
        <is>
          <t>Ask</t>
        </is>
      </c>
      <c r="W106">
        <f>HYPERLINK("https://klasma.github.io/Logging_0881/artfynd/A 54314-2022 artfynd.xlsx", "A 54314-2022")</f>
        <v/>
      </c>
      <c r="X106">
        <f>HYPERLINK("https://klasma.github.io/Logging_0881/kartor/A 54314-2022 karta.png", "A 54314-2022")</f>
        <v/>
      </c>
      <c r="Y106">
        <f>HYPERLINK("https://klasma.github.io/Logging_0881/kartor_geotiff/A 54314-2022 georefererad karta.tif", "A 54314-2022")</f>
        <v/>
      </c>
      <c r="AA106">
        <f>HYPERLINK("https://klasma.github.io/Logging_0881/klagomål/A 54314-2022 FSC-klagomål.docx", "A 54314-2022")</f>
        <v/>
      </c>
      <c r="AB106">
        <f>HYPERLINK("https://klasma.github.io/Logging_0881/klagomålsmail/A 54314-2022 FSC-klagomål mail.docx", "A 54314-2022")</f>
        <v/>
      </c>
      <c r="AC106">
        <f>HYPERLINK("https://klasma.github.io/Logging_0881/tillsyn/A 54314-2022 tillsynsbegäran.docx", "A 54314-2022")</f>
        <v/>
      </c>
      <c r="AD106">
        <f>HYPERLINK("https://klasma.github.io/Logging_0881/tillsynsmail/A 54314-2022 tillsynsbegäran mail.docx", "A 54314-2022")</f>
        <v/>
      </c>
    </row>
    <row r="107" ht="15" customHeight="1">
      <c r="A107" t="inlineStr">
        <is>
          <t>A 61140-2022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46268</v>
      </c>
      <c r="F107" t="inlineStr">
        <is>
          <t>KALMAR LÄN</t>
        </is>
      </c>
      <c r="G107" t="inlineStr">
        <is>
          <t>NYBRO</t>
        </is>
      </c>
      <c r="I107" t="n">
        <v>0.4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61140-2022 artfynd.xlsx", "A 61140-2022")</f>
        <v/>
      </c>
      <c r="X107">
        <f>HYPERLINK("https://klasma.github.io/Logging_0881/kartor/A 61140-2022 karta.png", "A 61140-2022")</f>
        <v/>
      </c>
      <c r="Y107">
        <f>HYPERLINK("https://klasma.github.io/Logging_0881/kartor_geotiff/A 61140-2022 georefererad karta.tif", "A 61140-2022")</f>
        <v/>
      </c>
      <c r="AA107">
        <f>HYPERLINK("https://klasma.github.io/Logging_0881/klagomål/A 61140-2022 FSC-klagomål.docx", "A 61140-2022")</f>
        <v/>
      </c>
      <c r="AB107">
        <f>HYPERLINK("https://klasma.github.io/Logging_0881/klagomålsmail/A 61140-2022 FSC-klagomål mail.docx", "A 61140-2022")</f>
        <v/>
      </c>
      <c r="AC107">
        <f>HYPERLINK("https://klasma.github.io/Logging_0881/tillsyn/A 61140-2022 tillsynsbegäran.docx", "A 61140-2022")</f>
        <v/>
      </c>
      <c r="AD107">
        <f>HYPERLINK("https://klasma.github.io/Logging_0881/tillsynsmail/A 61140-2022 tillsynsbegäran mail.docx", "A 61140-2022")</f>
        <v/>
      </c>
      <c r="AE107">
        <f>HYPERLINK("https://klasma.github.io/Logging_0881/fåglar/A 61140-2022 prioriterade fågelarter.docx", "A 61140-2022")</f>
        <v/>
      </c>
    </row>
    <row r="108" ht="15" customHeight="1">
      <c r="A108" t="inlineStr">
        <is>
          <t>A 37016-2023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46268</v>
      </c>
      <c r="F108" t="inlineStr">
        <is>
          <t>KALMAR LÄN</t>
        </is>
      </c>
      <c r="G108" t="inlineStr">
        <is>
          <t>NYBRO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Slåttergubbe</t>
        </is>
      </c>
      <c r="W108">
        <f>HYPERLINK("https://klasma.github.io/Logging_0881/artfynd/A 37016-2023 artfynd.xlsx", "A 37016-2023")</f>
        <v/>
      </c>
      <c r="X108">
        <f>HYPERLINK("https://klasma.github.io/Logging_0881/kartor/A 37016-2023 karta.png", "A 37016-2023")</f>
        <v/>
      </c>
      <c r="Y108">
        <f>HYPERLINK("https://klasma.github.io/Logging_0881/kartor_geotiff/A 37016-2023 georefererad karta.tif", "A 37016-2023")</f>
        <v/>
      </c>
      <c r="AA108">
        <f>HYPERLINK("https://klasma.github.io/Logging_0881/klagomål/A 37016-2023 FSC-klagomål.docx", "A 37016-2023")</f>
        <v/>
      </c>
      <c r="AB108">
        <f>HYPERLINK("https://klasma.github.io/Logging_0881/klagomålsmail/A 37016-2023 FSC-klagomål mail.docx", "A 37016-2023")</f>
        <v/>
      </c>
      <c r="AC108">
        <f>HYPERLINK("https://klasma.github.io/Logging_0881/tillsyn/A 37016-2023 tillsynsbegäran.docx", "A 37016-2023")</f>
        <v/>
      </c>
      <c r="AD108">
        <f>HYPERLINK("https://klasma.github.io/Logging_0881/tillsynsmail/A 37016-2023 tillsynsbegäran mail.docx", "A 37016-2023")</f>
        <v/>
      </c>
    </row>
    <row r="109" ht="15" customHeight="1">
      <c r="A109" t="inlineStr">
        <is>
          <t>A 24315-2026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46268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8.5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HYPERLINK("https://klasma.github.io/Logging_0881/artfynd/A 24315-2026 artfynd.xlsx", "A 24315-2026")</f>
        <v/>
      </c>
      <c r="X109">
        <f>HYPERLINK("https://klasma.github.io/Logging_0881/kartor/A 24315-2026 karta.png", "A 24315-2026")</f>
        <v/>
      </c>
      <c r="Y109">
        <f>HYPERLINK("https://klasma.github.io/Logging_0881/kartor_geotiff/A 24315-2026 georefererad karta.tif", "A 24315-2026")</f>
        <v/>
      </c>
      <c r="AA109">
        <f>HYPERLINK("https://klasma.github.io/Logging_0881/klagomål/A 24315-2026 FSC-klagomål.docx", "A 24315-2026")</f>
        <v/>
      </c>
      <c r="AB109">
        <f>HYPERLINK("https://klasma.github.io/Logging_0881/klagomålsmail/A 24315-2026 FSC-klagomål mail.docx", "A 24315-2026")</f>
        <v/>
      </c>
      <c r="AC109">
        <f>HYPERLINK("https://klasma.github.io/Logging_0881/tillsyn/A 24315-2026 tillsynsbegäran.docx", "A 24315-2026")</f>
        <v/>
      </c>
      <c r="AD109">
        <f>HYPERLINK("https://klasma.github.io/Logging_0881/tillsynsmail/A 24315-2026 tillsynsbegäran mail.docx", "A 24315-2026")</f>
        <v/>
      </c>
    </row>
    <row r="110" ht="15" customHeight="1">
      <c r="A110" t="inlineStr">
        <is>
          <t>A 50008-2023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46268</v>
      </c>
      <c r="F110" t="inlineStr">
        <is>
          <t>KALMAR LÄN</t>
        </is>
      </c>
      <c r="G110" t="inlineStr">
        <is>
          <t>NYBRO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Mindre bastardsvärmare</t>
        </is>
      </c>
      <c r="W110">
        <f>HYPERLINK("https://klasma.github.io/Logging_0881/artfynd/A 50008-2023 artfynd.xlsx", "A 50008-2023")</f>
        <v/>
      </c>
      <c r="X110">
        <f>HYPERLINK("https://klasma.github.io/Logging_0881/kartor/A 50008-2023 karta.png", "A 50008-2023")</f>
        <v/>
      </c>
      <c r="Y110">
        <f>HYPERLINK("https://klasma.github.io/Logging_0881/kartor_geotiff/A 50008-2023 georefererad karta.tif", "A 50008-2023")</f>
        <v/>
      </c>
      <c r="AA110">
        <f>HYPERLINK("https://klasma.github.io/Logging_0881/klagomål/A 50008-2023 FSC-klagomål.docx", "A 50008-2023")</f>
        <v/>
      </c>
      <c r="AB110">
        <f>HYPERLINK("https://klasma.github.io/Logging_0881/klagomålsmail/A 50008-2023 FSC-klagomål mail.docx", "A 50008-2023")</f>
        <v/>
      </c>
      <c r="AC110">
        <f>HYPERLINK("https://klasma.github.io/Logging_0881/tillsyn/A 50008-2023 tillsynsbegäran.docx", "A 50008-2023")</f>
        <v/>
      </c>
      <c r="AD110">
        <f>HYPERLINK("https://klasma.github.io/Logging_0881/tillsynsmail/A 50008-2023 tillsynsbegäran mail.docx", "A 50008-2023")</f>
        <v/>
      </c>
    </row>
    <row r="111" ht="15" customHeight="1">
      <c r="A111" t="inlineStr">
        <is>
          <t>A 38265-2024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46268</v>
      </c>
      <c r="F111" t="inlineStr">
        <is>
          <t>KALMAR LÄN</t>
        </is>
      </c>
      <c r="G111" t="inlineStr">
        <is>
          <t>NYBRO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Mindre bastardsvärmare</t>
        </is>
      </c>
      <c r="W111">
        <f>HYPERLINK("https://klasma.github.io/Logging_0881/artfynd/A 38265-2024 artfynd.xlsx", "A 38265-2024")</f>
        <v/>
      </c>
      <c r="X111">
        <f>HYPERLINK("https://klasma.github.io/Logging_0881/kartor/A 38265-2024 karta.png", "A 38265-2024")</f>
        <v/>
      </c>
      <c r="Y111">
        <f>HYPERLINK("https://klasma.github.io/Logging_0881/kartor_geotiff/A 38265-2024 georefererad karta.tif", "A 38265-2024")</f>
        <v/>
      </c>
      <c r="AA111">
        <f>HYPERLINK("https://klasma.github.io/Logging_0881/klagomål/A 38265-2024 FSC-klagomål.docx", "A 38265-2024")</f>
        <v/>
      </c>
      <c r="AB111">
        <f>HYPERLINK("https://klasma.github.io/Logging_0881/klagomålsmail/A 38265-2024 FSC-klagomål mail.docx", "A 38265-2024")</f>
        <v/>
      </c>
      <c r="AC111">
        <f>HYPERLINK("https://klasma.github.io/Logging_0881/tillsyn/A 38265-2024 tillsynsbegäran.docx", "A 38265-2024")</f>
        <v/>
      </c>
      <c r="AD111">
        <f>HYPERLINK("https://klasma.github.io/Logging_0881/tillsynsmail/A 38265-2024 tillsynsbegäran mail.docx", "A 38265-2024")</f>
        <v/>
      </c>
    </row>
    <row r="112" ht="15" customHeight="1">
      <c r="A112" t="inlineStr">
        <is>
          <t>A 26463-2026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46183</v>
      </c>
      <c r="E112" s="1" t="n">
        <v>46268</v>
      </c>
      <c r="F112" t="inlineStr">
        <is>
          <t>KALMAR LÄN</t>
        </is>
      </c>
      <c r="G112" t="inlineStr">
        <is>
          <t>NYBRO</t>
        </is>
      </c>
      <c r="I112" t="n">
        <v>2.7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5</v>
      </c>
      <c r="U112" t="n">
        <v>0</v>
      </c>
      <c r="V112" s="2" t="inlineStr">
        <is>
          <t>Blåmossa</t>
        </is>
      </c>
      <c r="W112">
        <f>HYPERLINK("https://klasma.github.io/Logging_0881/artfynd/A 26463-2026 artfynd.xlsx", "A 26463-2026")</f>
        <v/>
      </c>
      <c r="X112">
        <f>HYPERLINK("https://klasma.github.io/Logging_0881/kartor/A 26463-2026 karta.png", "A 26463-2026")</f>
        <v/>
      </c>
      <c r="Y112">
        <f>HYPERLINK("https://klasma.github.io/Logging_0881/kartor_geotiff/A 26463-2026 georefererad karta.tif", "A 26463-2026")</f>
        <v/>
      </c>
      <c r="AA112">
        <f>HYPERLINK("https://klasma.github.io/Logging_0881/klagomål/A 26463-2026 FSC-klagomål.docx", "A 26463-2026")</f>
        <v/>
      </c>
      <c r="AB112">
        <f>HYPERLINK("https://klasma.github.io/Logging_0881/klagomålsmail/A 26463-2026 FSC-klagomål mail.docx", "A 26463-2026")</f>
        <v/>
      </c>
      <c r="AC112">
        <f>HYPERLINK("https://klasma.github.io/Logging_0881/tillsyn/A 26463-2026 tillsynsbegäran.docx", "A 26463-2026")</f>
        <v/>
      </c>
      <c r="AD112">
        <f>HYPERLINK("https://klasma.github.io/Logging_0881/tillsynsmail/A 26463-2026 tillsynsbegäran mail.docx", "A 26463-2026")</f>
        <v/>
      </c>
    </row>
    <row r="113" ht="15" customHeight="1">
      <c r="A113" t="inlineStr">
        <is>
          <t>A 31773-2026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46230</v>
      </c>
      <c r="E113" s="1" t="n">
        <v>46268</v>
      </c>
      <c r="F113" t="inlineStr">
        <is>
          <t>KALMAR LÄN</t>
        </is>
      </c>
      <c r="G113" t="inlineStr">
        <is>
          <t>NYBRO</t>
        </is>
      </c>
      <c r="I113" t="n">
        <v>1.1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Blompraktbagge</t>
        </is>
      </c>
      <c r="W113">
        <f>HYPERLINK("https://klasma.github.io/Logging_0881/artfynd/A 31773-2026 artfynd.xlsx", "A 31773-2026")</f>
        <v/>
      </c>
      <c r="X113">
        <f>HYPERLINK("https://klasma.github.io/Logging_0881/kartor/A 31773-2026 karta.png", "A 31773-2026")</f>
        <v/>
      </c>
      <c r="Y113">
        <f>HYPERLINK("https://klasma.github.io/Logging_0881/kartor_geotiff/A 31773-2026 georefererad karta.tif", "A 31773-2026")</f>
        <v/>
      </c>
      <c r="AA113">
        <f>HYPERLINK("https://klasma.github.io/Logging_0881/klagomål/A 31773-2026 FSC-klagomål.docx", "A 31773-2026")</f>
        <v/>
      </c>
      <c r="AB113">
        <f>HYPERLINK("https://klasma.github.io/Logging_0881/klagomålsmail/A 31773-2026 FSC-klagomål mail.docx", "A 31773-2026")</f>
        <v/>
      </c>
      <c r="AC113">
        <f>HYPERLINK("https://klasma.github.io/Logging_0881/tillsyn/A 31773-2026 tillsynsbegäran.docx", "A 31773-2026")</f>
        <v/>
      </c>
      <c r="AD113">
        <f>HYPERLINK("https://klasma.github.io/Logging_0881/tillsynsmail/A 31773-2026 tillsynsbegäran mail.docx", "A 31773-2026")</f>
        <v/>
      </c>
    </row>
    <row r="114" ht="15" customHeight="1">
      <c r="A114" t="inlineStr">
        <is>
          <t>A 46223-2024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46268</v>
      </c>
      <c r="F114" t="inlineStr">
        <is>
          <t>KALMAR LÄN</t>
        </is>
      </c>
      <c r="G114" t="inlineStr">
        <is>
          <t>NYBRO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Sumpviol</t>
        </is>
      </c>
      <c r="W114">
        <f>HYPERLINK("https://klasma.github.io/Logging_0881/artfynd/A 46223-2024 artfynd.xlsx", "A 46223-2024")</f>
        <v/>
      </c>
      <c r="X114">
        <f>HYPERLINK("https://klasma.github.io/Logging_0881/kartor/A 46223-2024 karta.png", "A 46223-2024")</f>
        <v/>
      </c>
      <c r="Y114">
        <f>HYPERLINK("https://klasma.github.io/Logging_0881/kartor_geotiff/A 46223-2024 georefererad karta.tif", "A 46223-2024")</f>
        <v/>
      </c>
      <c r="AA114">
        <f>HYPERLINK("https://klasma.github.io/Logging_0881/klagomål/A 46223-2024 FSC-klagomål.docx", "A 46223-2024")</f>
        <v/>
      </c>
      <c r="AB114">
        <f>HYPERLINK("https://klasma.github.io/Logging_0881/klagomålsmail/A 46223-2024 FSC-klagomål mail.docx", "A 46223-2024")</f>
        <v/>
      </c>
      <c r="AC114">
        <f>HYPERLINK("https://klasma.github.io/Logging_0881/tillsyn/A 46223-2024 tillsynsbegäran.docx", "A 46223-2024")</f>
        <v/>
      </c>
      <c r="AD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27669-2026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46268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Blomkålssvamp</t>
        </is>
      </c>
      <c r="W115">
        <f>HYPERLINK("https://klasma.github.io/Logging_0881/artfynd/A 27669-2026 artfynd.xlsx", "A 27669-2026")</f>
        <v/>
      </c>
      <c r="X115">
        <f>HYPERLINK("https://klasma.github.io/Logging_0881/kartor/A 27669-2026 karta.png", "A 27669-2026")</f>
        <v/>
      </c>
      <c r="Y115">
        <f>HYPERLINK("https://klasma.github.io/Logging_0881/kartor_geotiff/A 27669-2026 georefererad karta.tif", "A 27669-2026")</f>
        <v/>
      </c>
      <c r="AA115">
        <f>HYPERLINK("https://klasma.github.io/Logging_0881/klagomål/A 27669-2026 FSC-klagomål.docx", "A 27669-2026")</f>
        <v/>
      </c>
      <c r="AB115">
        <f>HYPERLINK("https://klasma.github.io/Logging_0881/klagomålsmail/A 27669-2026 FSC-klagomål mail.docx", "A 27669-2026")</f>
        <v/>
      </c>
      <c r="AC115">
        <f>HYPERLINK("https://klasma.github.io/Logging_0881/tillsyn/A 27669-2026 tillsynsbegäran.docx", "A 27669-2026")</f>
        <v/>
      </c>
      <c r="AD115">
        <f>HYPERLINK("https://klasma.github.io/Logging_0881/tillsynsmail/A 27669-2026 tillsynsbegäran mail.docx", "A 27669-2026")</f>
        <v/>
      </c>
    </row>
    <row r="116" ht="15" customHeight="1">
      <c r="A116" t="inlineStr">
        <is>
          <t>A 31861-2023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46268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Ask</t>
        </is>
      </c>
      <c r="W116">
        <f>HYPERLINK("https://klasma.github.io/Logging_0881/artfynd/A 31861-2023 artfynd.xlsx", "A 31861-2023")</f>
        <v/>
      </c>
      <c r="X116">
        <f>HYPERLINK("https://klasma.github.io/Logging_0881/kartor/A 31861-2023 karta.png", "A 31861-2023")</f>
        <v/>
      </c>
      <c r="Y116">
        <f>HYPERLINK("https://klasma.github.io/Logging_0881/kartor_geotiff/A 31861-2023 georefererad karta.tif", "A 31861-2023")</f>
        <v/>
      </c>
      <c r="AA116">
        <f>HYPERLINK("https://klasma.github.io/Logging_0881/klagomål/A 31861-2023 FSC-klagomål.docx", "A 31861-2023")</f>
        <v/>
      </c>
      <c r="AB116">
        <f>HYPERLINK("https://klasma.github.io/Logging_0881/klagomålsmail/A 31861-2023 FSC-klagomål mail.docx", "A 31861-2023")</f>
        <v/>
      </c>
      <c r="AC116">
        <f>HYPERLINK("https://klasma.github.io/Logging_0881/tillsyn/A 31861-2023 tillsynsbegäran.docx", "A 31861-2023")</f>
        <v/>
      </c>
      <c r="AD116">
        <f>HYPERLINK("https://klasma.github.io/Logging_0881/tillsynsmail/A 31861-2023 tillsynsbegäran mail.docx", "A 31861-2023")</f>
        <v/>
      </c>
    </row>
    <row r="117" ht="15" customHeight="1">
      <c r="A117" t="inlineStr">
        <is>
          <t>A 34361-2026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46254</v>
      </c>
      <c r="E117" s="1" t="n">
        <v>46268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9.5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HYPERLINK("https://klasma.github.io/Logging_0881/artfynd/A 34361-2026 artfynd.xlsx", "A 34361-2026")</f>
        <v/>
      </c>
      <c r="X117">
        <f>HYPERLINK("https://klasma.github.io/Logging_0881/kartor/A 34361-2026 karta.png", "A 34361-2026")</f>
        <v/>
      </c>
      <c r="Y117">
        <f>HYPERLINK("https://klasma.github.io/Logging_0881/kartor_geotiff/A 34361-2026 georefererad karta.tif", "A 34361-2026")</f>
        <v/>
      </c>
      <c r="AA117">
        <f>HYPERLINK("https://klasma.github.io/Logging_0881/klagomål/A 34361-2026 FSC-klagomål.docx", "A 34361-2026")</f>
        <v/>
      </c>
      <c r="AB117">
        <f>HYPERLINK("https://klasma.github.io/Logging_0881/klagomålsmail/A 34361-2026 FSC-klagomål mail.docx", "A 34361-2026")</f>
        <v/>
      </c>
      <c r="AC117">
        <f>HYPERLINK("https://klasma.github.io/Logging_0881/tillsyn/A 34361-2026 tillsynsbegäran.docx", "A 34361-2026")</f>
        <v/>
      </c>
      <c r="AD117">
        <f>HYPERLINK("https://klasma.github.io/Logging_0881/tillsynsmail/A 34361-2026 tillsynsbegäran mail.docx", "A 34361-2026")</f>
        <v/>
      </c>
      <c r="AE117">
        <f>HYPERLINK("https://klasma.github.io/Logging_0881/fåglar/A 34361-2026 prioriterade fågelarter.docx", "A 34361-2026")</f>
        <v/>
      </c>
    </row>
    <row r="118" ht="15" customHeight="1">
      <c r="A118" t="inlineStr">
        <is>
          <t>A 35388-2022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46268</v>
      </c>
      <c r="F118" t="inlineStr">
        <is>
          <t>KALMAR LÄN</t>
        </is>
      </c>
      <c r="G118" t="inlineStr">
        <is>
          <t>NYBRO</t>
        </is>
      </c>
      <c r="I118" t="n">
        <v>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Motaggsvamp</t>
        </is>
      </c>
      <c r="W118">
        <f>HYPERLINK("https://klasma.github.io/Logging_0881/artfynd/A 35388-2022 artfynd.xlsx", "A 35388-2022")</f>
        <v/>
      </c>
      <c r="X118">
        <f>HYPERLINK("https://klasma.github.io/Logging_0881/kartor/A 35388-2022 karta.png", "A 35388-2022")</f>
        <v/>
      </c>
      <c r="Y118">
        <f>HYPERLINK("https://klasma.github.io/Logging_0881/kartor_geotiff/A 35388-2022 georefererad karta.tif", "A 35388-2022")</f>
        <v/>
      </c>
      <c r="AA118">
        <f>HYPERLINK("https://klasma.github.io/Logging_0881/klagomål/A 35388-2022 FSC-klagomål.docx", "A 35388-2022")</f>
        <v/>
      </c>
      <c r="AB118">
        <f>HYPERLINK("https://klasma.github.io/Logging_0881/klagomålsmail/A 35388-2022 FSC-klagomål mail.docx", "A 35388-2022")</f>
        <v/>
      </c>
      <c r="AC118">
        <f>HYPERLINK("https://klasma.github.io/Logging_0881/tillsyn/A 35388-2022 tillsynsbegäran.docx", "A 35388-2022")</f>
        <v/>
      </c>
      <c r="AD118">
        <f>HYPERLINK("https://klasma.github.io/Logging_0881/tillsynsmail/A 35388-2022 tillsynsbegäran mail.docx", "A 35388-2022")</f>
        <v/>
      </c>
    </row>
    <row r="119" ht="15" customHeight="1">
      <c r="A119" t="inlineStr">
        <is>
          <t>A 12323-2025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46268</v>
      </c>
      <c r="F119" t="inlineStr">
        <is>
          <t>KALMAR LÄN</t>
        </is>
      </c>
      <c r="G119" t="inlineStr">
        <is>
          <t>NYBRO</t>
        </is>
      </c>
      <c r="I119" t="n">
        <v>14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hackspett</t>
        </is>
      </c>
      <c r="W119">
        <f>HYPERLINK("https://klasma.github.io/Logging_0881/artfynd/A 12323-2025 artfynd.xlsx", "A 12323-2025")</f>
        <v/>
      </c>
      <c r="X119">
        <f>HYPERLINK("https://klasma.github.io/Logging_0881/kartor/A 12323-2025 karta.png", "A 12323-2025")</f>
        <v/>
      </c>
      <c r="Y119">
        <f>HYPERLINK("https://klasma.github.io/Logging_0881/kartor_geotiff/A 12323-2025 georefererad karta.tif", "A 12323-2025")</f>
        <v/>
      </c>
      <c r="AA119">
        <f>HYPERLINK("https://klasma.github.io/Logging_0881/klagomål/A 12323-2025 FSC-klagomål.docx", "A 12323-2025")</f>
        <v/>
      </c>
      <c r="AB119">
        <f>HYPERLINK("https://klasma.github.io/Logging_0881/klagomålsmail/A 12323-2025 FSC-klagomål mail.docx", "A 12323-2025")</f>
        <v/>
      </c>
      <c r="AC119">
        <f>HYPERLINK("https://klasma.github.io/Logging_0881/tillsyn/A 12323-2025 tillsynsbegäran.docx", "A 12323-2025")</f>
        <v/>
      </c>
      <c r="AD119">
        <f>HYPERLINK("https://klasma.github.io/Logging_0881/tillsynsmail/A 12323-2025 tillsynsbegäran mail.docx", "A 12323-2025")</f>
        <v/>
      </c>
      <c r="AE119">
        <f>HYPERLINK("https://klasma.github.io/Logging_0881/fåglar/A 12323-2025 prioriterade fågelarter.docx", "A 12323-2025")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46268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46268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46268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46268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46268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46268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46268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46268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46268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46268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46268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46268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46268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46268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46268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46268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46268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46268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46268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46268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46268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46268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46268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46268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46268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46268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46268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46268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46268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46268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46268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46268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46268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46268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46268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46268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46268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46268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46268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46268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46268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46268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46268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46268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46268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46268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46268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46268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46268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46268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46268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46268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46268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46268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46268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46268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46268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46268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46268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46268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46268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46268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46268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46268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46268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46268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46268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46268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46268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46268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46268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46268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46268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46268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46268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46268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46268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46268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46268</v>
      </c>
      <c r="F198" t="inlineStr">
        <is>
          <t>KALMAR LÄN</t>
        </is>
      </c>
      <c r="G198" t="inlineStr">
        <is>
          <t>NYBRO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45488</v>
      </c>
      <c r="E199" s="1" t="n">
        <v>46268</v>
      </c>
      <c r="F199" t="inlineStr">
        <is>
          <t>KALMAR LÄN</t>
        </is>
      </c>
      <c r="G199" t="inlineStr">
        <is>
          <t>NYBRO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46268</v>
      </c>
      <c r="F200" t="inlineStr">
        <is>
          <t>KALMAR LÄN</t>
        </is>
      </c>
      <c r="G200" t="inlineStr">
        <is>
          <t>NYBRO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46268</v>
      </c>
      <c r="F201" t="inlineStr">
        <is>
          <t>KALMAR LÄN</t>
        </is>
      </c>
      <c r="G201" t="inlineStr">
        <is>
          <t>NYBRO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45230</v>
      </c>
      <c r="E202" s="1" t="n">
        <v>46268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46268</v>
      </c>
      <c r="F203" t="inlineStr">
        <is>
          <t>KALMAR LÄN</t>
        </is>
      </c>
      <c r="G203" t="inlineStr">
        <is>
          <t>NYBRO</t>
        </is>
      </c>
      <c r="H203" t="inlineStr">
        <is>
          <t>Kommuner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45123</v>
      </c>
      <c r="E204" s="1" t="n">
        <v>46268</v>
      </c>
      <c r="F204" t="inlineStr">
        <is>
          <t>KALMAR LÄN</t>
        </is>
      </c>
      <c r="G204" t="inlineStr">
        <is>
          <t>NYBRO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46268</v>
      </c>
      <c r="F205" t="inlineStr">
        <is>
          <t>KALMAR LÄN</t>
        </is>
      </c>
      <c r="G205" t="inlineStr">
        <is>
          <t>NYBRO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46268</v>
      </c>
      <c r="F206" t="inlineStr">
        <is>
          <t>KALMAR LÄN</t>
        </is>
      </c>
      <c r="G206" t="inlineStr">
        <is>
          <t>NYBRO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58761-2021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44489</v>
      </c>
      <c r="E207" s="1" t="n">
        <v>46268</v>
      </c>
      <c r="F207" t="inlineStr">
        <is>
          <t>KALMAR LÄN</t>
        </is>
      </c>
      <c r="G207" t="inlineStr">
        <is>
          <t>NYBRO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46268</v>
      </c>
      <c r="F208" t="inlineStr">
        <is>
          <t>KALMAR LÄN</t>
        </is>
      </c>
      <c r="G208" t="inlineStr">
        <is>
          <t>NYBRO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45606</v>
      </c>
      <c r="E209" s="1" t="n">
        <v>46268</v>
      </c>
      <c r="F209" t="inlineStr">
        <is>
          <t>KALMAR LÄN</t>
        </is>
      </c>
      <c r="G209" t="inlineStr">
        <is>
          <t>NYBRO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46268</v>
      </c>
      <c r="F210" t="inlineStr">
        <is>
          <t>KALMAR LÄN</t>
        </is>
      </c>
      <c r="G210" t="inlineStr">
        <is>
          <t>NYBRO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72166-2021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44544</v>
      </c>
      <c r="E211" s="1" t="n">
        <v>46268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45278</v>
      </c>
      <c r="E212" s="1" t="n">
        <v>46268</v>
      </c>
      <c r="F212" t="inlineStr">
        <is>
          <t>KALMAR LÄN</t>
        </is>
      </c>
      <c r="G212" t="inlineStr">
        <is>
          <t>NYBRO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44933</v>
      </c>
      <c r="E213" s="1" t="n">
        <v>46268</v>
      </c>
      <c r="F213" t="inlineStr">
        <is>
          <t>KALMAR LÄN</t>
        </is>
      </c>
      <c r="G213" t="inlineStr">
        <is>
          <t>NYBRO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46268</v>
      </c>
      <c r="F214" t="inlineStr">
        <is>
          <t>KALMAR LÄN</t>
        </is>
      </c>
      <c r="G214" t="inlineStr">
        <is>
          <t>NYBRO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46268</v>
      </c>
      <c r="F215" t="inlineStr">
        <is>
          <t>KALMAR LÄN</t>
        </is>
      </c>
      <c r="G215" t="inlineStr">
        <is>
          <t>NYBRO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44657</v>
      </c>
      <c r="E216" s="1" t="n">
        <v>46268</v>
      </c>
      <c r="F216" t="inlineStr">
        <is>
          <t>KALMAR LÄN</t>
        </is>
      </c>
      <c r="G216" t="inlineStr">
        <is>
          <t>NYBRO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46268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44985</v>
      </c>
      <c r="E218" s="1" t="n">
        <v>46268</v>
      </c>
      <c r="F218" t="inlineStr">
        <is>
          <t>KALMAR LÄN</t>
        </is>
      </c>
      <c r="G218" t="inlineStr">
        <is>
          <t>NYBRO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46268</v>
      </c>
      <c r="F219" t="inlineStr">
        <is>
          <t>KALMAR LÄN</t>
        </is>
      </c>
      <c r="G219" t="inlineStr">
        <is>
          <t>NYBRO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46268</v>
      </c>
      <c r="F220" t="inlineStr">
        <is>
          <t>KALMAR LÄN</t>
        </is>
      </c>
      <c r="G220" t="inlineStr">
        <is>
          <t>NYBRO</t>
        </is>
      </c>
      <c r="H220" t="inlineStr">
        <is>
          <t>Kyrkan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46268</v>
      </c>
      <c r="F221" t="inlineStr">
        <is>
          <t>KALMAR LÄN</t>
        </is>
      </c>
      <c r="G221" t="inlineStr">
        <is>
          <t>NYBRO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46268</v>
      </c>
      <c r="F222" t="inlineStr">
        <is>
          <t>KALMAR LÄN</t>
        </is>
      </c>
      <c r="G222" t="inlineStr">
        <is>
          <t>NYBRO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45394</v>
      </c>
      <c r="E223" s="1" t="n">
        <v>46268</v>
      </c>
      <c r="F223" t="inlineStr">
        <is>
          <t>KALMAR LÄN</t>
        </is>
      </c>
      <c r="G223" t="inlineStr">
        <is>
          <t>NYBRO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19244-2022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44692</v>
      </c>
      <c r="E224" s="1" t="n">
        <v>46268</v>
      </c>
      <c r="F224" t="inlineStr">
        <is>
          <t>KALMAR LÄN</t>
        </is>
      </c>
      <c r="G224" t="inlineStr">
        <is>
          <t>NYBRO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46268</v>
      </c>
      <c r="F225" t="inlineStr">
        <is>
          <t>KALMAR LÄN</t>
        </is>
      </c>
      <c r="G225" t="inlineStr">
        <is>
          <t>NYBRO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46268</v>
      </c>
      <c r="F226" t="inlineStr">
        <is>
          <t>KALMAR LÄN</t>
        </is>
      </c>
      <c r="G226" t="inlineStr">
        <is>
          <t>NYBRO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46268</v>
      </c>
      <c r="F227" t="inlineStr">
        <is>
          <t>KALMAR LÄN</t>
        </is>
      </c>
      <c r="G227" t="inlineStr">
        <is>
          <t>NYBRO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46268</v>
      </c>
      <c r="F228" t="inlineStr">
        <is>
          <t>KALMAR LÄN</t>
        </is>
      </c>
      <c r="G228" t="inlineStr">
        <is>
          <t>NYBRO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46268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46268</v>
      </c>
      <c r="F230" t="inlineStr">
        <is>
          <t>KALMAR LÄN</t>
        </is>
      </c>
      <c r="G230" t="inlineStr">
        <is>
          <t>NYBRO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46268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46268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46268</v>
      </c>
      <c r="F233" t="inlineStr">
        <is>
          <t>KALMAR LÄN</t>
        </is>
      </c>
      <c r="G233" t="inlineStr">
        <is>
          <t>NYBRO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46268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46268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46268</v>
      </c>
      <c r="F236" t="inlineStr">
        <is>
          <t>KALMAR LÄN</t>
        </is>
      </c>
      <c r="G236" t="inlineStr">
        <is>
          <t>NYBRO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44594</v>
      </c>
      <c r="E237" s="1" t="n">
        <v>46268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46268</v>
      </c>
      <c r="F238" t="inlineStr">
        <is>
          <t>KALMAR LÄN</t>
        </is>
      </c>
      <c r="G238" t="inlineStr">
        <is>
          <t>NYBRO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44909</v>
      </c>
      <c r="E239" s="1" t="n">
        <v>46268</v>
      </c>
      <c r="F239" t="inlineStr">
        <is>
          <t>KALMAR LÄN</t>
        </is>
      </c>
      <c r="G239" t="inlineStr">
        <is>
          <t>NYBRO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46268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46268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46268</v>
      </c>
      <c r="F242" t="inlineStr">
        <is>
          <t>KALMAR LÄN</t>
        </is>
      </c>
      <c r="G242" t="inlineStr">
        <is>
          <t>NYBRO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46268</v>
      </c>
      <c r="F243" t="inlineStr">
        <is>
          <t>KALMAR LÄN</t>
        </is>
      </c>
      <c r="G243" t="inlineStr">
        <is>
          <t>NYBRO</t>
        </is>
      </c>
      <c r="H243" t="inlineStr">
        <is>
          <t>Kyrkan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46268</v>
      </c>
      <c r="F244" t="inlineStr">
        <is>
          <t>KALMAR LÄN</t>
        </is>
      </c>
      <c r="G244" t="inlineStr">
        <is>
          <t>NYBRO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44982</v>
      </c>
      <c r="E245" s="1" t="n">
        <v>46268</v>
      </c>
      <c r="F245" t="inlineStr">
        <is>
          <t>KALMAR LÄN</t>
        </is>
      </c>
      <c r="G245" t="inlineStr">
        <is>
          <t>NYBRO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46268</v>
      </c>
      <c r="F246" t="inlineStr">
        <is>
          <t>KALMAR LÄN</t>
        </is>
      </c>
      <c r="G246" t="inlineStr">
        <is>
          <t>NYBRO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60622-2023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46268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34362-2024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45525</v>
      </c>
      <c r="E248" s="1" t="n">
        <v>46268</v>
      </c>
      <c r="F248" t="inlineStr">
        <is>
          <t>KALMAR LÄN</t>
        </is>
      </c>
      <c r="G248" t="inlineStr">
        <is>
          <t>NYBRO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46268</v>
      </c>
      <c r="F249" t="inlineStr">
        <is>
          <t>KALMAR LÄN</t>
        </is>
      </c>
      <c r="G249" t="inlineStr">
        <is>
          <t>NYBRO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46268</v>
      </c>
      <c r="F250" t="inlineStr">
        <is>
          <t>KALMAR LÄN</t>
        </is>
      </c>
      <c r="G250" t="inlineStr">
        <is>
          <t>NYBRO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46268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46268</v>
      </c>
      <c r="F252" t="inlineStr">
        <is>
          <t>KALMAR LÄN</t>
        </is>
      </c>
      <c r="G252" t="inlineStr">
        <is>
          <t>NYBRO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46268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44936</v>
      </c>
      <c r="E254" s="1" t="n">
        <v>46268</v>
      </c>
      <c r="F254" t="inlineStr">
        <is>
          <t>KALMAR LÄN</t>
        </is>
      </c>
      <c r="G254" t="inlineStr">
        <is>
          <t>NYBRO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46268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44882</v>
      </c>
      <c r="E256" s="1" t="n">
        <v>46268</v>
      </c>
      <c r="F256" t="inlineStr">
        <is>
          <t>KALMAR LÄN</t>
        </is>
      </c>
      <c r="G256" t="inlineStr">
        <is>
          <t>NYBRO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46268</v>
      </c>
      <c r="F257" t="inlineStr">
        <is>
          <t>KALMAR LÄN</t>
        </is>
      </c>
      <c r="G257" t="inlineStr">
        <is>
          <t>NYBRO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46268</v>
      </c>
      <c r="F258" t="inlineStr">
        <is>
          <t>KALMAR LÄN</t>
        </is>
      </c>
      <c r="G258" t="inlineStr">
        <is>
          <t>NYBRO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46268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46268</v>
      </c>
      <c r="F260" t="inlineStr">
        <is>
          <t>KALMAR LÄN</t>
        </is>
      </c>
      <c r="G260" t="inlineStr">
        <is>
          <t>NYBRO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45121</v>
      </c>
      <c r="E261" s="1" t="n">
        <v>46268</v>
      </c>
      <c r="F261" t="inlineStr">
        <is>
          <t>KALMAR LÄN</t>
        </is>
      </c>
      <c r="G261" t="inlineStr">
        <is>
          <t>NYBRO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46268</v>
      </c>
      <c r="F262" t="inlineStr">
        <is>
          <t>KALMAR LÄN</t>
        </is>
      </c>
      <c r="G262" t="inlineStr">
        <is>
          <t>NYBRO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46268</v>
      </c>
      <c r="F263" t="inlineStr">
        <is>
          <t>KALMAR LÄN</t>
        </is>
      </c>
      <c r="G263" t="inlineStr">
        <is>
          <t>NYBRO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46268</v>
      </c>
      <c r="F264" t="inlineStr">
        <is>
          <t>KALMAR LÄN</t>
        </is>
      </c>
      <c r="G264" t="inlineStr">
        <is>
          <t>NYBRO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46268</v>
      </c>
      <c r="F265" t="inlineStr">
        <is>
          <t>KALMAR LÄN</t>
        </is>
      </c>
      <c r="G265" t="inlineStr">
        <is>
          <t>NYBRO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45812</v>
      </c>
      <c r="E266" s="1" t="n">
        <v>46268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44609</v>
      </c>
      <c r="E267" s="1" t="n">
        <v>46268</v>
      </c>
      <c r="F267" t="inlineStr">
        <is>
          <t>KALMAR LÄN</t>
        </is>
      </c>
      <c r="G267" t="inlineStr">
        <is>
          <t>NYBRO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45791</v>
      </c>
      <c r="E268" s="1" t="n">
        <v>46268</v>
      </c>
      <c r="F268" t="inlineStr">
        <is>
          <t>KALMAR LÄN</t>
        </is>
      </c>
      <c r="G268" t="inlineStr">
        <is>
          <t>NYBRO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45698</v>
      </c>
      <c r="E269" s="1" t="n">
        <v>46268</v>
      </c>
      <c r="F269" t="inlineStr">
        <is>
          <t>KALMAR LÄN</t>
        </is>
      </c>
      <c r="G269" t="inlineStr">
        <is>
          <t>NYBRO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46268</v>
      </c>
      <c r="F270" t="inlineStr">
        <is>
          <t>KALMAR LÄN</t>
        </is>
      </c>
      <c r="G270" t="inlineStr">
        <is>
          <t>NYBRO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46268</v>
      </c>
      <c r="F271" t="inlineStr">
        <is>
          <t>KALMAR LÄN</t>
        </is>
      </c>
      <c r="G271" t="inlineStr">
        <is>
          <t>NYBRO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45346</v>
      </c>
      <c r="E272" s="1" t="n">
        <v>46268</v>
      </c>
      <c r="F272" t="inlineStr">
        <is>
          <t>KALMAR LÄN</t>
        </is>
      </c>
      <c r="G272" t="inlineStr">
        <is>
          <t>NYBRO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44992</v>
      </c>
      <c r="E273" s="1" t="n">
        <v>46268</v>
      </c>
      <c r="F273" t="inlineStr">
        <is>
          <t>KALMAR LÄN</t>
        </is>
      </c>
      <c r="G273" t="inlineStr">
        <is>
          <t>NYBRO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45628</v>
      </c>
      <c r="E274" s="1" t="n">
        <v>46268</v>
      </c>
      <c r="F274" t="inlineStr">
        <is>
          <t>KALMAR LÄN</t>
        </is>
      </c>
      <c r="G274" t="inlineStr">
        <is>
          <t>NYBRO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46268</v>
      </c>
      <c r="F275" t="inlineStr">
        <is>
          <t>KALMAR LÄN</t>
        </is>
      </c>
      <c r="G275" t="inlineStr">
        <is>
          <t>NYBRO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45409</v>
      </c>
      <c r="E276" s="1" t="n">
        <v>46268</v>
      </c>
      <c r="F276" t="inlineStr">
        <is>
          <t>KALMAR LÄN</t>
        </is>
      </c>
      <c r="G276" t="inlineStr">
        <is>
          <t>NYBRO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46268</v>
      </c>
      <c r="F277" t="inlineStr">
        <is>
          <t>KALMAR LÄN</t>
        </is>
      </c>
      <c r="G277" t="inlineStr">
        <is>
          <t>NYBRO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46268</v>
      </c>
      <c r="F278" t="inlineStr">
        <is>
          <t>KALMAR LÄN</t>
        </is>
      </c>
      <c r="G278" t="inlineStr">
        <is>
          <t>NYBRO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46268</v>
      </c>
      <c r="F279" t="inlineStr">
        <is>
          <t>KALMAR LÄN</t>
        </is>
      </c>
      <c r="G279" t="inlineStr">
        <is>
          <t>NYBRO</t>
        </is>
      </c>
      <c r="H279" t="inlineStr">
        <is>
          <t>Sveaskog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46268</v>
      </c>
      <c r="F280" t="inlineStr">
        <is>
          <t>KALMAR LÄN</t>
        </is>
      </c>
      <c r="G280" t="inlineStr">
        <is>
          <t>NYBRO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46268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46268</v>
      </c>
      <c r="F282" t="inlineStr">
        <is>
          <t>KALMAR LÄN</t>
        </is>
      </c>
      <c r="G282" t="inlineStr">
        <is>
          <t>NYBRO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46268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44690</v>
      </c>
      <c r="E284" s="1" t="n">
        <v>46268</v>
      </c>
      <c r="F284" t="inlineStr">
        <is>
          <t>KALMAR LÄN</t>
        </is>
      </c>
      <c r="G284" t="inlineStr">
        <is>
          <t>NYBRO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44778</v>
      </c>
      <c r="E285" s="1" t="n">
        <v>46268</v>
      </c>
      <c r="F285" t="inlineStr">
        <is>
          <t>KALMAR LÄN</t>
        </is>
      </c>
      <c r="G285" t="inlineStr">
        <is>
          <t>NYBRO</t>
        </is>
      </c>
      <c r="I285" t="n">
        <v>13.7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45664</v>
      </c>
      <c r="E286" s="1" t="n">
        <v>46268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46268</v>
      </c>
      <c r="F287" t="inlineStr">
        <is>
          <t>KALMAR LÄN</t>
        </is>
      </c>
      <c r="G287" t="inlineStr">
        <is>
          <t>NYBRO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50976-2022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44867</v>
      </c>
      <c r="E288" s="1" t="n">
        <v>46268</v>
      </c>
      <c r="F288" t="inlineStr">
        <is>
          <t>KALMAR LÄN</t>
        </is>
      </c>
      <c r="G288" t="inlineStr">
        <is>
          <t>NYBRO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46268</v>
      </c>
      <c r="F289" t="inlineStr">
        <is>
          <t>KALMAR LÄN</t>
        </is>
      </c>
      <c r="G289" t="inlineStr">
        <is>
          <t>NYBRO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45484</v>
      </c>
      <c r="E290" s="1" t="n">
        <v>46268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31540-2025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46268</v>
      </c>
      <c r="F291" t="inlineStr">
        <is>
          <t>KALMAR LÄN</t>
        </is>
      </c>
      <c r="G291" t="inlineStr">
        <is>
          <t>NYBRO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46268</v>
      </c>
      <c r="F292" t="inlineStr">
        <is>
          <t>KALMAR LÄN</t>
        </is>
      </c>
      <c r="G292" t="inlineStr">
        <is>
          <t>NYBRO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46268</v>
      </c>
      <c r="F293" t="inlineStr">
        <is>
          <t>KALMAR LÄN</t>
        </is>
      </c>
      <c r="G293" t="inlineStr">
        <is>
          <t>NYBRO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46268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46268</v>
      </c>
      <c r="F295" t="inlineStr">
        <is>
          <t>KALMAR LÄN</t>
        </is>
      </c>
      <c r="G295" t="inlineStr">
        <is>
          <t>NYBRO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46268</v>
      </c>
      <c r="F296" t="inlineStr">
        <is>
          <t>KALMAR LÄN</t>
        </is>
      </c>
      <c r="G296" t="inlineStr">
        <is>
          <t>NYBRO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45834</v>
      </c>
      <c r="E297" s="1" t="n">
        <v>46268</v>
      </c>
      <c r="F297" t="inlineStr">
        <is>
          <t>KALMAR LÄN</t>
        </is>
      </c>
      <c r="G297" t="inlineStr">
        <is>
          <t>NYBRO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45852</v>
      </c>
      <c r="E298" s="1" t="n">
        <v>46268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46268</v>
      </c>
      <c r="F299" t="inlineStr">
        <is>
          <t>KALMAR LÄN</t>
        </is>
      </c>
      <c r="G299" t="inlineStr">
        <is>
          <t>NYBRO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46268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45254</v>
      </c>
      <c r="E301" s="1" t="n">
        <v>46268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46268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45837</v>
      </c>
      <c r="E303" s="1" t="n">
        <v>46268</v>
      </c>
      <c r="F303" t="inlineStr">
        <is>
          <t>KALMAR LÄN</t>
        </is>
      </c>
      <c r="G303" t="inlineStr">
        <is>
          <t>NYBRO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45837</v>
      </c>
      <c r="E304" s="1" t="n">
        <v>46268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46268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46268</v>
      </c>
      <c r="F306" t="inlineStr">
        <is>
          <t>KALMAR LÄN</t>
        </is>
      </c>
      <c r="G306" t="inlineStr">
        <is>
          <t>NYBRO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45188</v>
      </c>
      <c r="E307" s="1" t="n">
        <v>46268</v>
      </c>
      <c r="F307" t="inlineStr">
        <is>
          <t>KALMAR LÄN</t>
        </is>
      </c>
      <c r="G307" t="inlineStr">
        <is>
          <t>NYBRO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46268</v>
      </c>
      <c r="F308" t="inlineStr">
        <is>
          <t>KALMAR LÄN</t>
        </is>
      </c>
      <c r="G308" t="inlineStr">
        <is>
          <t>NYBRO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46268</v>
      </c>
      <c r="F309" t="inlineStr">
        <is>
          <t>KALMAR LÄN</t>
        </is>
      </c>
      <c r="G309" t="inlineStr">
        <is>
          <t>NYBRO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46268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46268</v>
      </c>
      <c r="F311" t="inlineStr">
        <is>
          <t>KALMAR LÄN</t>
        </is>
      </c>
      <c r="G311" t="inlineStr">
        <is>
          <t>NYBRO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14534-2024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45394</v>
      </c>
      <c r="E312" s="1" t="n">
        <v>46268</v>
      </c>
      <c r="F312" t="inlineStr">
        <is>
          <t>KALMAR LÄN</t>
        </is>
      </c>
      <c r="G312" t="inlineStr">
        <is>
          <t>NYBRO</t>
        </is>
      </c>
      <c r="H312" t="inlineStr">
        <is>
          <t>Kommuner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46268</v>
      </c>
      <c r="F313" t="inlineStr">
        <is>
          <t>KALMAR LÄN</t>
        </is>
      </c>
      <c r="G313" t="inlineStr">
        <is>
          <t>NYBRO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46268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44721</v>
      </c>
      <c r="E315" s="1" t="n">
        <v>46268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46268</v>
      </c>
      <c r="F316" t="inlineStr">
        <is>
          <t>KALMAR LÄN</t>
        </is>
      </c>
      <c r="G316" t="inlineStr">
        <is>
          <t>NYBRO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46268</v>
      </c>
      <c r="F317" t="inlineStr">
        <is>
          <t>KALMAR LÄN</t>
        </is>
      </c>
      <c r="G317" t="inlineStr">
        <is>
          <t>NYBRO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46268</v>
      </c>
      <c r="F318" t="inlineStr">
        <is>
          <t>KALMAR LÄN</t>
        </is>
      </c>
      <c r="G318" t="inlineStr">
        <is>
          <t>NYBRO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49051-2021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44453</v>
      </c>
      <c r="E319" s="1" t="n">
        <v>46268</v>
      </c>
      <c r="F319" t="inlineStr">
        <is>
          <t>KALMAR LÄN</t>
        </is>
      </c>
      <c r="G319" t="inlineStr">
        <is>
          <t>NYBRO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45368</v>
      </c>
      <c r="E320" s="1" t="n">
        <v>46268</v>
      </c>
      <c r="F320" t="inlineStr">
        <is>
          <t>KALMAR LÄN</t>
        </is>
      </c>
      <c r="G320" t="inlineStr">
        <is>
          <t>NYBRO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45369</v>
      </c>
      <c r="E321" s="1" t="n">
        <v>46268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46268</v>
      </c>
      <c r="F322" t="inlineStr">
        <is>
          <t>KALMAR LÄN</t>
        </is>
      </c>
      <c r="G322" t="inlineStr">
        <is>
          <t>NYBRO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46268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45856</v>
      </c>
      <c r="E324" s="1" t="n">
        <v>46268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46268</v>
      </c>
      <c r="F325" t="inlineStr">
        <is>
          <t>KALMAR LÄN</t>
        </is>
      </c>
      <c r="G325" t="inlineStr">
        <is>
          <t>NYBRO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46268</v>
      </c>
      <c r="F326" t="inlineStr">
        <is>
          <t>KALMAR LÄN</t>
        </is>
      </c>
      <c r="G326" t="inlineStr">
        <is>
          <t>NYBRO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45429</v>
      </c>
      <c r="E327" s="1" t="n">
        <v>46268</v>
      </c>
      <c r="F327" t="inlineStr">
        <is>
          <t>KALMAR LÄN</t>
        </is>
      </c>
      <c r="G327" t="inlineStr">
        <is>
          <t>NYBRO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46268</v>
      </c>
      <c r="F328" t="inlineStr">
        <is>
          <t>KALMAR LÄN</t>
        </is>
      </c>
      <c r="G328" t="inlineStr">
        <is>
          <t>NYBRO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46268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46268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46268</v>
      </c>
      <c r="F331" t="inlineStr">
        <is>
          <t>KALMAR LÄN</t>
        </is>
      </c>
      <c r="G331" t="inlineStr">
        <is>
          <t>NYBRO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46268</v>
      </c>
      <c r="F332" t="inlineStr">
        <is>
          <t>KALMAR LÄN</t>
        </is>
      </c>
      <c r="G332" t="inlineStr">
        <is>
          <t>NYBRO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46268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60794-2021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44497</v>
      </c>
      <c r="E334" s="1" t="n">
        <v>46268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46821-2025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46268</v>
      </c>
      <c r="F335" t="inlineStr">
        <is>
          <t>KALMAR LÄN</t>
        </is>
      </c>
      <c r="G335" t="inlineStr">
        <is>
          <t>NYBRO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28363-2025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46268</v>
      </c>
      <c r="F336" t="inlineStr">
        <is>
          <t>KALMAR LÄN</t>
        </is>
      </c>
      <c r="G336" t="inlineStr">
        <is>
          <t>NYBRO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45616</v>
      </c>
      <c r="E337" s="1" t="n">
        <v>46268</v>
      </c>
      <c r="F337" t="inlineStr">
        <is>
          <t>KALMAR LÄN</t>
        </is>
      </c>
      <c r="G337" t="inlineStr">
        <is>
          <t>NYBRO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46268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46268</v>
      </c>
      <c r="F339" t="inlineStr">
        <is>
          <t>KALMAR LÄN</t>
        </is>
      </c>
      <c r="G339" t="inlineStr">
        <is>
          <t>NYBRO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44914</v>
      </c>
      <c r="E340" s="1" t="n">
        <v>46268</v>
      </c>
      <c r="F340" t="inlineStr">
        <is>
          <t>KALMAR LÄN</t>
        </is>
      </c>
      <c r="G340" t="inlineStr">
        <is>
          <t>NYBRO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46268</v>
      </c>
      <c r="F341" t="inlineStr">
        <is>
          <t>KALMAR LÄN</t>
        </is>
      </c>
      <c r="G341" t="inlineStr">
        <is>
          <t>NYBRO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44931</v>
      </c>
      <c r="E342" s="1" t="n">
        <v>46268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28149-2023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45096</v>
      </c>
      <c r="E343" s="1" t="n">
        <v>46268</v>
      </c>
      <c r="F343" t="inlineStr">
        <is>
          <t>KALMAR LÄN</t>
        </is>
      </c>
      <c r="G343" t="inlineStr">
        <is>
          <t>NYBRO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45359</v>
      </c>
      <c r="E344" s="1" t="n">
        <v>46268</v>
      </c>
      <c r="F344" t="inlineStr">
        <is>
          <t>KALMAR LÄN</t>
        </is>
      </c>
      <c r="G344" t="inlineStr">
        <is>
          <t>NYBRO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49338-2025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45938</v>
      </c>
      <c r="E345" s="1" t="n">
        <v>46268</v>
      </c>
      <c r="F345" t="inlineStr">
        <is>
          <t>KALMAR LÄN</t>
        </is>
      </c>
      <c r="G345" t="inlineStr">
        <is>
          <t>NYBRO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46268</v>
      </c>
      <c r="F346" t="inlineStr">
        <is>
          <t>KALMAR LÄN</t>
        </is>
      </c>
      <c r="G346" t="inlineStr">
        <is>
          <t>NYBRO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46268</v>
      </c>
      <c r="F347" t="inlineStr">
        <is>
          <t>KALMAR LÄN</t>
        </is>
      </c>
      <c r="G347" t="inlineStr">
        <is>
          <t>NYBRO</t>
        </is>
      </c>
      <c r="H347" t="inlineStr">
        <is>
          <t>Kommuner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46268</v>
      </c>
      <c r="F348" t="inlineStr">
        <is>
          <t>KALMAR LÄN</t>
        </is>
      </c>
      <c r="G348" t="inlineStr">
        <is>
          <t>NYBRO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46268</v>
      </c>
      <c r="F349" t="inlineStr">
        <is>
          <t>KALMAR LÄN</t>
        </is>
      </c>
      <c r="G349" t="inlineStr">
        <is>
          <t>NYBRO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46268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50202-2025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46268</v>
      </c>
      <c r="F351" t="inlineStr">
        <is>
          <t>KALMAR LÄN</t>
        </is>
      </c>
      <c r="G351" t="inlineStr">
        <is>
          <t>NYBRO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46268</v>
      </c>
      <c r="F352" t="inlineStr">
        <is>
          <t>KALMAR LÄN</t>
        </is>
      </c>
      <c r="G352" t="inlineStr">
        <is>
          <t>NYBRO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46268</v>
      </c>
      <c r="F353" t="inlineStr">
        <is>
          <t>KALMAR LÄN</t>
        </is>
      </c>
      <c r="G353" t="inlineStr">
        <is>
          <t>NYBRO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46268</v>
      </c>
      <c r="F354" t="inlineStr">
        <is>
          <t>KALMAR LÄN</t>
        </is>
      </c>
      <c r="G354" t="inlineStr">
        <is>
          <t>NYBRO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44832</v>
      </c>
      <c r="E355" s="1" t="n">
        <v>46268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45883</v>
      </c>
      <c r="E356" s="1" t="n">
        <v>46268</v>
      </c>
      <c r="F356" t="inlineStr">
        <is>
          <t>KALMAR LÄN</t>
        </is>
      </c>
      <c r="G356" t="inlineStr">
        <is>
          <t>NYBRO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46268</v>
      </c>
      <c r="F357" t="inlineStr">
        <is>
          <t>KALMAR LÄN</t>
        </is>
      </c>
      <c r="G357" t="inlineStr">
        <is>
          <t>NYBRO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44733</v>
      </c>
      <c r="E358" s="1" t="n">
        <v>46268</v>
      </c>
      <c r="F358" t="inlineStr">
        <is>
          <t>KALMAR LÄN</t>
        </is>
      </c>
      <c r="G358" t="inlineStr">
        <is>
          <t>NYBRO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46268</v>
      </c>
      <c r="F359" t="inlineStr">
        <is>
          <t>KALMAR LÄN</t>
        </is>
      </c>
      <c r="G359" t="inlineStr">
        <is>
          <t>NYBRO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46268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46268</v>
      </c>
      <c r="F361" t="inlineStr">
        <is>
          <t>KALMAR LÄN</t>
        </is>
      </c>
      <c r="G361" t="inlineStr">
        <is>
          <t>NYBRO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45737</v>
      </c>
      <c r="E362" s="1" t="n">
        <v>46268</v>
      </c>
      <c r="F362" t="inlineStr">
        <is>
          <t>KALMAR LÄN</t>
        </is>
      </c>
      <c r="G362" t="inlineStr">
        <is>
          <t>NYBRO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45754</v>
      </c>
      <c r="E363" s="1" t="n">
        <v>46268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46268</v>
      </c>
      <c r="F364" t="inlineStr">
        <is>
          <t>KALMAR LÄN</t>
        </is>
      </c>
      <c r="G364" t="inlineStr">
        <is>
          <t>NYBRO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46268</v>
      </c>
      <c r="F365" t="inlineStr">
        <is>
          <t>KALMAR LÄN</t>
        </is>
      </c>
      <c r="G365" t="inlineStr">
        <is>
          <t>NYBRO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45603</v>
      </c>
      <c r="E366" s="1" t="n">
        <v>46268</v>
      </c>
      <c r="F366" t="inlineStr">
        <is>
          <t>KALMAR LÄN</t>
        </is>
      </c>
      <c r="G366" t="inlineStr">
        <is>
          <t>NYBRO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46268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63260-2021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44505</v>
      </c>
      <c r="E368" s="1" t="n">
        <v>46268</v>
      </c>
      <c r="F368" t="inlineStr">
        <is>
          <t>KALMAR LÄN</t>
        </is>
      </c>
      <c r="G368" t="inlineStr">
        <is>
          <t>NYBRO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49929-2022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46268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46268</v>
      </c>
      <c r="F370" t="inlineStr">
        <is>
          <t>KALMAR LÄN</t>
        </is>
      </c>
      <c r="G370" t="inlineStr">
        <is>
          <t>NYBRO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46268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46268</v>
      </c>
      <c r="F372" t="inlineStr">
        <is>
          <t>KALMAR LÄN</t>
        </is>
      </c>
      <c r="G372" t="inlineStr">
        <is>
          <t>NYBRO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45145</v>
      </c>
      <c r="E373" s="1" t="n">
        <v>46268</v>
      </c>
      <c r="F373" t="inlineStr">
        <is>
          <t>KALMAR LÄN</t>
        </is>
      </c>
      <c r="G373" t="inlineStr">
        <is>
          <t>NYBRO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46268</v>
      </c>
      <c r="F374" t="inlineStr">
        <is>
          <t>KALMAR LÄN</t>
        </is>
      </c>
      <c r="G374" t="inlineStr">
        <is>
          <t>NYBRO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46268</v>
      </c>
      <c r="F375" t="inlineStr">
        <is>
          <t>KALMAR LÄN</t>
        </is>
      </c>
      <c r="G375" t="inlineStr">
        <is>
          <t>NYBRO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46268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46268</v>
      </c>
      <c r="F377" t="inlineStr">
        <is>
          <t>KALMAR LÄN</t>
        </is>
      </c>
      <c r="G377" t="inlineStr">
        <is>
          <t>NYBRO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53068-2025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46268</v>
      </c>
      <c r="F378" t="inlineStr">
        <is>
          <t>KALMAR LÄN</t>
        </is>
      </c>
      <c r="G378" t="inlineStr">
        <is>
          <t>NYBRO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46268</v>
      </c>
      <c r="F379" t="inlineStr">
        <is>
          <t>KALMAR LÄN</t>
        </is>
      </c>
      <c r="G379" t="inlineStr">
        <is>
          <t>NYBRO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46268</v>
      </c>
      <c r="F380" t="inlineStr">
        <is>
          <t>KALMAR LÄN</t>
        </is>
      </c>
      <c r="G380" t="inlineStr">
        <is>
          <t>NYBRO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44819</v>
      </c>
      <c r="E381" s="1" t="n">
        <v>46268</v>
      </c>
      <c r="F381" t="inlineStr">
        <is>
          <t>KALMAR LÄN</t>
        </is>
      </c>
      <c r="G381" t="inlineStr">
        <is>
          <t>NYBRO</t>
        </is>
      </c>
      <c r="H381" t="inlineStr">
        <is>
          <t>Kommuner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46268</v>
      </c>
      <c r="F382" t="inlineStr">
        <is>
          <t>KALMAR LÄN</t>
        </is>
      </c>
      <c r="G382" t="inlineStr">
        <is>
          <t>NYBRO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50978-2022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44867</v>
      </c>
      <c r="E383" s="1" t="n">
        <v>46268</v>
      </c>
      <c r="F383" t="inlineStr">
        <is>
          <t>KALMAR LÄN</t>
        </is>
      </c>
      <c r="G383" t="inlineStr">
        <is>
          <t>NYBRO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68345-2021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44528</v>
      </c>
      <c r="E384" s="1" t="n">
        <v>46268</v>
      </c>
      <c r="F384" t="inlineStr">
        <is>
          <t>KALMAR LÄN</t>
        </is>
      </c>
      <c r="G384" t="inlineStr">
        <is>
          <t>NYBRO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46268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26120-2023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46268</v>
      </c>
      <c r="F386" t="inlineStr">
        <is>
          <t>KALMAR LÄN</t>
        </is>
      </c>
      <c r="G386" t="inlineStr">
        <is>
          <t>NYBRO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46268</v>
      </c>
      <c r="F387" t="inlineStr">
        <is>
          <t>KALMAR LÄN</t>
        </is>
      </c>
      <c r="G387" t="inlineStr">
        <is>
          <t>NYBRO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54512-2023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45233</v>
      </c>
      <c r="E388" s="1" t="n">
        <v>46268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51305-2024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46268</v>
      </c>
      <c r="F389" t="inlineStr">
        <is>
          <t>KALMAR LÄN</t>
        </is>
      </c>
      <c r="G389" t="inlineStr">
        <is>
          <t>NYBRO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46268</v>
      </c>
      <c r="F390" t="inlineStr">
        <is>
          <t>KALMAR LÄN</t>
        </is>
      </c>
      <c r="G390" t="inlineStr">
        <is>
          <t>NYBRO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46268</v>
      </c>
      <c r="F391" t="inlineStr">
        <is>
          <t>KALMAR LÄN</t>
        </is>
      </c>
      <c r="G391" t="inlineStr">
        <is>
          <t>NYBRO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46268</v>
      </c>
      <c r="F392" t="inlineStr">
        <is>
          <t>KALMAR LÄN</t>
        </is>
      </c>
      <c r="G392" t="inlineStr">
        <is>
          <t>NYBRO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45103</v>
      </c>
      <c r="E393" s="1" t="n">
        <v>46268</v>
      </c>
      <c r="F393" t="inlineStr">
        <is>
          <t>KALMAR LÄN</t>
        </is>
      </c>
      <c r="G393" t="inlineStr">
        <is>
          <t>NYBRO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46268</v>
      </c>
      <c r="F394" t="inlineStr">
        <is>
          <t>KALMAR LÄN</t>
        </is>
      </c>
      <c r="G394" t="inlineStr">
        <is>
          <t>NYBRO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46268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8883-2026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46067</v>
      </c>
      <c r="E396" s="1" t="n">
        <v>46268</v>
      </c>
      <c r="F396" t="inlineStr">
        <is>
          <t>KALMAR LÄN</t>
        </is>
      </c>
      <c r="G396" t="inlineStr">
        <is>
          <t>NYBRO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46268</v>
      </c>
      <c r="F397" t="inlineStr">
        <is>
          <t>KALMAR LÄN</t>
        </is>
      </c>
      <c r="G397" t="inlineStr">
        <is>
          <t>NYBRO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45321</v>
      </c>
      <c r="E398" s="1" t="n">
        <v>46268</v>
      </c>
      <c r="F398" t="inlineStr">
        <is>
          <t>KALMAR LÄN</t>
        </is>
      </c>
      <c r="G398" t="inlineStr">
        <is>
          <t>NYBRO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45649</v>
      </c>
      <c r="E399" s="1" t="n">
        <v>46268</v>
      </c>
      <c r="F399" t="inlineStr">
        <is>
          <t>KALMAR LÄN</t>
        </is>
      </c>
      <c r="G399" t="inlineStr">
        <is>
          <t>NYBRO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9690-2026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46268</v>
      </c>
      <c r="F400" t="inlineStr">
        <is>
          <t>KALMAR LÄN</t>
        </is>
      </c>
      <c r="G400" t="inlineStr">
        <is>
          <t>NYBRO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46268</v>
      </c>
      <c r="F401" t="inlineStr">
        <is>
          <t>KALMAR LÄN</t>
        </is>
      </c>
      <c r="G401" t="inlineStr">
        <is>
          <t>NYBRO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45213</v>
      </c>
      <c r="E402" s="1" t="n">
        <v>46268</v>
      </c>
      <c r="F402" t="inlineStr">
        <is>
          <t>KALMAR LÄN</t>
        </is>
      </c>
      <c r="G402" t="inlineStr">
        <is>
          <t>NYBRO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51082-2022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46268</v>
      </c>
      <c r="F403" t="inlineStr">
        <is>
          <t>KALMAR LÄN</t>
        </is>
      </c>
      <c r="G403" t="inlineStr">
        <is>
          <t>NYBRO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46268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46078</v>
      </c>
      <c r="E405" s="1" t="n">
        <v>46268</v>
      </c>
      <c r="F405" t="inlineStr">
        <is>
          <t>KALMAR LÄN</t>
        </is>
      </c>
      <c r="G405" t="inlineStr">
        <is>
          <t>NYBRO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57224-2024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46268</v>
      </c>
      <c r="F406" t="inlineStr">
        <is>
          <t>KALMAR LÄN</t>
        </is>
      </c>
      <c r="G406" t="inlineStr">
        <is>
          <t>NYBRO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34021-2023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45135</v>
      </c>
      <c r="E407" s="1" t="n">
        <v>46268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46268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46268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49405-2023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46268</v>
      </c>
      <c r="F410" t="inlineStr">
        <is>
          <t>KALMAR LÄN</t>
        </is>
      </c>
      <c r="G410" t="inlineStr">
        <is>
          <t>NYBRO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45762</v>
      </c>
      <c r="E411" s="1" t="n">
        <v>46268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46268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46268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46268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45637</v>
      </c>
      <c r="E415" s="1" t="n">
        <v>46268</v>
      </c>
      <c r="F415" t="inlineStr">
        <is>
          <t>KALMAR LÄN</t>
        </is>
      </c>
      <c r="G415" t="inlineStr">
        <is>
          <t>NYBRO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44811</v>
      </c>
      <c r="E416" s="1" t="n">
        <v>46268</v>
      </c>
      <c r="F416" t="inlineStr">
        <is>
          <t>KALMAR LÄN</t>
        </is>
      </c>
      <c r="G416" t="inlineStr">
        <is>
          <t>NYBRO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46268</v>
      </c>
      <c r="F417" t="inlineStr">
        <is>
          <t>KALMAR LÄN</t>
        </is>
      </c>
      <c r="G417" t="inlineStr">
        <is>
          <t>NYBRO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46268</v>
      </c>
      <c r="F418" t="inlineStr">
        <is>
          <t>KALMAR LÄN</t>
        </is>
      </c>
      <c r="G418" t="inlineStr">
        <is>
          <t>NYBRO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46268</v>
      </c>
      <c r="F419" t="inlineStr">
        <is>
          <t>KALMAR LÄN</t>
        </is>
      </c>
      <c r="G419" t="inlineStr">
        <is>
          <t>NYBRO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46268</v>
      </c>
      <c r="F420" t="inlineStr">
        <is>
          <t>KALMAR LÄN</t>
        </is>
      </c>
      <c r="G420" t="inlineStr">
        <is>
          <t>NYBRO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46268</v>
      </c>
      <c r="F421" t="inlineStr">
        <is>
          <t>KALMAR LÄN</t>
        </is>
      </c>
      <c r="G421" t="inlineStr">
        <is>
          <t>NYBRO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46268</v>
      </c>
      <c r="F422" t="inlineStr">
        <is>
          <t>KALMAR LÄN</t>
        </is>
      </c>
      <c r="G422" t="inlineStr">
        <is>
          <t>NYBRO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46268</v>
      </c>
      <c r="F423" t="inlineStr">
        <is>
          <t>KALMAR LÄN</t>
        </is>
      </c>
      <c r="G423" t="inlineStr">
        <is>
          <t>NYBRO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46268</v>
      </c>
      <c r="F424" t="inlineStr">
        <is>
          <t>KALMAR LÄN</t>
        </is>
      </c>
      <c r="G424" t="inlineStr">
        <is>
          <t>NYBRO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46268</v>
      </c>
      <c r="F425" t="inlineStr">
        <is>
          <t>KALMAR LÄN</t>
        </is>
      </c>
      <c r="G425" t="inlineStr">
        <is>
          <t>NYBRO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45679</v>
      </c>
      <c r="E426" s="1" t="n">
        <v>46268</v>
      </c>
      <c r="F426" t="inlineStr">
        <is>
          <t>KALMAR LÄN</t>
        </is>
      </c>
      <c r="G426" t="inlineStr">
        <is>
          <t>NYBRO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44973</v>
      </c>
      <c r="E427" s="1" t="n">
        <v>46268</v>
      </c>
      <c r="F427" t="inlineStr">
        <is>
          <t>KALMAR LÄN</t>
        </is>
      </c>
      <c r="G427" t="inlineStr">
        <is>
          <t>NYBRO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46268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46268</v>
      </c>
      <c r="F429" t="inlineStr">
        <is>
          <t>KALMAR LÄN</t>
        </is>
      </c>
      <c r="G429" t="inlineStr">
        <is>
          <t>NYBRO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45987</v>
      </c>
      <c r="E430" s="1" t="n">
        <v>46268</v>
      </c>
      <c r="F430" t="inlineStr">
        <is>
          <t>KALMAR LÄN</t>
        </is>
      </c>
      <c r="G430" t="inlineStr">
        <is>
          <t>NYBRO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8100-2023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46268</v>
      </c>
      <c r="F431" t="inlineStr">
        <is>
          <t>KALMAR LÄN</t>
        </is>
      </c>
      <c r="G431" t="inlineStr">
        <is>
          <t>NYBRO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45057</v>
      </c>
      <c r="E432" s="1" t="n">
        <v>46268</v>
      </c>
      <c r="F432" t="inlineStr">
        <is>
          <t>KALMAR LÄN</t>
        </is>
      </c>
      <c r="G432" t="inlineStr">
        <is>
          <t>NYBRO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45057</v>
      </c>
      <c r="E433" s="1" t="n">
        <v>46268</v>
      </c>
      <c r="F433" t="inlineStr">
        <is>
          <t>KALMAR LÄN</t>
        </is>
      </c>
      <c r="G433" t="inlineStr">
        <is>
          <t>NYBRO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12044-2026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46268</v>
      </c>
      <c r="F434" t="inlineStr">
        <is>
          <t>KALMAR LÄN</t>
        </is>
      </c>
      <c r="G434" t="inlineStr">
        <is>
          <t>NYBRO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7650-2023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46268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45606</v>
      </c>
      <c r="E436" s="1" t="n">
        <v>46268</v>
      </c>
      <c r="F436" t="inlineStr">
        <is>
          <t>KALMAR LÄN</t>
        </is>
      </c>
      <c r="G436" t="inlineStr">
        <is>
          <t>NYBRO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46087</v>
      </c>
      <c r="E437" s="1" t="n">
        <v>46268</v>
      </c>
      <c r="F437" t="inlineStr">
        <is>
          <t>KALMAR LÄN</t>
        </is>
      </c>
      <c r="G437" t="inlineStr">
        <is>
          <t>NYBRO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46268</v>
      </c>
      <c r="F438" t="inlineStr">
        <is>
          <t>KALMAR LÄN</t>
        </is>
      </c>
      <c r="G438" t="inlineStr">
        <is>
          <t>NYBRO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12910-2026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46268</v>
      </c>
      <c r="F439" t="inlineStr">
        <is>
          <t>KALMAR LÄN</t>
        </is>
      </c>
      <c r="G439" t="inlineStr">
        <is>
          <t>NYBRO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46268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46268</v>
      </c>
      <c r="F441" t="inlineStr">
        <is>
          <t>KALMAR LÄN</t>
        </is>
      </c>
      <c r="G441" t="inlineStr">
        <is>
          <t>NYBRO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41161-2023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46268</v>
      </c>
      <c r="F442" t="inlineStr">
        <is>
          <t>KALMAR LÄN</t>
        </is>
      </c>
      <c r="G442" t="inlineStr">
        <is>
          <t>NYBRO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46268</v>
      </c>
      <c r="F443" t="inlineStr">
        <is>
          <t>KALMAR LÄN</t>
        </is>
      </c>
      <c r="G443" t="inlineStr">
        <is>
          <t>NYBRO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45011</v>
      </c>
      <c r="E444" s="1" t="n">
        <v>46268</v>
      </c>
      <c r="F444" t="inlineStr">
        <is>
          <t>KALMAR LÄN</t>
        </is>
      </c>
      <c r="G444" t="inlineStr">
        <is>
          <t>NYBRO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46268</v>
      </c>
      <c r="F445" t="inlineStr">
        <is>
          <t>KALMAR LÄN</t>
        </is>
      </c>
      <c r="G445" t="inlineStr">
        <is>
          <t>NYBRO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44645</v>
      </c>
      <c r="E446" s="1" t="n">
        <v>46268</v>
      </c>
      <c r="F446" t="inlineStr">
        <is>
          <t>KALMAR LÄN</t>
        </is>
      </c>
      <c r="G446" t="inlineStr">
        <is>
          <t>NYBRO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45400</v>
      </c>
      <c r="E447" s="1" t="n">
        <v>46268</v>
      </c>
      <c r="F447" t="inlineStr">
        <is>
          <t>KALMAR LÄN</t>
        </is>
      </c>
      <c r="G447" t="inlineStr">
        <is>
          <t>NYBRO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52133-2021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44462</v>
      </c>
      <c r="E448" s="1" t="n">
        <v>46268</v>
      </c>
      <c r="F448" t="inlineStr">
        <is>
          <t>KALMAR LÄN</t>
        </is>
      </c>
      <c r="G448" t="inlineStr">
        <is>
          <t>NYBRO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52135-2021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44463</v>
      </c>
      <c r="E449" s="1" t="n">
        <v>46268</v>
      </c>
      <c r="F449" t="inlineStr">
        <is>
          <t>KALMAR LÄN</t>
        </is>
      </c>
      <c r="G449" t="inlineStr">
        <is>
          <t>NYBRO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45231</v>
      </c>
      <c r="E450" s="1" t="n">
        <v>46268</v>
      </c>
      <c r="F450" t="inlineStr">
        <is>
          <t>KALMAR LÄN</t>
        </is>
      </c>
      <c r="G450" t="inlineStr">
        <is>
          <t>NYBRO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52752-2024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45610</v>
      </c>
      <c r="E451" s="1" t="n">
        <v>46268</v>
      </c>
      <c r="F451" t="inlineStr">
        <is>
          <t>KALMAR LÄN</t>
        </is>
      </c>
      <c r="G451" t="inlineStr">
        <is>
          <t>NYBRO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45055</v>
      </c>
      <c r="E452" s="1" t="n">
        <v>46268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15200-2025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45744</v>
      </c>
      <c r="E453" s="1" t="n">
        <v>46268</v>
      </c>
      <c r="F453" t="inlineStr">
        <is>
          <t>KALMAR LÄN</t>
        </is>
      </c>
      <c r="G453" t="inlineStr">
        <is>
          <t>NYBRO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45714</v>
      </c>
      <c r="E454" s="1" t="n">
        <v>46268</v>
      </c>
      <c r="F454" t="inlineStr">
        <is>
          <t>KALMAR LÄN</t>
        </is>
      </c>
      <c r="G454" t="inlineStr">
        <is>
          <t>NYBRO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45664</v>
      </c>
      <c r="E455" s="1" t="n">
        <v>46268</v>
      </c>
      <c r="F455" t="inlineStr">
        <is>
          <t>KALMAR LÄN</t>
        </is>
      </c>
      <c r="G455" t="inlineStr">
        <is>
          <t>NYBRO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45253</v>
      </c>
      <c r="E456" s="1" t="n">
        <v>46268</v>
      </c>
      <c r="F456" t="inlineStr">
        <is>
          <t>KALMAR LÄN</t>
        </is>
      </c>
      <c r="G456" t="inlineStr">
        <is>
          <t>NYBRO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45411</v>
      </c>
      <c r="E457" s="1" t="n">
        <v>46268</v>
      </c>
      <c r="F457" t="inlineStr">
        <is>
          <t>KALMAR LÄN</t>
        </is>
      </c>
      <c r="G457" t="inlineStr">
        <is>
          <t>NYBRO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45191</v>
      </c>
      <c r="E458" s="1" t="n">
        <v>46268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46268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45649</v>
      </c>
      <c r="E460" s="1" t="n">
        <v>46268</v>
      </c>
      <c r="F460" t="inlineStr">
        <is>
          <t>KALMAR LÄN</t>
        </is>
      </c>
      <c r="G460" t="inlineStr">
        <is>
          <t>NYBRO</t>
        </is>
      </c>
      <c r="I460" t="n">
        <v>14.2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46268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45649</v>
      </c>
      <c r="E462" s="1" t="n">
        <v>46268</v>
      </c>
      <c r="F462" t="inlineStr">
        <is>
          <t>KALMAR LÄN</t>
        </is>
      </c>
      <c r="G462" t="inlineStr">
        <is>
          <t>NYBRO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18288-2025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46268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44917</v>
      </c>
      <c r="E464" s="1" t="n">
        <v>46268</v>
      </c>
      <c r="F464" t="inlineStr">
        <is>
          <t>KALMAR LÄN</t>
        </is>
      </c>
      <c r="G464" t="inlineStr">
        <is>
          <t>NYBRO</t>
        </is>
      </c>
      <c r="H464" t="inlineStr">
        <is>
          <t>Kommuner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46268</v>
      </c>
      <c r="F465" t="inlineStr">
        <is>
          <t>KALMAR LÄN</t>
        </is>
      </c>
      <c r="G465" t="inlineStr">
        <is>
          <t>NYBRO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41679-2024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45560</v>
      </c>
      <c r="E466" s="1" t="n">
        <v>46268</v>
      </c>
      <c r="F466" t="inlineStr">
        <is>
          <t>KALMAR LÄN</t>
        </is>
      </c>
      <c r="G466" t="inlineStr">
        <is>
          <t>NYBRO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50938-2022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46268</v>
      </c>
      <c r="F467" t="inlineStr">
        <is>
          <t>KALMAR LÄN</t>
        </is>
      </c>
      <c r="G467" t="inlineStr">
        <is>
          <t>NYBRO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64453-2023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45280</v>
      </c>
      <c r="E468" s="1" t="n">
        <v>46268</v>
      </c>
      <c r="F468" t="inlineStr">
        <is>
          <t>KALMAR LÄN</t>
        </is>
      </c>
      <c r="G468" t="inlineStr">
        <is>
          <t>NYBRO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46268</v>
      </c>
      <c r="F469" t="inlineStr">
        <is>
          <t>KALMAR LÄN</t>
        </is>
      </c>
      <c r="G469" t="inlineStr">
        <is>
          <t>NYBRO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46268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46268</v>
      </c>
      <c r="F471" t="inlineStr">
        <is>
          <t>KALMAR LÄN</t>
        </is>
      </c>
      <c r="G471" t="inlineStr">
        <is>
          <t>NYBRO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45591</v>
      </c>
      <c r="E472" s="1" t="n">
        <v>46268</v>
      </c>
      <c r="F472" t="inlineStr">
        <is>
          <t>KALMAR LÄN</t>
        </is>
      </c>
      <c r="G472" t="inlineStr">
        <is>
          <t>NYBRO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45043</v>
      </c>
      <c r="E473" s="1" t="n">
        <v>46268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46268</v>
      </c>
      <c r="F474" t="inlineStr">
        <is>
          <t>KALMAR LÄN</t>
        </is>
      </c>
      <c r="G474" t="inlineStr">
        <is>
          <t>NYBRO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46268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46268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45426</v>
      </c>
      <c r="E477" s="1" t="n">
        <v>46268</v>
      </c>
      <c r="F477" t="inlineStr">
        <is>
          <t>KALMAR LÄN</t>
        </is>
      </c>
      <c r="G477" t="inlineStr">
        <is>
          <t>NYBRO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45050</v>
      </c>
      <c r="E478" s="1" t="n">
        <v>46268</v>
      </c>
      <c r="F478" t="inlineStr">
        <is>
          <t>KALMAR LÄN</t>
        </is>
      </c>
      <c r="G478" t="inlineStr">
        <is>
          <t>NYBRO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45330</v>
      </c>
      <c r="E479" s="1" t="n">
        <v>46268</v>
      </c>
      <c r="F479" t="inlineStr">
        <is>
          <t>KALMAR LÄN</t>
        </is>
      </c>
      <c r="G479" t="inlineStr">
        <is>
          <t>NYBRO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28522-2023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45103</v>
      </c>
      <c r="E480" s="1" t="n">
        <v>46268</v>
      </c>
      <c r="F480" t="inlineStr">
        <is>
          <t>KALMAR LÄN</t>
        </is>
      </c>
      <c r="G480" t="inlineStr">
        <is>
          <t>NYBRO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46268</v>
      </c>
      <c r="F481" t="inlineStr">
        <is>
          <t>KALMAR LÄN</t>
        </is>
      </c>
      <c r="G481" t="inlineStr">
        <is>
          <t>NYBRO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19451-2022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44693</v>
      </c>
      <c r="E482" s="1" t="n">
        <v>46268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26715-2022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44739</v>
      </c>
      <c r="E483" s="1" t="n">
        <v>46268</v>
      </c>
      <c r="F483" t="inlineStr">
        <is>
          <t>KALMAR LÄN</t>
        </is>
      </c>
      <c r="G483" t="inlineStr">
        <is>
          <t>NYBRO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59689-2021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44494</v>
      </c>
      <c r="E484" s="1" t="n">
        <v>46268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46268</v>
      </c>
      <c r="F485" t="inlineStr">
        <is>
          <t>KALMAR LÄN</t>
        </is>
      </c>
      <c r="G485" t="inlineStr">
        <is>
          <t>NYBRO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46268</v>
      </c>
      <c r="F486" t="inlineStr">
        <is>
          <t>KALMAR LÄN</t>
        </is>
      </c>
      <c r="G486" t="inlineStr">
        <is>
          <t>NYBRO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16631-2026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46268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16634-2026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46268</v>
      </c>
      <c r="F488" t="inlineStr">
        <is>
          <t>KALMAR LÄN</t>
        </is>
      </c>
      <c r="G488" t="inlineStr">
        <is>
          <t>NYBRO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46268</v>
      </c>
      <c r="F489" t="inlineStr">
        <is>
          <t>KALMAR LÄN</t>
        </is>
      </c>
      <c r="G489" t="inlineStr">
        <is>
          <t>NYBRO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45296</v>
      </c>
      <c r="E490" s="1" t="n">
        <v>46268</v>
      </c>
      <c r="F490" t="inlineStr">
        <is>
          <t>KALMAR LÄN</t>
        </is>
      </c>
      <c r="G490" t="inlineStr">
        <is>
          <t>NYBRO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46268</v>
      </c>
      <c r="F491" t="inlineStr">
        <is>
          <t>KALMAR LÄN</t>
        </is>
      </c>
      <c r="G491" t="inlineStr">
        <is>
          <t>NYBRO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44586</v>
      </c>
      <c r="E492" s="1" t="n">
        <v>46268</v>
      </c>
      <c r="F492" t="inlineStr">
        <is>
          <t>KALMAR LÄN</t>
        </is>
      </c>
      <c r="G492" t="inlineStr">
        <is>
          <t>NYBRO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59052-2022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44904</v>
      </c>
      <c r="E493" s="1" t="n">
        <v>46268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46268</v>
      </c>
      <c r="F494" t="inlineStr">
        <is>
          <t>KALMAR LÄN</t>
        </is>
      </c>
      <c r="G494" t="inlineStr">
        <is>
          <t>NYBRO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46268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35371-2022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44798</v>
      </c>
      <c r="E496" s="1" t="n">
        <v>46268</v>
      </c>
      <c r="F496" t="inlineStr">
        <is>
          <t>KALMAR LÄN</t>
        </is>
      </c>
      <c r="G496" t="inlineStr">
        <is>
          <t>NYBRO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12785-2025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45733</v>
      </c>
      <c r="E497" s="1" t="n">
        <v>46268</v>
      </c>
      <c r="F497" t="inlineStr">
        <is>
          <t>KALMAR LÄN</t>
        </is>
      </c>
      <c r="G497" t="inlineStr">
        <is>
          <t>NYBRO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45415</v>
      </c>
      <c r="E498" s="1" t="n">
        <v>46268</v>
      </c>
      <c r="F498" t="inlineStr">
        <is>
          <t>KALMAR LÄN</t>
        </is>
      </c>
      <c r="G498" t="inlineStr">
        <is>
          <t>NYBRO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8489-2023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46268</v>
      </c>
      <c r="F499" t="inlineStr">
        <is>
          <t>KALMAR LÄN</t>
        </is>
      </c>
      <c r="G499" t="inlineStr">
        <is>
          <t>NYBRO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46268</v>
      </c>
      <c r="F500" t="inlineStr">
        <is>
          <t>KALMAR LÄN</t>
        </is>
      </c>
      <c r="G500" t="inlineStr">
        <is>
          <t>NYBRO</t>
        </is>
      </c>
      <c r="I500" t="n">
        <v>15.1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59940-2022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44909</v>
      </c>
      <c r="E501" s="1" t="n">
        <v>46268</v>
      </c>
      <c r="F501" t="inlineStr">
        <is>
          <t>KALMAR LÄN</t>
        </is>
      </c>
      <c r="G501" t="inlineStr">
        <is>
          <t>NYBRO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46268</v>
      </c>
      <c r="F502" t="inlineStr">
        <is>
          <t>KALMAR LÄN</t>
        </is>
      </c>
      <c r="G502" t="inlineStr">
        <is>
          <t>NYBRO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46268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44621</v>
      </c>
      <c r="E504" s="1" t="n">
        <v>46268</v>
      </c>
      <c r="F504" t="inlineStr">
        <is>
          <t>KALMAR LÄN</t>
        </is>
      </c>
      <c r="G504" t="inlineStr">
        <is>
          <t>NYBRO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46268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44579</v>
      </c>
      <c r="E506" s="1" t="n">
        <v>46268</v>
      </c>
      <c r="F506" t="inlineStr">
        <is>
          <t>KALMAR LÄN</t>
        </is>
      </c>
      <c r="G506" t="inlineStr">
        <is>
          <t>NYBRO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46268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46268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36247-2022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44803</v>
      </c>
      <c r="E509" s="1" t="n">
        <v>46268</v>
      </c>
      <c r="F509" t="inlineStr">
        <is>
          <t>KALMAR LÄN</t>
        </is>
      </c>
      <c r="G509" t="inlineStr">
        <is>
          <t>NYBRO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44904</v>
      </c>
      <c r="E510" s="1" t="n">
        <v>46268</v>
      </c>
      <c r="F510" t="inlineStr">
        <is>
          <t>KALMAR LÄN</t>
        </is>
      </c>
      <c r="G510" t="inlineStr">
        <is>
          <t>NYBRO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46268</v>
      </c>
      <c r="F511" t="inlineStr">
        <is>
          <t>KALMAR LÄN</t>
        </is>
      </c>
      <c r="G511" t="inlineStr">
        <is>
          <t>NYBRO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41674-2024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45560</v>
      </c>
      <c r="E512" s="1" t="n">
        <v>46268</v>
      </c>
      <c r="F512" t="inlineStr">
        <is>
          <t>KALMAR LÄN</t>
        </is>
      </c>
      <c r="G512" t="inlineStr">
        <is>
          <t>NYBRO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45079</v>
      </c>
      <c r="E513" s="1" t="n">
        <v>46268</v>
      </c>
      <c r="F513" t="inlineStr">
        <is>
          <t>KALMAR LÄN</t>
        </is>
      </c>
      <c r="G513" t="inlineStr">
        <is>
          <t>NYBRO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46268</v>
      </c>
      <c r="F514" t="inlineStr">
        <is>
          <t>KALMAR LÄN</t>
        </is>
      </c>
      <c r="G514" t="inlineStr">
        <is>
          <t>NYBRO</t>
        </is>
      </c>
      <c r="I514" t="n">
        <v>30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46282-2023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46268</v>
      </c>
      <c r="F515" t="inlineStr">
        <is>
          <t>KALMAR LÄN</t>
        </is>
      </c>
      <c r="G515" t="inlineStr">
        <is>
          <t>NYBRO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46268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26442-2024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45469</v>
      </c>
      <c r="E517" s="1" t="n">
        <v>46268</v>
      </c>
      <c r="F517" t="inlineStr">
        <is>
          <t>KALMAR LÄN</t>
        </is>
      </c>
      <c r="G517" t="inlineStr">
        <is>
          <t>NYBRO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46268</v>
      </c>
      <c r="F518" t="inlineStr">
        <is>
          <t>KALMAR LÄN</t>
        </is>
      </c>
      <c r="G518" t="inlineStr">
        <is>
          <t>NYBRO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19474-2026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46268</v>
      </c>
      <c r="F519" t="inlineStr">
        <is>
          <t>KALMAR LÄN</t>
        </is>
      </c>
      <c r="G519" t="inlineStr">
        <is>
          <t>NYBRO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45392</v>
      </c>
      <c r="E520" s="1" t="n">
        <v>46268</v>
      </c>
      <c r="F520" t="inlineStr">
        <is>
          <t>KALMAR LÄN</t>
        </is>
      </c>
      <c r="G520" t="inlineStr">
        <is>
          <t>NYBRO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46268</v>
      </c>
      <c r="F521" t="inlineStr">
        <is>
          <t>KALMAR LÄN</t>
        </is>
      </c>
      <c r="G521" t="inlineStr">
        <is>
          <t>NYBRO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46268</v>
      </c>
      <c r="F522" t="inlineStr">
        <is>
          <t>KALMAR LÄN</t>
        </is>
      </c>
      <c r="G522" t="inlineStr">
        <is>
          <t>NYBRO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46268</v>
      </c>
      <c r="F523" t="inlineStr">
        <is>
          <t>KALMAR LÄN</t>
        </is>
      </c>
      <c r="G523" t="inlineStr">
        <is>
          <t>NYBRO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44939</v>
      </c>
      <c r="E524" s="1" t="n">
        <v>46268</v>
      </c>
      <c r="F524" t="inlineStr">
        <is>
          <t>KALMAR LÄN</t>
        </is>
      </c>
      <c r="G524" t="inlineStr">
        <is>
          <t>NYBRO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46268</v>
      </c>
      <c r="F525" t="inlineStr">
        <is>
          <t>KALMAR LÄN</t>
        </is>
      </c>
      <c r="G525" t="inlineStr">
        <is>
          <t>NYBRO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46268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46134</v>
      </c>
      <c r="E527" s="1" t="n">
        <v>46268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45313</v>
      </c>
      <c r="E528" s="1" t="n">
        <v>46268</v>
      </c>
      <c r="F528" t="inlineStr">
        <is>
          <t>KALMAR LÄN</t>
        </is>
      </c>
      <c r="G528" t="inlineStr">
        <is>
          <t>NYBRO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45079</v>
      </c>
      <c r="E529" s="1" t="n">
        <v>46268</v>
      </c>
      <c r="F529" t="inlineStr">
        <is>
          <t>KALMAR LÄN</t>
        </is>
      </c>
      <c r="G529" t="inlineStr">
        <is>
          <t>NYBRO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46268</v>
      </c>
      <c r="F530" t="inlineStr">
        <is>
          <t>KALMAR LÄN</t>
        </is>
      </c>
      <c r="G530" t="inlineStr">
        <is>
          <t>NYBRO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45980</v>
      </c>
      <c r="E531" s="1" t="n">
        <v>46268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46268</v>
      </c>
      <c r="F532" t="inlineStr">
        <is>
          <t>KALMAR LÄN</t>
        </is>
      </c>
      <c r="G532" t="inlineStr">
        <is>
          <t>NYBRO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46139</v>
      </c>
      <c r="E533" s="1" t="n">
        <v>46268</v>
      </c>
      <c r="F533" t="inlineStr">
        <is>
          <t>KALMAR LÄN</t>
        </is>
      </c>
      <c r="G533" t="inlineStr">
        <is>
          <t>NYBRO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60706-2024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45644</v>
      </c>
      <c r="E534" s="1" t="n">
        <v>46268</v>
      </c>
      <c r="F534" t="inlineStr">
        <is>
          <t>KALMAR LÄN</t>
        </is>
      </c>
      <c r="G534" t="inlineStr">
        <is>
          <t>NYBRO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46268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45756</v>
      </c>
      <c r="E536" s="1" t="n">
        <v>46268</v>
      </c>
      <c r="F536" t="inlineStr">
        <is>
          <t>KALMAR LÄN</t>
        </is>
      </c>
      <c r="G536" t="inlineStr">
        <is>
          <t>NYBRO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45551</v>
      </c>
      <c r="E537" s="1" t="n">
        <v>46268</v>
      </c>
      <c r="F537" t="inlineStr">
        <is>
          <t>KALMAR LÄN</t>
        </is>
      </c>
      <c r="G537" t="inlineStr">
        <is>
          <t>NYBRO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47632-2025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45931</v>
      </c>
      <c r="E538" s="1" t="n">
        <v>46268</v>
      </c>
      <c r="F538" t="inlineStr">
        <is>
          <t>KALMAR LÄN</t>
        </is>
      </c>
      <c r="G538" t="inlineStr">
        <is>
          <t>NYBRO</t>
        </is>
      </c>
      <c r="H538" t="inlineStr">
        <is>
          <t>Kyrkan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46268</v>
      </c>
      <c r="F539" t="inlineStr">
        <is>
          <t>KALMAR LÄN</t>
        </is>
      </c>
      <c r="G539" t="inlineStr">
        <is>
          <t>NYBRO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44908</v>
      </c>
      <c r="E540" s="1" t="n">
        <v>46268</v>
      </c>
      <c r="F540" t="inlineStr">
        <is>
          <t>KALMAR LÄN</t>
        </is>
      </c>
      <c r="G540" t="inlineStr">
        <is>
          <t>NYBRO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42030-2024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45561</v>
      </c>
      <c r="E541" s="1" t="n">
        <v>46268</v>
      </c>
      <c r="F541" t="inlineStr">
        <is>
          <t>KALMAR LÄN</t>
        </is>
      </c>
      <c r="G541" t="inlineStr">
        <is>
          <t>NYBRO</t>
        </is>
      </c>
      <c r="H541" t="inlineStr">
        <is>
          <t>Kyrkan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10005-2024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45363</v>
      </c>
      <c r="E542" s="1" t="n">
        <v>46268</v>
      </c>
      <c r="F542" t="inlineStr">
        <is>
          <t>KALMAR LÄN</t>
        </is>
      </c>
      <c r="G542" t="inlineStr">
        <is>
          <t>NYBRO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23577-2023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45077</v>
      </c>
      <c r="E543" s="1" t="n">
        <v>46268</v>
      </c>
      <c r="F543" t="inlineStr">
        <is>
          <t>KALMAR LÄN</t>
        </is>
      </c>
      <c r="G543" t="inlineStr">
        <is>
          <t>NYBRO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46268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46268</v>
      </c>
      <c r="F545" t="inlineStr">
        <is>
          <t>KALMAR LÄN</t>
        </is>
      </c>
      <c r="G545" t="inlineStr">
        <is>
          <t>NYBRO</t>
        </is>
      </c>
      <c r="H545" t="inlineStr">
        <is>
          <t>Kyrkan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47627-2025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46268</v>
      </c>
      <c r="F546" t="inlineStr">
        <is>
          <t>KALMAR LÄN</t>
        </is>
      </c>
      <c r="G546" t="inlineStr">
        <is>
          <t>NYBRO</t>
        </is>
      </c>
      <c r="H546" t="inlineStr">
        <is>
          <t>Kyrkan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45078</v>
      </c>
      <c r="E547" s="1" t="n">
        <v>46268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45013</v>
      </c>
      <c r="E548" s="1" t="n">
        <v>46268</v>
      </c>
      <c r="F548" t="inlineStr">
        <is>
          <t>KALMAR LÄN</t>
        </is>
      </c>
      <c r="G548" t="inlineStr">
        <is>
          <t>NYBRO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46268</v>
      </c>
      <c r="F549" t="inlineStr">
        <is>
          <t>KALMAR LÄN</t>
        </is>
      </c>
      <c r="G549" t="inlineStr">
        <is>
          <t>NYBRO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50753-2025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45946</v>
      </c>
      <c r="E550" s="1" t="n">
        <v>46268</v>
      </c>
      <c r="F550" t="inlineStr">
        <is>
          <t>KALMAR LÄN</t>
        </is>
      </c>
      <c r="G550" t="inlineStr">
        <is>
          <t>NYBRO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46268</v>
      </c>
      <c r="F551" t="inlineStr">
        <is>
          <t>KALMAR LÄN</t>
        </is>
      </c>
      <c r="G551" t="inlineStr">
        <is>
          <t>NYBRO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44900</v>
      </c>
      <c r="E552" s="1" t="n">
        <v>46268</v>
      </c>
      <c r="F552" t="inlineStr">
        <is>
          <t>KALMAR LÄN</t>
        </is>
      </c>
      <c r="G552" t="inlineStr">
        <is>
          <t>NYBRO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45072</v>
      </c>
      <c r="E553" s="1" t="n">
        <v>46268</v>
      </c>
      <c r="F553" t="inlineStr">
        <is>
          <t>KALMAR LÄN</t>
        </is>
      </c>
      <c r="G553" t="inlineStr">
        <is>
          <t>NYBRO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52367-2021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44465</v>
      </c>
      <c r="E554" s="1" t="n">
        <v>46268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46268</v>
      </c>
      <c r="F555" t="inlineStr">
        <is>
          <t>KALMAR LÄN</t>
        </is>
      </c>
      <c r="G555" t="inlineStr">
        <is>
          <t>NYBRO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45407</v>
      </c>
      <c r="E556" s="1" t="n">
        <v>46268</v>
      </c>
      <c r="F556" t="inlineStr">
        <is>
          <t>KALMAR LÄN</t>
        </is>
      </c>
      <c r="G556" t="inlineStr">
        <is>
          <t>NYBRO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45975</v>
      </c>
      <c r="E557" s="1" t="n">
        <v>46268</v>
      </c>
      <c r="F557" t="inlineStr">
        <is>
          <t>KALMAR LÄN</t>
        </is>
      </c>
      <c r="G557" t="inlineStr">
        <is>
          <t>NYBRO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46268</v>
      </c>
      <c r="F558" t="inlineStr">
        <is>
          <t>KALMAR LÄN</t>
        </is>
      </c>
      <c r="G558" t="inlineStr">
        <is>
          <t>NYBRO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45713</v>
      </c>
      <c r="E559" s="1" t="n">
        <v>46268</v>
      </c>
      <c r="F559" t="inlineStr">
        <is>
          <t>KALMAR LÄN</t>
        </is>
      </c>
      <c r="G559" t="inlineStr">
        <is>
          <t>NYBRO</t>
        </is>
      </c>
      <c r="I559" t="n">
        <v>13.2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46268</v>
      </c>
      <c r="F560" t="inlineStr">
        <is>
          <t>KALMAR LÄN</t>
        </is>
      </c>
      <c r="G560" t="inlineStr">
        <is>
          <t>NYBRO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18586-2025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45763</v>
      </c>
      <c r="E561" s="1" t="n">
        <v>46268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46268</v>
      </c>
      <c r="F562" t="inlineStr">
        <is>
          <t>KALMAR LÄN</t>
        </is>
      </c>
      <c r="G562" t="inlineStr">
        <is>
          <t>NYBRO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39351-2024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45551</v>
      </c>
      <c r="E563" s="1" t="n">
        <v>46268</v>
      </c>
      <c r="F563" t="inlineStr">
        <is>
          <t>KALMAR LÄN</t>
        </is>
      </c>
      <c r="G563" t="inlineStr">
        <is>
          <t>NYBRO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51081-2022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44868</v>
      </c>
      <c r="E564" s="1" t="n">
        <v>46268</v>
      </c>
      <c r="F564" t="inlineStr">
        <is>
          <t>KALMAR LÄN</t>
        </is>
      </c>
      <c r="G564" t="inlineStr">
        <is>
          <t>NYBRO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45497-2024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45577</v>
      </c>
      <c r="E565" s="1" t="n">
        <v>46268</v>
      </c>
      <c r="F565" t="inlineStr">
        <is>
          <t>KALMAR LÄN</t>
        </is>
      </c>
      <c r="G565" t="inlineStr">
        <is>
          <t>NYBRO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45478</v>
      </c>
      <c r="E566" s="1" t="n">
        <v>46268</v>
      </c>
      <c r="F566" t="inlineStr">
        <is>
          <t>KALMAR LÄN</t>
        </is>
      </c>
      <c r="G566" t="inlineStr">
        <is>
          <t>NYBRO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46268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50561-2022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44866</v>
      </c>
      <c r="E568" s="1" t="n">
        <v>46268</v>
      </c>
      <c r="F568" t="inlineStr">
        <is>
          <t>KALMAR LÄN</t>
        </is>
      </c>
      <c r="G568" t="inlineStr">
        <is>
          <t>NYBRO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35635-2025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45859</v>
      </c>
      <c r="E569" s="1" t="n">
        <v>46268</v>
      </c>
      <c r="F569" t="inlineStr">
        <is>
          <t>KALMAR LÄN</t>
        </is>
      </c>
      <c r="G569" t="inlineStr">
        <is>
          <t>NYBRO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43909-2025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45914</v>
      </c>
      <c r="E570" s="1" t="n">
        <v>46268</v>
      </c>
      <c r="F570" t="inlineStr">
        <is>
          <t>KALMAR LÄN</t>
        </is>
      </c>
      <c r="G570" t="inlineStr">
        <is>
          <t>NYBRO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47616-2025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45930</v>
      </c>
      <c r="E571" s="1" t="n">
        <v>46268</v>
      </c>
      <c r="F571" t="inlineStr">
        <is>
          <t>KALMAR LÄN</t>
        </is>
      </c>
      <c r="G571" t="inlineStr">
        <is>
          <t>NYBRO</t>
        </is>
      </c>
      <c r="H571" t="inlineStr">
        <is>
          <t>Kyrkan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46024-2023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45196</v>
      </c>
      <c r="E572" s="1" t="n">
        <v>46268</v>
      </c>
      <c r="F572" t="inlineStr">
        <is>
          <t>KALMAR LÄN</t>
        </is>
      </c>
      <c r="G572" t="inlineStr">
        <is>
          <t>NYBRO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44779-2023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45190</v>
      </c>
      <c r="E573" s="1" t="n">
        <v>46268</v>
      </c>
      <c r="F573" t="inlineStr">
        <is>
          <t>KALMAR LÄN</t>
        </is>
      </c>
      <c r="G573" t="inlineStr">
        <is>
          <t>NYBRO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16530-2024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45408</v>
      </c>
      <c r="E574" s="1" t="n">
        <v>46268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45951</v>
      </c>
      <c r="E575" s="1" t="n">
        <v>46268</v>
      </c>
      <c r="F575" t="inlineStr">
        <is>
          <t>KALMAR LÄN</t>
        </is>
      </c>
      <c r="G575" t="inlineStr">
        <is>
          <t>NYBRO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35931-2025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45862</v>
      </c>
      <c r="E576" s="1" t="n">
        <v>46268</v>
      </c>
      <c r="F576" t="inlineStr">
        <is>
          <t>KALMAR LÄN</t>
        </is>
      </c>
      <c r="G576" t="inlineStr">
        <is>
          <t>NYBRO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54616-2025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45966</v>
      </c>
      <c r="E577" s="1" t="n">
        <v>46268</v>
      </c>
      <c r="F577" t="inlineStr">
        <is>
          <t>KALMAR LÄN</t>
        </is>
      </c>
      <c r="G577" t="inlineStr">
        <is>
          <t>NYBRO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10758-2024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45369</v>
      </c>
      <c r="E578" s="1" t="n">
        <v>46268</v>
      </c>
      <c r="F578" t="inlineStr">
        <is>
          <t>KALMAR LÄN</t>
        </is>
      </c>
      <c r="G578" t="inlineStr">
        <is>
          <t>NYBRO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45820</v>
      </c>
      <c r="E579" s="1" t="n">
        <v>46268</v>
      </c>
      <c r="F579" t="inlineStr">
        <is>
          <t>KALMAR LÄN</t>
        </is>
      </c>
      <c r="G579" t="inlineStr">
        <is>
          <t>NYBRO</t>
        </is>
      </c>
      <c r="H579" t="inlineStr">
        <is>
          <t>Sveaskog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46268</v>
      </c>
      <c r="F580" t="inlineStr">
        <is>
          <t>KALMAR LÄN</t>
        </is>
      </c>
      <c r="G580" t="inlineStr">
        <is>
          <t>NYBRO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44957</v>
      </c>
      <c r="E581" s="1" t="n">
        <v>46268</v>
      </c>
      <c r="F581" t="inlineStr">
        <is>
          <t>KALMAR LÄN</t>
        </is>
      </c>
      <c r="G581" t="inlineStr">
        <is>
          <t>NYBRO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46268</v>
      </c>
      <c r="F582" t="inlineStr">
        <is>
          <t>KALMAR LÄN</t>
        </is>
      </c>
      <c r="G582" t="inlineStr">
        <is>
          <t>NYBRO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46268</v>
      </c>
      <c r="F583" t="inlineStr">
        <is>
          <t>KALMAR LÄN</t>
        </is>
      </c>
      <c r="G583" t="inlineStr">
        <is>
          <t>NYBRO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45695</v>
      </c>
      <c r="E584" s="1" t="n">
        <v>46268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45013</v>
      </c>
      <c r="E585" s="1" t="n">
        <v>46268</v>
      </c>
      <c r="F585" t="inlineStr">
        <is>
          <t>KALMAR LÄN</t>
        </is>
      </c>
      <c r="G585" t="inlineStr">
        <is>
          <t>NYBRO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38780-2025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46268</v>
      </c>
      <c r="F586" t="inlineStr">
        <is>
          <t>KALMAR LÄN</t>
        </is>
      </c>
      <c r="G586" t="inlineStr">
        <is>
          <t>NYBRO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46268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45534</v>
      </c>
      <c r="E588" s="1" t="n">
        <v>46268</v>
      </c>
      <c r="F588" t="inlineStr">
        <is>
          <t>KALMAR LÄN</t>
        </is>
      </c>
      <c r="G588" t="inlineStr">
        <is>
          <t>NYBRO</t>
        </is>
      </c>
      <c r="I588" t="n">
        <v>13.2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45552</v>
      </c>
      <c r="E589" s="1" t="n">
        <v>46268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45327</v>
      </c>
      <c r="E590" s="1" t="n">
        <v>46268</v>
      </c>
      <c r="F590" t="inlineStr">
        <is>
          <t>KALMAR LÄN</t>
        </is>
      </c>
      <c r="G590" t="inlineStr">
        <is>
          <t>NYBRO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46268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46268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14061-2024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45392</v>
      </c>
      <c r="E593" s="1" t="n">
        <v>46268</v>
      </c>
      <c r="F593" t="inlineStr">
        <is>
          <t>KALMAR LÄN</t>
        </is>
      </c>
      <c r="G593" t="inlineStr">
        <is>
          <t>NYBRO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36108-2023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45149</v>
      </c>
      <c r="E594" s="1" t="n">
        <v>46268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21388-2024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45440</v>
      </c>
      <c r="E595" s="1" t="n">
        <v>46268</v>
      </c>
      <c r="F595" t="inlineStr">
        <is>
          <t>KALMAR LÄN</t>
        </is>
      </c>
      <c r="G595" t="inlineStr">
        <is>
          <t>NYBRO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24452-2023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45082</v>
      </c>
      <c r="E596" s="1" t="n">
        <v>46268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46268</v>
      </c>
      <c r="F597" t="inlineStr">
        <is>
          <t>KALMAR LÄN</t>
        </is>
      </c>
      <c r="G597" t="inlineStr">
        <is>
          <t>NYBRO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26422-2023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45092</v>
      </c>
      <c r="E598" s="1" t="n">
        <v>46268</v>
      </c>
      <c r="F598" t="inlineStr">
        <is>
          <t>KALMAR LÄN</t>
        </is>
      </c>
      <c r="G598" t="inlineStr">
        <is>
          <t>NYBRO</t>
        </is>
      </c>
      <c r="H598" t="inlineStr">
        <is>
          <t>Kommuner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12407-2023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44999</v>
      </c>
      <c r="E599" s="1" t="n">
        <v>46268</v>
      </c>
      <c r="F599" t="inlineStr">
        <is>
          <t>KALMAR LÄN</t>
        </is>
      </c>
      <c r="G599" t="inlineStr">
        <is>
          <t>NYBRO</t>
        </is>
      </c>
      <c r="I599" t="n">
        <v>16.5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46268</v>
      </c>
      <c r="F600" t="inlineStr">
        <is>
          <t>KALMAR LÄN</t>
        </is>
      </c>
      <c r="G600" t="inlineStr">
        <is>
          <t>NYBRO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46268</v>
      </c>
      <c r="F601" t="inlineStr">
        <is>
          <t>KALMAR LÄN</t>
        </is>
      </c>
      <c r="G601" t="inlineStr">
        <is>
          <t>NYBRO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44920-2024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45575</v>
      </c>
      <c r="E602" s="1" t="n">
        <v>46268</v>
      </c>
      <c r="F602" t="inlineStr">
        <is>
          <t>KALMAR LÄN</t>
        </is>
      </c>
      <c r="G602" t="inlineStr">
        <is>
          <t>NYBRO</t>
        </is>
      </c>
      <c r="I602" t="n">
        <v>8.199999999999999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22873-2023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45072</v>
      </c>
      <c r="E603" s="1" t="n">
        <v>46268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15830-2023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45022</v>
      </c>
      <c r="E604" s="1" t="n">
        <v>46268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46268</v>
      </c>
      <c r="F605" t="inlineStr">
        <is>
          <t>KALMAR LÄN</t>
        </is>
      </c>
      <c r="G605" t="inlineStr">
        <is>
          <t>NYBRO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44959</v>
      </c>
      <c r="E606" s="1" t="n">
        <v>46268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44395-2022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46268</v>
      </c>
      <c r="F607" t="inlineStr">
        <is>
          <t>KALMAR LÄN</t>
        </is>
      </c>
      <c r="G607" t="inlineStr">
        <is>
          <t>NYBRO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10739-2024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45369</v>
      </c>
      <c r="E608" s="1" t="n">
        <v>46268</v>
      </c>
      <c r="F608" t="inlineStr">
        <is>
          <t>KALMAR LÄN</t>
        </is>
      </c>
      <c r="G608" t="inlineStr">
        <is>
          <t>NYBRO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46268</v>
      </c>
      <c r="F609" t="inlineStr">
        <is>
          <t>KALMAR LÄN</t>
        </is>
      </c>
      <c r="G609" t="inlineStr">
        <is>
          <t>NYBRO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46268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26729-2023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46268</v>
      </c>
      <c r="F611" t="inlineStr">
        <is>
          <t>KALMAR LÄN</t>
        </is>
      </c>
      <c r="G611" t="inlineStr">
        <is>
          <t>NYBRO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45463</v>
      </c>
      <c r="E612" s="1" t="n">
        <v>46268</v>
      </c>
      <c r="F612" t="inlineStr">
        <is>
          <t>KALMAR LÄN</t>
        </is>
      </c>
      <c r="G612" t="inlineStr">
        <is>
          <t>NYBRO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45093</v>
      </c>
      <c r="E613" s="1" t="n">
        <v>46268</v>
      </c>
      <c r="F613" t="inlineStr">
        <is>
          <t>KALMAR LÄN</t>
        </is>
      </c>
      <c r="G613" t="inlineStr">
        <is>
          <t>NYBRO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32660-2023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46268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45561</v>
      </c>
      <c r="E615" s="1" t="n">
        <v>46268</v>
      </c>
      <c r="F615" t="inlineStr">
        <is>
          <t>KALMAR LÄN</t>
        </is>
      </c>
      <c r="G615" t="inlineStr">
        <is>
          <t>NYBRO</t>
        </is>
      </c>
      <c r="H615" t="inlineStr">
        <is>
          <t>Kyrkan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41993-2024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45561</v>
      </c>
      <c r="E616" s="1" t="n">
        <v>46268</v>
      </c>
      <c r="F616" t="inlineStr">
        <is>
          <t>KALMAR LÄN</t>
        </is>
      </c>
      <c r="G616" t="inlineStr">
        <is>
          <t>NYBRO</t>
        </is>
      </c>
      <c r="H616" t="inlineStr">
        <is>
          <t>Kyrkan</t>
        </is>
      </c>
      <c r="I616" t="n">
        <v>9.800000000000001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22575-2026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46268</v>
      </c>
      <c r="F617" t="inlineStr">
        <is>
          <t>KALMAR LÄN</t>
        </is>
      </c>
      <c r="G617" t="inlineStr">
        <is>
          <t>NYBRO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46268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28145-2022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44746</v>
      </c>
      <c r="E619" s="1" t="n">
        <v>46268</v>
      </c>
      <c r="F619" t="inlineStr">
        <is>
          <t>KALMAR LÄN</t>
        </is>
      </c>
      <c r="G619" t="inlineStr">
        <is>
          <t>NYBRO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45439</v>
      </c>
      <c r="E620" s="1" t="n">
        <v>46268</v>
      </c>
      <c r="F620" t="inlineStr">
        <is>
          <t>KALMAR LÄN</t>
        </is>
      </c>
      <c r="G620" t="inlineStr">
        <is>
          <t>NYBRO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23926-2023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46268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46268</v>
      </c>
      <c r="F622" t="inlineStr">
        <is>
          <t>KALMAR LÄN</t>
        </is>
      </c>
      <c r="G622" t="inlineStr">
        <is>
          <t>NYBRO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40193-2025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45894</v>
      </c>
      <c r="E623" s="1" t="n">
        <v>46268</v>
      </c>
      <c r="F623" t="inlineStr">
        <is>
          <t>KALMAR LÄN</t>
        </is>
      </c>
      <c r="G623" t="inlineStr">
        <is>
          <t>NYBRO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22872-2026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46160</v>
      </c>
      <c r="E624" s="1" t="n">
        <v>46268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22429-2023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45070</v>
      </c>
      <c r="E625" s="1" t="n">
        <v>46268</v>
      </c>
      <c r="F625" t="inlineStr">
        <is>
          <t>KALMAR LÄN</t>
        </is>
      </c>
      <c r="G625" t="inlineStr">
        <is>
          <t>NYBRO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57818-2023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45244</v>
      </c>
      <c r="E626" s="1" t="n">
        <v>46268</v>
      </c>
      <c r="F626" t="inlineStr">
        <is>
          <t>KALMAR LÄN</t>
        </is>
      </c>
      <c r="G626" t="inlineStr">
        <is>
          <t>NYBRO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54051-2022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46268</v>
      </c>
      <c r="F627" t="inlineStr">
        <is>
          <t>KALMAR LÄN</t>
        </is>
      </c>
      <c r="G627" t="inlineStr">
        <is>
          <t>NYBRO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14223-2025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45740</v>
      </c>
      <c r="E628" s="1" t="n">
        <v>46268</v>
      </c>
      <c r="F628" t="inlineStr">
        <is>
          <t>KALMAR LÄN</t>
        </is>
      </c>
      <c r="G628" t="inlineStr">
        <is>
          <t>NYBRO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52311-2022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44873</v>
      </c>
      <c r="E629" s="1" t="n">
        <v>46268</v>
      </c>
      <c r="F629" t="inlineStr">
        <is>
          <t>KALMAR LÄN</t>
        </is>
      </c>
      <c r="G629" t="inlineStr">
        <is>
          <t>NYBRO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24689-2023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45084</v>
      </c>
      <c r="E630" s="1" t="n">
        <v>46268</v>
      </c>
      <c r="F630" t="inlineStr">
        <is>
          <t>KALMAR LÄN</t>
        </is>
      </c>
      <c r="G630" t="inlineStr">
        <is>
          <t>NYBRO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44973</v>
      </c>
      <c r="E631" s="1" t="n">
        <v>46268</v>
      </c>
      <c r="F631" t="inlineStr">
        <is>
          <t>KALMAR LÄN</t>
        </is>
      </c>
      <c r="G631" t="inlineStr">
        <is>
          <t>NYBRO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45442</v>
      </c>
      <c r="E632" s="1" t="n">
        <v>46268</v>
      </c>
      <c r="F632" t="inlineStr">
        <is>
          <t>KALMAR LÄN</t>
        </is>
      </c>
      <c r="G632" t="inlineStr">
        <is>
          <t>NYBRO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45336</v>
      </c>
      <c r="E633" s="1" t="n">
        <v>46268</v>
      </c>
      <c r="F633" t="inlineStr">
        <is>
          <t>KALMAR LÄN</t>
        </is>
      </c>
      <c r="G633" t="inlineStr">
        <is>
          <t>NYBRO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45412-2022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44844</v>
      </c>
      <c r="E634" s="1" t="n">
        <v>46268</v>
      </c>
      <c r="F634" t="inlineStr">
        <is>
          <t>KALMAR LÄN</t>
        </is>
      </c>
      <c r="G634" t="inlineStr">
        <is>
          <t>NYBRO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45079</v>
      </c>
      <c r="E635" s="1" t="n">
        <v>46268</v>
      </c>
      <c r="F635" t="inlineStr">
        <is>
          <t>KALMAR LÄN</t>
        </is>
      </c>
      <c r="G635" t="inlineStr">
        <is>
          <t>NYBRO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45315</v>
      </c>
      <c r="E636" s="1" t="n">
        <v>46268</v>
      </c>
      <c r="F636" t="inlineStr">
        <is>
          <t>KALMAR LÄN</t>
        </is>
      </c>
      <c r="G636" t="inlineStr">
        <is>
          <t>NYBRO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6544-2024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45341</v>
      </c>
      <c r="E637" s="1" t="n">
        <v>46268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46268</v>
      </c>
      <c r="F638" t="inlineStr">
        <is>
          <t>KALMAR LÄN</t>
        </is>
      </c>
      <c r="G638" t="inlineStr">
        <is>
          <t>NYBRO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31917-2024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45510</v>
      </c>
      <c r="E639" s="1" t="n">
        <v>46268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22488-2022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44713</v>
      </c>
      <c r="E640" s="1" t="n">
        <v>46268</v>
      </c>
      <c r="F640" t="inlineStr">
        <is>
          <t>KALMAR LÄN</t>
        </is>
      </c>
      <c r="G640" t="inlineStr">
        <is>
          <t>NYBRO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24040-2026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46268</v>
      </c>
      <c r="F641" t="inlineStr">
        <is>
          <t>KALMAR LÄN</t>
        </is>
      </c>
      <c r="G641" t="inlineStr">
        <is>
          <t>NYBRO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45367</v>
      </c>
      <c r="E642" s="1" t="n">
        <v>46268</v>
      </c>
      <c r="F642" t="inlineStr">
        <is>
          <t>KALMAR LÄN</t>
        </is>
      </c>
      <c r="G642" t="inlineStr">
        <is>
          <t>NYBRO</t>
        </is>
      </c>
      <c r="I642" t="n">
        <v>10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58551-2024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45635</v>
      </c>
      <c r="E643" s="1" t="n">
        <v>46268</v>
      </c>
      <c r="F643" t="inlineStr">
        <is>
          <t>KALMAR LÄN</t>
        </is>
      </c>
      <c r="G643" t="inlineStr">
        <is>
          <t>NYBRO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45475</v>
      </c>
      <c r="E644" s="1" t="n">
        <v>46268</v>
      </c>
      <c r="F644" t="inlineStr">
        <is>
          <t>KALMAR LÄN</t>
        </is>
      </c>
      <c r="G644" t="inlineStr">
        <is>
          <t>NYBRO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45475</v>
      </c>
      <c r="E645" s="1" t="n">
        <v>46268</v>
      </c>
      <c r="F645" t="inlineStr">
        <is>
          <t>KALMAR LÄN</t>
        </is>
      </c>
      <c r="G645" t="inlineStr">
        <is>
          <t>NYBRO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40902-2022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44825</v>
      </c>
      <c r="E646" s="1" t="n">
        <v>46268</v>
      </c>
      <c r="F646" t="inlineStr">
        <is>
          <t>KALMAR LÄN</t>
        </is>
      </c>
      <c r="G646" t="inlineStr">
        <is>
          <t>NYBRO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45666</v>
      </c>
      <c r="E647" s="1" t="n">
        <v>46268</v>
      </c>
      <c r="F647" t="inlineStr">
        <is>
          <t>KALMAR LÄN</t>
        </is>
      </c>
      <c r="G647" t="inlineStr">
        <is>
          <t>NYBRO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61060-2021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44497</v>
      </c>
      <c r="E648" s="1" t="n">
        <v>46268</v>
      </c>
      <c r="F648" t="inlineStr">
        <is>
          <t>KALMAR LÄN</t>
        </is>
      </c>
      <c r="G648" t="inlineStr">
        <is>
          <t>NYBRO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45554</v>
      </c>
      <c r="E649" s="1" t="n">
        <v>46268</v>
      </c>
      <c r="F649" t="inlineStr">
        <is>
          <t>KALMAR LÄN</t>
        </is>
      </c>
      <c r="G649" t="inlineStr">
        <is>
          <t>NYBRO</t>
        </is>
      </c>
      <c r="H649" t="inlineStr">
        <is>
          <t>Kyrkan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1535-2025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45670</v>
      </c>
      <c r="E650" s="1" t="n">
        <v>46268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23255-2023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45071</v>
      </c>
      <c r="E651" s="1" t="n">
        <v>46268</v>
      </c>
      <c r="F651" t="inlineStr">
        <is>
          <t>KALMAR LÄN</t>
        </is>
      </c>
      <c r="G651" t="inlineStr">
        <is>
          <t>NYBRO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45117</v>
      </c>
      <c r="E652" s="1" t="n">
        <v>46268</v>
      </c>
      <c r="F652" t="inlineStr">
        <is>
          <t>KALMAR LÄN</t>
        </is>
      </c>
      <c r="G652" t="inlineStr">
        <is>
          <t>NYBRO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8697-2024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45356</v>
      </c>
      <c r="E653" s="1" t="n">
        <v>46268</v>
      </c>
      <c r="F653" t="inlineStr">
        <is>
          <t>KALMAR LÄN</t>
        </is>
      </c>
      <c r="G653" t="inlineStr">
        <is>
          <t>NYBRO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41632-2023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45175</v>
      </c>
      <c r="E654" s="1" t="n">
        <v>46268</v>
      </c>
      <c r="F654" t="inlineStr">
        <is>
          <t>KALMAR LÄN</t>
        </is>
      </c>
      <c r="G654" t="inlineStr">
        <is>
          <t>NYBRO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44953</v>
      </c>
      <c r="E655" s="1" t="n">
        <v>46268</v>
      </c>
      <c r="F655" t="inlineStr">
        <is>
          <t>KALMAR LÄN</t>
        </is>
      </c>
      <c r="G655" t="inlineStr">
        <is>
          <t>NYBRO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25131-2026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46175</v>
      </c>
      <c r="E656" s="1" t="n">
        <v>46268</v>
      </c>
      <c r="F656" t="inlineStr">
        <is>
          <t>KALMAR LÄN</t>
        </is>
      </c>
      <c r="G656" t="inlineStr">
        <is>
          <t>NYBRO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5766-2024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45335</v>
      </c>
      <c r="E657" s="1" t="n">
        <v>46268</v>
      </c>
      <c r="F657" t="inlineStr">
        <is>
          <t>KALMAR LÄN</t>
        </is>
      </c>
      <c r="G657" t="inlineStr">
        <is>
          <t>NYBRO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45335</v>
      </c>
      <c r="E658" s="1" t="n">
        <v>46268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50905-2023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45218</v>
      </c>
      <c r="E659" s="1" t="n">
        <v>46268</v>
      </c>
      <c r="F659" t="inlineStr">
        <is>
          <t>KALMAR LÄN</t>
        </is>
      </c>
      <c r="G659" t="inlineStr">
        <is>
          <t>NYBRO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25143-2026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46175</v>
      </c>
      <c r="E660" s="1" t="n">
        <v>46268</v>
      </c>
      <c r="F660" t="inlineStr">
        <is>
          <t>KALMAR LÄN</t>
        </is>
      </c>
      <c r="G660" t="inlineStr">
        <is>
          <t>NYBRO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46268</v>
      </c>
      <c r="F661" t="inlineStr">
        <is>
          <t>KALMAR LÄN</t>
        </is>
      </c>
      <c r="G661" t="inlineStr">
        <is>
          <t>NYBRO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23824-2023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45078</v>
      </c>
      <c r="E662" s="1" t="n">
        <v>46268</v>
      </c>
      <c r="F662" t="inlineStr">
        <is>
          <t>KALMAR LÄN</t>
        </is>
      </c>
      <c r="G662" t="inlineStr">
        <is>
          <t>NYBRO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38814-2022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44816</v>
      </c>
      <c r="E663" s="1" t="n">
        <v>46268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24614-2026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46169</v>
      </c>
      <c r="E664" s="1" t="n">
        <v>46268</v>
      </c>
      <c r="F664" t="inlineStr">
        <is>
          <t>KALMAR LÄN</t>
        </is>
      </c>
      <c r="G664" t="inlineStr">
        <is>
          <t>NYBRO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44928</v>
      </c>
      <c r="E665" s="1" t="n">
        <v>46268</v>
      </c>
      <c r="F665" t="inlineStr">
        <is>
          <t>KALMAR LÄN</t>
        </is>
      </c>
      <c r="G665" t="inlineStr">
        <is>
          <t>NYBRO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25717-2026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46178</v>
      </c>
      <c r="E666" s="1" t="n">
        <v>46268</v>
      </c>
      <c r="F666" t="inlineStr">
        <is>
          <t>KALMAR LÄN</t>
        </is>
      </c>
      <c r="G666" t="inlineStr">
        <is>
          <t>NYBRO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17409-2024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45414</v>
      </c>
      <c r="E667" s="1" t="n">
        <v>46268</v>
      </c>
      <c r="F667" t="inlineStr">
        <is>
          <t>KALMAR LÄN</t>
        </is>
      </c>
      <c r="G667" t="inlineStr">
        <is>
          <t>NYBRO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22489-2022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44713</v>
      </c>
      <c r="E668" s="1" t="n">
        <v>46268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46268</v>
      </c>
      <c r="F669" t="inlineStr">
        <is>
          <t>KALMAR LÄN</t>
        </is>
      </c>
      <c r="G669" t="inlineStr">
        <is>
          <t>NYBRO</t>
        </is>
      </c>
      <c r="H669" t="inlineStr">
        <is>
          <t>Kyrkan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46268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25714-2026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46178</v>
      </c>
      <c r="E671" s="1" t="n">
        <v>46268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13058-2024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46268</v>
      </c>
      <c r="F672" t="inlineStr">
        <is>
          <t>KALMAR LÄN</t>
        </is>
      </c>
      <c r="G672" t="inlineStr">
        <is>
          <t>NYBRO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56143-2022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44889</v>
      </c>
      <c r="E673" s="1" t="n">
        <v>46268</v>
      </c>
      <c r="F673" t="inlineStr">
        <is>
          <t>KALMAR LÄN</t>
        </is>
      </c>
      <c r="G673" t="inlineStr">
        <is>
          <t>NYBRO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30442-2023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45111</v>
      </c>
      <c r="E674" s="1" t="n">
        <v>46268</v>
      </c>
      <c r="F674" t="inlineStr">
        <is>
          <t>KALMAR LÄN</t>
        </is>
      </c>
      <c r="G674" t="inlineStr">
        <is>
          <t>NYBRO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45131</v>
      </c>
      <c r="E675" s="1" t="n">
        <v>46268</v>
      </c>
      <c r="F675" t="inlineStr">
        <is>
          <t>KALMAR LÄN</t>
        </is>
      </c>
      <c r="G675" t="inlineStr">
        <is>
          <t>NYBRO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26208-2026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46182</v>
      </c>
      <c r="E676" s="1" t="n">
        <v>46268</v>
      </c>
      <c r="F676" t="inlineStr">
        <is>
          <t>KALMAR LÄN</t>
        </is>
      </c>
      <c r="G676" t="inlineStr">
        <is>
          <t>NYBRO</t>
        </is>
      </c>
      <c r="H676" t="inlineStr">
        <is>
          <t>Kommuner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44756</v>
      </c>
      <c r="E677" s="1" t="n">
        <v>46268</v>
      </c>
      <c r="F677" t="inlineStr">
        <is>
          <t>KALMAR LÄN</t>
        </is>
      </c>
      <c r="G677" t="inlineStr">
        <is>
          <t>NYBRO</t>
        </is>
      </c>
      <c r="H677" t="inlineStr">
        <is>
          <t>Kyrkan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45063</v>
      </c>
      <c r="E678" s="1" t="n">
        <v>46268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52382-2022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44874</v>
      </c>
      <c r="E679" s="1" t="n">
        <v>46268</v>
      </c>
      <c r="F679" t="inlineStr">
        <is>
          <t>KALMAR LÄN</t>
        </is>
      </c>
      <c r="G679" t="inlineStr">
        <is>
          <t>NYBRO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46184</v>
      </c>
      <c r="E680" s="1" t="n">
        <v>46268</v>
      </c>
      <c r="F680" t="inlineStr">
        <is>
          <t>KALMAR LÄN</t>
        </is>
      </c>
      <c r="G680" t="inlineStr">
        <is>
          <t>NYBRO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31948-2023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45119</v>
      </c>
      <c r="E681" s="1" t="n">
        <v>46268</v>
      </c>
      <c r="F681" t="inlineStr">
        <is>
          <t>KALMAR LÄN</t>
        </is>
      </c>
      <c r="G681" t="inlineStr">
        <is>
          <t>NYBRO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27138-2026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46268</v>
      </c>
      <c r="F682" t="inlineStr">
        <is>
          <t>KALMAR LÄN</t>
        </is>
      </c>
      <c r="G682" t="inlineStr">
        <is>
          <t>NYBRO</t>
        </is>
      </c>
      <c r="I682" t="n">
        <v>15.9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17157-2022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44677</v>
      </c>
      <c r="E683" s="1" t="n">
        <v>46268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46268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45301</v>
      </c>
      <c r="E685" s="1" t="n">
        <v>46268</v>
      </c>
      <c r="F685" t="inlineStr">
        <is>
          <t>KALMAR LÄN</t>
        </is>
      </c>
      <c r="G685" t="inlineStr">
        <is>
          <t>NYBRO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867-2024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45301</v>
      </c>
      <c r="E686" s="1" t="n">
        <v>46268</v>
      </c>
      <c r="F686" t="inlineStr">
        <is>
          <t>KALMAR LÄN</t>
        </is>
      </c>
      <c r="G686" t="inlineStr">
        <is>
          <t>NYBRO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32264-2024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45512</v>
      </c>
      <c r="E687" s="1" t="n">
        <v>46268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27419-2022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44742</v>
      </c>
      <c r="E688" s="1" t="n">
        <v>46268</v>
      </c>
      <c r="F688" t="inlineStr">
        <is>
          <t>KALMAR LÄN</t>
        </is>
      </c>
      <c r="G688" t="inlineStr">
        <is>
          <t>NYBRO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27683-2026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46268</v>
      </c>
      <c r="F689" t="inlineStr">
        <is>
          <t>KALMAR LÄN</t>
        </is>
      </c>
      <c r="G689" t="inlineStr">
        <is>
          <t>NYBRO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9520-2024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45359</v>
      </c>
      <c r="E690" s="1" t="n">
        <v>46268</v>
      </c>
      <c r="F690" t="inlineStr">
        <is>
          <t>KALMAR LÄN</t>
        </is>
      </c>
      <c r="G690" t="inlineStr">
        <is>
          <t>NYBRO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27673-2026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46190</v>
      </c>
      <c r="E691" s="1" t="n">
        <v>46268</v>
      </c>
      <c r="F691" t="inlineStr">
        <is>
          <t>KALMAR LÄN</t>
        </is>
      </c>
      <c r="G691" t="inlineStr">
        <is>
          <t>NYBRO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44713</v>
      </c>
      <c r="E692" s="1" t="n">
        <v>46268</v>
      </c>
      <c r="F692" t="inlineStr">
        <is>
          <t>KALMAR LÄN</t>
        </is>
      </c>
      <c r="G692" t="inlineStr">
        <is>
          <t>NYBRO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45096</v>
      </c>
      <c r="E693" s="1" t="n">
        <v>46268</v>
      </c>
      <c r="F693" t="inlineStr">
        <is>
          <t>KALMAR LÄN</t>
        </is>
      </c>
      <c r="G693" t="inlineStr">
        <is>
          <t>NYBRO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48312-2024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45590</v>
      </c>
      <c r="E694" s="1" t="n">
        <v>46268</v>
      </c>
      <c r="F694" t="inlineStr">
        <is>
          <t>KALMAR LÄN</t>
        </is>
      </c>
      <c r="G694" t="inlineStr">
        <is>
          <t>NYBRO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35406-2022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44798</v>
      </c>
      <c r="E695" s="1" t="n">
        <v>46268</v>
      </c>
      <c r="F695" t="inlineStr">
        <is>
          <t>KALMAR LÄN</t>
        </is>
      </c>
      <c r="G695" t="inlineStr">
        <is>
          <t>NYBRO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4863-2022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44593</v>
      </c>
      <c r="E696" s="1" t="n">
        <v>46268</v>
      </c>
      <c r="F696" t="inlineStr">
        <is>
          <t>KALMAR LÄN</t>
        </is>
      </c>
      <c r="G696" t="inlineStr">
        <is>
          <t>NYBRO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27997-2023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45098</v>
      </c>
      <c r="E697" s="1" t="n">
        <v>46268</v>
      </c>
      <c r="F697" t="inlineStr">
        <is>
          <t>KALMAR LÄN</t>
        </is>
      </c>
      <c r="G697" t="inlineStr">
        <is>
          <t>NYBRO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14057-2024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45392</v>
      </c>
      <c r="E698" s="1" t="n">
        <v>46268</v>
      </c>
      <c r="F698" t="inlineStr">
        <is>
          <t>KALMAR LÄN</t>
        </is>
      </c>
      <c r="G698" t="inlineStr">
        <is>
          <t>NYBRO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28164-2022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44746</v>
      </c>
      <c r="E699" s="1" t="n">
        <v>46268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20386-2023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45056</v>
      </c>
      <c r="E700" s="1" t="n">
        <v>46268</v>
      </c>
      <c r="F700" t="inlineStr">
        <is>
          <t>KALMAR LÄN</t>
        </is>
      </c>
      <c r="G700" t="inlineStr">
        <is>
          <t>NYBRO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31799-2023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45118</v>
      </c>
      <c r="E701" s="1" t="n">
        <v>46268</v>
      </c>
      <c r="F701" t="inlineStr">
        <is>
          <t>KALMAR LÄN</t>
        </is>
      </c>
      <c r="G701" t="inlineStr">
        <is>
          <t>NYBRO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32397-2026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46238</v>
      </c>
      <c r="E702" s="1" t="n">
        <v>46268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46268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46268</v>
      </c>
      <c r="F704" t="inlineStr">
        <is>
          <t>KALMAR LÄN</t>
        </is>
      </c>
      <c r="G704" t="inlineStr">
        <is>
          <t>NYBRO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44827</v>
      </c>
      <c r="E705" s="1" t="n">
        <v>46268</v>
      </c>
      <c r="F705" t="inlineStr">
        <is>
          <t>KALMAR LÄN</t>
        </is>
      </c>
      <c r="G705" t="inlineStr">
        <is>
          <t>NYBRO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46268</v>
      </c>
      <c r="F706" t="inlineStr">
        <is>
          <t>KALMAR LÄN</t>
        </is>
      </c>
      <c r="G706" t="inlineStr">
        <is>
          <t>NYBRO</t>
        </is>
      </c>
      <c r="H706" t="inlineStr">
        <is>
          <t>Sveaskog</t>
        </is>
      </c>
      <c r="I706" t="n">
        <v>10.3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45016</v>
      </c>
      <c r="E707" s="1" t="n">
        <v>46268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41060-2022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44825</v>
      </c>
      <c r="E708" s="1" t="n">
        <v>46268</v>
      </c>
      <c r="F708" t="inlineStr">
        <is>
          <t>KALMAR LÄN</t>
        </is>
      </c>
      <c r="G708" t="inlineStr">
        <is>
          <t>NYBRO</t>
        </is>
      </c>
      <c r="I708" t="n">
        <v>18.6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46268</v>
      </c>
      <c r="F709" t="inlineStr">
        <is>
          <t>KALMAR LÄN</t>
        </is>
      </c>
      <c r="G709" t="inlineStr">
        <is>
          <t>NYBRO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46268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28436-2026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46268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46268</v>
      </c>
      <c r="F712" t="inlineStr">
        <is>
          <t>KALMAR LÄN</t>
        </is>
      </c>
      <c r="G712" t="inlineStr">
        <is>
          <t>NYBRO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28791-2026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46268</v>
      </c>
      <c r="F713" t="inlineStr">
        <is>
          <t>KALMAR LÄN</t>
        </is>
      </c>
      <c r="G713" t="inlineStr">
        <is>
          <t>NYBRO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57823-2023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45244</v>
      </c>
      <c r="E714" s="1" t="n">
        <v>46268</v>
      </c>
      <c r="F714" t="inlineStr">
        <is>
          <t>KALMAR LÄN</t>
        </is>
      </c>
      <c r="G714" t="inlineStr">
        <is>
          <t>NYBRO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49340-2023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45211</v>
      </c>
      <c r="E715" s="1" t="n">
        <v>46268</v>
      </c>
      <c r="F715" t="inlineStr">
        <is>
          <t>KALMAR LÄN</t>
        </is>
      </c>
      <c r="G715" t="inlineStr">
        <is>
          <t>NYBRO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32788-2026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46241</v>
      </c>
      <c r="E716" s="1" t="n">
        <v>46268</v>
      </c>
      <c r="F716" t="inlineStr">
        <is>
          <t>KALMAR LÄN</t>
        </is>
      </c>
      <c r="G716" t="inlineStr">
        <is>
          <t>NYBRO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45367</v>
      </c>
      <c r="E717" s="1" t="n">
        <v>46268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22877-2023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45072</v>
      </c>
      <c r="E718" s="1" t="n">
        <v>46268</v>
      </c>
      <c r="F718" t="inlineStr">
        <is>
          <t>KALMAR LÄN</t>
        </is>
      </c>
      <c r="G718" t="inlineStr">
        <is>
          <t>NYBRO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57809-2023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45244</v>
      </c>
      <c r="E719" s="1" t="n">
        <v>46268</v>
      </c>
      <c r="F719" t="inlineStr">
        <is>
          <t>KALMAR LÄN</t>
        </is>
      </c>
      <c r="G719" t="inlineStr">
        <is>
          <t>NYBRO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44999</v>
      </c>
      <c r="E720" s="1" t="n">
        <v>46268</v>
      </c>
      <c r="F720" t="inlineStr">
        <is>
          <t>KALMAR LÄN</t>
        </is>
      </c>
      <c r="G720" t="inlineStr">
        <is>
          <t>NYBRO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44030-2023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45188</v>
      </c>
      <c r="E721" s="1" t="n">
        <v>46268</v>
      </c>
      <c r="F721" t="inlineStr">
        <is>
          <t>KALMAR LÄN</t>
        </is>
      </c>
      <c r="G721" t="inlineStr">
        <is>
          <t>NYBRO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28927-2026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46268</v>
      </c>
      <c r="F722" t="inlineStr">
        <is>
          <t>KALMAR LÄN</t>
        </is>
      </c>
      <c r="G722" t="inlineStr">
        <is>
          <t>NYBRO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33254-2026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46246</v>
      </c>
      <c r="E723" s="1" t="n">
        <v>46268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46246</v>
      </c>
      <c r="E724" s="1" t="n">
        <v>46268</v>
      </c>
      <c r="F724" t="inlineStr">
        <is>
          <t>KALMAR LÄN</t>
        </is>
      </c>
      <c r="G724" t="inlineStr">
        <is>
          <t>NYBRO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6896-2024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45342</v>
      </c>
      <c r="E725" s="1" t="n">
        <v>46268</v>
      </c>
      <c r="F725" t="inlineStr">
        <is>
          <t>KALMAR LÄN</t>
        </is>
      </c>
      <c r="G725" t="inlineStr">
        <is>
          <t>NYBRO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33257-2026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46268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61499-2022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44910</v>
      </c>
      <c r="E727" s="1" t="n">
        <v>46268</v>
      </c>
      <c r="F727" t="inlineStr">
        <is>
          <t>KALMAR LÄN</t>
        </is>
      </c>
      <c r="G727" t="inlineStr">
        <is>
          <t>NYBRO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37462-2023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45156</v>
      </c>
      <c r="E728" s="1" t="n">
        <v>46268</v>
      </c>
      <c r="F728" t="inlineStr">
        <is>
          <t>KALMAR LÄN</t>
        </is>
      </c>
      <c r="G728" t="inlineStr">
        <is>
          <t>NYBRO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33704-2026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46250</v>
      </c>
      <c r="E729" s="1" t="n">
        <v>46268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33614-2026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46248</v>
      </c>
      <c r="E730" s="1" t="n">
        <v>46268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44566</v>
      </c>
      <c r="E731" s="1" t="n">
        <v>46268</v>
      </c>
      <c r="F731" t="inlineStr">
        <is>
          <t>KALMAR LÄN</t>
        </is>
      </c>
      <c r="G731" t="inlineStr">
        <is>
          <t>NYBRO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11645-2024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46268</v>
      </c>
      <c r="F732" t="inlineStr">
        <is>
          <t>KALMAR LÄN</t>
        </is>
      </c>
      <c r="G732" t="inlineStr">
        <is>
          <t>NYBRO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46268</v>
      </c>
      <c r="F733" t="inlineStr">
        <is>
          <t>KALMAR LÄN</t>
        </is>
      </c>
      <c r="G733" t="inlineStr">
        <is>
          <t>NYBRO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50723-2023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46268</v>
      </c>
      <c r="F734" t="inlineStr">
        <is>
          <t>KALMAR LÄN</t>
        </is>
      </c>
      <c r="G734" t="inlineStr">
        <is>
          <t>NYBRO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60030-2022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44909</v>
      </c>
      <c r="E735" s="1" t="n">
        <v>46268</v>
      </c>
      <c r="F735" t="inlineStr">
        <is>
          <t>KALMAR LÄN</t>
        </is>
      </c>
      <c r="G735" t="inlineStr">
        <is>
          <t>NYBRO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44909</v>
      </c>
      <c r="E736" s="1" t="n">
        <v>46268</v>
      </c>
      <c r="F736" t="inlineStr">
        <is>
          <t>KALMAR LÄN</t>
        </is>
      </c>
      <c r="G736" t="inlineStr">
        <is>
          <t>NYBRO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34260-2026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46268</v>
      </c>
      <c r="F737" t="inlineStr">
        <is>
          <t>KALMAR LÄN</t>
        </is>
      </c>
      <c r="G737" t="inlineStr">
        <is>
          <t>NYBRO</t>
        </is>
      </c>
      <c r="H737" t="inlineStr">
        <is>
          <t>Sveaskog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34261-2026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46253</v>
      </c>
      <c r="E738" s="1" t="n">
        <v>46268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45668</v>
      </c>
      <c r="E739" s="1" t="n">
        <v>46268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46268</v>
      </c>
      <c r="F740" t="inlineStr">
        <is>
          <t>KALMAR LÄN</t>
        </is>
      </c>
      <c r="G740" t="inlineStr">
        <is>
          <t>NYBRO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46252</v>
      </c>
      <c r="E741" s="1" t="n">
        <v>46268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50556-2022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44866</v>
      </c>
      <c r="E742" s="1" t="n">
        <v>46268</v>
      </c>
      <c r="F742" t="inlineStr">
        <is>
          <t>KALMAR LÄN</t>
        </is>
      </c>
      <c r="G742" t="inlineStr">
        <is>
          <t>NYBRO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29715-2022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44755</v>
      </c>
      <c r="E743" s="1" t="n">
        <v>46268</v>
      </c>
      <c r="F743" t="inlineStr">
        <is>
          <t>KALMAR LÄN</t>
        </is>
      </c>
      <c r="G743" t="inlineStr">
        <is>
          <t>NYBRO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5150-2022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44594</v>
      </c>
      <c r="E744" s="1" t="n">
        <v>46268</v>
      </c>
      <c r="F744" t="inlineStr">
        <is>
          <t>KALMAR LÄN</t>
        </is>
      </c>
      <c r="G744" t="inlineStr">
        <is>
          <t>NYBRO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11155-2023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44992</v>
      </c>
      <c r="E745" s="1" t="n">
        <v>46268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11621-2024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46268</v>
      </c>
      <c r="F746" t="inlineStr">
        <is>
          <t>KALMAR LÄN</t>
        </is>
      </c>
      <c r="G746" t="inlineStr">
        <is>
          <t>NYBRO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24941-2023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46268</v>
      </c>
      <c r="F747" t="inlineStr">
        <is>
          <t>KALMAR LÄN</t>
        </is>
      </c>
      <c r="G747" t="inlineStr">
        <is>
          <t>NYBRO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27870-2024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45475</v>
      </c>
      <c r="E748" s="1" t="n">
        <v>46268</v>
      </c>
      <c r="F748" t="inlineStr">
        <is>
          <t>KALMAR LÄN</t>
        </is>
      </c>
      <c r="G748" t="inlineStr">
        <is>
          <t>NYBRO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34617-2026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46255</v>
      </c>
      <c r="E749" s="1" t="n">
        <v>46268</v>
      </c>
      <c r="F749" t="inlineStr">
        <is>
          <t>KALMAR LÄN</t>
        </is>
      </c>
      <c r="G749" t="inlineStr">
        <is>
          <t>NYBRO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48102-2023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45205</v>
      </c>
      <c r="E750" s="1" t="n">
        <v>46268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34363-2026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46268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12.3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52137-2021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44463</v>
      </c>
      <c r="E752" s="1" t="n">
        <v>46268</v>
      </c>
      <c r="F752" t="inlineStr">
        <is>
          <t>KALMAR LÄN</t>
        </is>
      </c>
      <c r="G752" t="inlineStr">
        <is>
          <t>NYBRO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15584-2024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45401</v>
      </c>
      <c r="E753" s="1" t="n">
        <v>46268</v>
      </c>
      <c r="F753" t="inlineStr">
        <is>
          <t>KALMAR LÄN</t>
        </is>
      </c>
      <c r="G753" t="inlineStr">
        <is>
          <t>NYBRO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55723-2023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45239</v>
      </c>
      <c r="E754" s="1" t="n">
        <v>46268</v>
      </c>
      <c r="F754" t="inlineStr">
        <is>
          <t>KALMAR LÄN</t>
        </is>
      </c>
      <c r="G754" t="inlineStr">
        <is>
          <t>NYBRO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25382-2023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45089</v>
      </c>
      <c r="E755" s="1" t="n">
        <v>46268</v>
      </c>
      <c r="F755" t="inlineStr">
        <is>
          <t>KALMAR LÄN</t>
        </is>
      </c>
      <c r="G755" t="inlineStr">
        <is>
          <t>NYBRO</t>
        </is>
      </c>
      <c r="H755" t="inlineStr">
        <is>
          <t>Kommuner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24183-2023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45079</v>
      </c>
      <c r="E756" s="1" t="n">
        <v>46268</v>
      </c>
      <c r="F756" t="inlineStr">
        <is>
          <t>KALMAR LÄN</t>
        </is>
      </c>
      <c r="G756" t="inlineStr">
        <is>
          <t>NYBRO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19461-2024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45429</v>
      </c>
      <c r="E757" s="1" t="n">
        <v>46268</v>
      </c>
      <c r="F757" t="inlineStr">
        <is>
          <t>KALMAR LÄN</t>
        </is>
      </c>
      <c r="G757" t="inlineStr">
        <is>
          <t>NYBRO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34923-2026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46255</v>
      </c>
      <c r="E758" s="1" t="n">
        <v>46268</v>
      </c>
      <c r="F758" t="inlineStr">
        <is>
          <t>KALMAR LÄN</t>
        </is>
      </c>
      <c r="G758" t="inlineStr">
        <is>
          <t>NYBRO</t>
        </is>
      </c>
      <c r="H758" t="inlineStr">
        <is>
          <t>Kyrkan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18427-2025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45762</v>
      </c>
      <c r="E759" s="1" t="n">
        <v>46268</v>
      </c>
      <c r="F759" t="inlineStr">
        <is>
          <t>KALMAR LÄN</t>
        </is>
      </c>
      <c r="G759" t="inlineStr">
        <is>
          <t>NYBRO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33035-2022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44785</v>
      </c>
      <c r="E760" s="1" t="n">
        <v>46268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31060-2023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45113</v>
      </c>
      <c r="E761" s="1" t="n">
        <v>46268</v>
      </c>
      <c r="F761" t="inlineStr">
        <is>
          <t>KALMAR LÄN</t>
        </is>
      </c>
      <c r="G761" t="inlineStr">
        <is>
          <t>NYBRO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53681-2022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44880</v>
      </c>
      <c r="E762" s="1" t="n">
        <v>46268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58455-2021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44488</v>
      </c>
      <c r="E763" s="1" t="n">
        <v>46268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25472-2023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45089</v>
      </c>
      <c r="E764" s="1" t="n">
        <v>46268</v>
      </c>
      <c r="F764" t="inlineStr">
        <is>
          <t>KALMAR LÄN</t>
        </is>
      </c>
      <c r="G764" t="inlineStr">
        <is>
          <t>NYBRO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48732-2023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45208</v>
      </c>
      <c r="E765" s="1" t="n">
        <v>46268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36366-2024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46268</v>
      </c>
      <c r="F766" t="inlineStr">
        <is>
          <t>KALMAR LÄN</t>
        </is>
      </c>
      <c r="G766" t="inlineStr">
        <is>
          <t>NYBRO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6810-2024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45342</v>
      </c>
      <c r="E767" s="1" t="n">
        <v>46268</v>
      </c>
      <c r="F767" t="inlineStr">
        <is>
          <t>KALMAR LÄN</t>
        </is>
      </c>
      <c r="G767" t="inlineStr">
        <is>
          <t>NYBRO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29544-2024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45484</v>
      </c>
      <c r="E768" s="1" t="n">
        <v>46268</v>
      </c>
      <c r="F768" t="inlineStr">
        <is>
          <t>KALMAR LÄN</t>
        </is>
      </c>
      <c r="G768" t="inlineStr">
        <is>
          <t>NYBRO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35347-2026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46268</v>
      </c>
      <c r="F769" t="inlineStr">
        <is>
          <t>KALMAR LÄN</t>
        </is>
      </c>
      <c r="G769" t="inlineStr">
        <is>
          <t>NYBRO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7789-2025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46268</v>
      </c>
      <c r="F770" t="inlineStr">
        <is>
          <t>KALMAR LÄN</t>
        </is>
      </c>
      <c r="G770" t="inlineStr">
        <is>
          <t>NYBRO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45756</v>
      </c>
      <c r="E771" s="1" t="n">
        <v>46268</v>
      </c>
      <c r="F771" t="inlineStr">
        <is>
          <t>KALMAR LÄN</t>
        </is>
      </c>
      <c r="G771" t="inlineStr">
        <is>
          <t>NYBRO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20621-2022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44700</v>
      </c>
      <c r="E772" s="1" t="n">
        <v>46268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10289-2022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44622</v>
      </c>
      <c r="E773" s="1" t="n">
        <v>46268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56103-2023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46268</v>
      </c>
      <c r="F774" t="inlineStr">
        <is>
          <t>KALMAR LÄN</t>
        </is>
      </c>
      <c r="G774" t="inlineStr">
        <is>
          <t>NYBRO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49912-2022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44865</v>
      </c>
      <c r="E775" s="1" t="n">
        <v>46268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45744</v>
      </c>
      <c r="E776" s="1" t="n">
        <v>46268</v>
      </c>
      <c r="F776" t="inlineStr">
        <is>
          <t>KALMAR LÄN</t>
        </is>
      </c>
      <c r="G776" t="inlineStr">
        <is>
          <t>NYBRO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45761</v>
      </c>
      <c r="E777" s="1" t="n">
        <v>46268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28795-2022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44749</v>
      </c>
      <c r="E778" s="1" t="n">
        <v>46268</v>
      </c>
      <c r="F778" t="inlineStr">
        <is>
          <t>KALMAR LÄN</t>
        </is>
      </c>
      <c r="G778" t="inlineStr">
        <is>
          <t>NYBRO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8000-2023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44973</v>
      </c>
      <c r="E779" s="1" t="n">
        <v>46268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42277-2023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46268</v>
      </c>
      <c r="F780" t="inlineStr">
        <is>
          <t>KALMAR LÄN</t>
        </is>
      </c>
      <c r="G780" t="inlineStr">
        <is>
          <t>NYBRO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1928-2024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45308</v>
      </c>
      <c r="E781" s="1" t="n">
        <v>46268</v>
      </c>
      <c r="F781" t="inlineStr">
        <is>
          <t>KALMAR LÄN</t>
        </is>
      </c>
      <c r="G781" t="inlineStr">
        <is>
          <t>NYBRO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46268</v>
      </c>
      <c r="F782" t="inlineStr">
        <is>
          <t>KALMAR LÄN</t>
        </is>
      </c>
      <c r="G782" t="inlineStr">
        <is>
          <t>NYBRO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49096-2023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45210</v>
      </c>
      <c r="E783" s="1" t="n">
        <v>46268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53999-2022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44881</v>
      </c>
      <c r="E784" s="1" t="n">
        <v>46268</v>
      </c>
      <c r="F784" t="inlineStr">
        <is>
          <t>KALMAR LÄN</t>
        </is>
      </c>
      <c r="G784" t="inlineStr">
        <is>
          <t>NYBRO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45175</v>
      </c>
      <c r="E785" s="1" t="n">
        <v>46268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11150-2024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45371</v>
      </c>
      <c r="E786" s="1" t="n">
        <v>46268</v>
      </c>
      <c r="F786" t="inlineStr">
        <is>
          <t>KALMAR LÄN</t>
        </is>
      </c>
      <c r="G786" t="inlineStr">
        <is>
          <t>NYBRO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27610-2022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44743</v>
      </c>
      <c r="E787" s="1" t="n">
        <v>46268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5355-2022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44594</v>
      </c>
      <c r="E788" s="1" t="n">
        <v>46268</v>
      </c>
      <c r="F788" t="inlineStr">
        <is>
          <t>KALMAR LÄN</t>
        </is>
      </c>
      <c r="G788" t="inlineStr">
        <is>
          <t>NYBRO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45320</v>
      </c>
      <c r="E789" s="1" t="n">
        <v>46268</v>
      </c>
      <c r="F789" t="inlineStr">
        <is>
          <t>KALMAR LÄN</t>
        </is>
      </c>
      <c r="G789" t="inlineStr">
        <is>
          <t>NYBRO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14371-2025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45741</v>
      </c>
      <c r="E790" s="1" t="n">
        <v>46268</v>
      </c>
      <c r="F790" t="inlineStr">
        <is>
          <t>KALMAR LÄN</t>
        </is>
      </c>
      <c r="G790" t="inlineStr">
        <is>
          <t>NYBRO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45681</v>
      </c>
      <c r="E791" s="1" t="n">
        <v>46268</v>
      </c>
      <c r="F791" t="inlineStr">
        <is>
          <t>KALMAR LÄN</t>
        </is>
      </c>
      <c r="G791" t="inlineStr">
        <is>
          <t>NYBRO</t>
        </is>
      </c>
      <c r="H791" t="inlineStr">
        <is>
          <t>Kyrkan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54341-2022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44882</v>
      </c>
      <c r="E792" s="1" t="n">
        <v>46268</v>
      </c>
      <c r="F792" t="inlineStr">
        <is>
          <t>KALMAR LÄN</t>
        </is>
      </c>
      <c r="G792" t="inlineStr">
        <is>
          <t>NYBRO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46268</v>
      </c>
      <c r="F793" t="inlineStr">
        <is>
          <t>KALMAR LÄN</t>
        </is>
      </c>
      <c r="G793" t="inlineStr">
        <is>
          <t>NYBRO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47270-2024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45586</v>
      </c>
      <c r="E794" s="1" t="n">
        <v>46268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46268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38170-2024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45545</v>
      </c>
      <c r="E796" s="1" t="n">
        <v>46268</v>
      </c>
      <c r="F796" t="inlineStr">
        <is>
          <t>KALMAR LÄN</t>
        </is>
      </c>
      <c r="G796" t="inlineStr">
        <is>
          <t>NYBRO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46268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22435-2023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45070</v>
      </c>
      <c r="E798" s="1" t="n">
        <v>46268</v>
      </c>
      <c r="F798" t="inlineStr">
        <is>
          <t>KALMAR LÄN</t>
        </is>
      </c>
      <c r="G798" t="inlineStr">
        <is>
          <t>NYBRO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50586-2024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45601</v>
      </c>
      <c r="E799" s="1" t="n">
        <v>46268</v>
      </c>
      <c r="F799" t="inlineStr">
        <is>
          <t>KALMAR LÄN</t>
        </is>
      </c>
      <c r="G799" t="inlineStr">
        <is>
          <t>NYBRO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27966-2024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45476</v>
      </c>
      <c r="E800" s="1" t="n">
        <v>46268</v>
      </c>
      <c r="F800" t="inlineStr">
        <is>
          <t>KALMAR LÄN</t>
        </is>
      </c>
      <c r="G800" t="inlineStr">
        <is>
          <t>NYBRO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30173-2024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45489</v>
      </c>
      <c r="E801" s="1" t="n">
        <v>46268</v>
      </c>
      <c r="F801" t="inlineStr">
        <is>
          <t>KALMAR LÄN</t>
        </is>
      </c>
      <c r="G801" t="inlineStr">
        <is>
          <t>NYBRO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47335-2024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46268</v>
      </c>
      <c r="F802" t="inlineStr">
        <is>
          <t>KALMAR LÄN</t>
        </is>
      </c>
      <c r="G802" t="inlineStr">
        <is>
          <t>NYBRO</t>
        </is>
      </c>
      <c r="I802" t="n">
        <v>8.699999999999999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22042-2025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45785</v>
      </c>
      <c r="E803" s="1" t="n">
        <v>46268</v>
      </c>
      <c r="F803" t="inlineStr">
        <is>
          <t>KALMAR LÄN</t>
        </is>
      </c>
      <c r="G803" t="inlineStr">
        <is>
          <t>NYBRO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53649-2023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45230</v>
      </c>
      <c r="E804" s="1" t="n">
        <v>46268</v>
      </c>
      <c r="F804" t="inlineStr">
        <is>
          <t>KALMAR LÄN</t>
        </is>
      </c>
      <c r="G804" t="inlineStr">
        <is>
          <t>NYBRO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30076-2024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45489</v>
      </c>
      <c r="E805" s="1" t="n">
        <v>46268</v>
      </c>
      <c r="F805" t="inlineStr">
        <is>
          <t>KALMAR LÄN</t>
        </is>
      </c>
      <c r="G805" t="inlineStr">
        <is>
          <t>NYBRO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46268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46268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46268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46268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46268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46268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46268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46268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46268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46268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46268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46268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46268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46268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46268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46268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46268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19943-2022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44697</v>
      </c>
      <c r="E823" s="1" t="n">
        <v>46268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46268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645-2023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44973</v>
      </c>
      <c r="E825" s="1" t="n">
        <v>46268</v>
      </c>
      <c r="F825" t="inlineStr">
        <is>
          <t>KALMAR LÄN</t>
        </is>
      </c>
      <c r="G825" t="inlineStr">
        <is>
          <t>NYBRO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45422</v>
      </c>
      <c r="E826" s="1" t="n">
        <v>46268</v>
      </c>
      <c r="F826" t="inlineStr">
        <is>
          <t>KALMAR LÄN</t>
        </is>
      </c>
      <c r="G826" t="inlineStr">
        <is>
          <t>NYBRO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5165-2024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45649</v>
      </c>
      <c r="E827" s="1" t="n">
        <v>46268</v>
      </c>
      <c r="F827" t="inlineStr">
        <is>
          <t>KALMAR LÄN</t>
        </is>
      </c>
      <c r="G827" t="inlineStr">
        <is>
          <t>NYBRO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2203-2024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45457</v>
      </c>
      <c r="E828" s="1" t="n">
        <v>46268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1948-2023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45088</v>
      </c>
      <c r="E829" s="1" t="n">
        <v>46268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2431-2024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45469</v>
      </c>
      <c r="E830" s="1" t="n">
        <v>46268</v>
      </c>
      <c r="F830" t="inlineStr">
        <is>
          <t>KALMAR LÄN</t>
        </is>
      </c>
      <c r="G830" t="inlineStr">
        <is>
          <t>NYBRO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926-2023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45000</v>
      </c>
      <c r="E831" s="1" t="n">
        <v>46268</v>
      </c>
      <c r="F831" t="inlineStr">
        <is>
          <t>KALMAR LÄN</t>
        </is>
      </c>
      <c r="G831" t="inlineStr">
        <is>
          <t>NYBRO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3791-2023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45224</v>
      </c>
      <c r="E832" s="1" t="n">
        <v>46268</v>
      </c>
      <c r="F832" t="inlineStr">
        <is>
          <t>KALMAR LÄN</t>
        </is>
      </c>
      <c r="G832" t="inlineStr">
        <is>
          <t>NYBRO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4042-2024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45572</v>
      </c>
      <c r="E833" s="1" t="n">
        <v>46268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46268</v>
      </c>
      <c r="F834" t="inlineStr">
        <is>
          <t>KALMAR LÄN</t>
        </is>
      </c>
      <c r="G834" t="inlineStr">
        <is>
          <t>NYBRO</t>
        </is>
      </c>
      <c r="I834" t="n">
        <v>46.2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46268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46268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477-2022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44587</v>
      </c>
      <c r="E837" s="1" t="n">
        <v>46268</v>
      </c>
      <c r="F837" t="inlineStr">
        <is>
          <t>KALMAR LÄN</t>
        </is>
      </c>
      <c r="G837" t="inlineStr">
        <is>
          <t>NYBRO</t>
        </is>
      </c>
      <c r="I837" t="n">
        <v>10.1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4877-2022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44806</v>
      </c>
      <c r="E838" s="1" t="n">
        <v>46268</v>
      </c>
      <c r="F838" t="inlineStr">
        <is>
          <t>KALMAR LÄN</t>
        </is>
      </c>
      <c r="G838" t="inlineStr">
        <is>
          <t>NYBRO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5164-2024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46268</v>
      </c>
      <c r="F839" t="inlineStr">
        <is>
          <t>KALMAR LÄN</t>
        </is>
      </c>
      <c r="G839" t="inlineStr">
        <is>
          <t>NYBRO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1608-2023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46268</v>
      </c>
      <c r="F840" t="inlineStr">
        <is>
          <t>KALMAR LÄN</t>
        </is>
      </c>
      <c r="G840" t="inlineStr">
        <is>
          <t>NYBRO</t>
        </is>
      </c>
      <c r="I840" t="n">
        <v>16.4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46268</v>
      </c>
      <c r="F841" t="inlineStr">
        <is>
          <t>KALMAR LÄN</t>
        </is>
      </c>
      <c r="G841" t="inlineStr">
        <is>
          <t>NYBRO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654-2022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44594</v>
      </c>
      <c r="E842" s="1" t="n">
        <v>46268</v>
      </c>
      <c r="F842" t="inlineStr">
        <is>
          <t>KALMAR LÄN</t>
        </is>
      </c>
      <c r="G842" t="inlineStr">
        <is>
          <t>NYBRO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2489-2022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44693</v>
      </c>
      <c r="E843" s="1" t="n">
        <v>46268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46268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46268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46268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46268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453-2022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44587</v>
      </c>
      <c r="E848" s="1" t="n">
        <v>46268</v>
      </c>
      <c r="F848" t="inlineStr">
        <is>
          <t>KALMAR LÄN</t>
        </is>
      </c>
      <c r="G848" t="inlineStr">
        <is>
          <t>NYBRO</t>
        </is>
      </c>
      <c r="I848" t="n">
        <v>20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46268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46268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46268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46268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46268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46268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46268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46268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46268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46268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46268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2026-09-03T02:06:51Z</dcterms:created>
  <dcterms:modified xmlns:dcterms="http://purl.org/dc/terms/" xmlns:xsi="http://www.w3.org/2001/XMLSchema-instance" xsi:type="dcterms:W3CDTF">2026-09-03T02:06:52Z</dcterms:modified>
</cp:coreProperties>
</file>