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46194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46194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46194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46194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46194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46194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46194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46194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46194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46194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46194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46194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46194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60746-2025</t>
        </is>
      </c>
      <c r="B16" s="1" t="n">
        <v>45999</v>
      </c>
      <c r="C16" s="1" t="n">
        <v>46194</v>
      </c>
      <c r="D16" t="inlineStr">
        <is>
          <t>KALMAR LÄN</t>
        </is>
      </c>
      <c r="E16" t="inlineStr">
        <is>
          <t>NYBRO</t>
        </is>
      </c>
      <c r="G16" t="n">
        <v>5.5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Tallgångbagge
Hårig blombock
Mindre träfjäril
Stekelbock</t>
        </is>
      </c>
      <c r="S16">
        <f>HYPERLINK("https://klasma.github.io/Logging_0881/artfynd/A 60746-2025 artfynd.xlsx", "A 60746-2025")</f>
        <v/>
      </c>
      <c r="T16">
        <f>HYPERLINK("https://klasma.github.io/Logging_0881/kartor/A 60746-2025 karta.png", "A 60746-2025")</f>
        <v/>
      </c>
      <c r="V16">
        <f>HYPERLINK("https://klasma.github.io/Logging_0881/klagomål/A 60746-2025 FSC-klagomål.docx", "A 60746-2025")</f>
        <v/>
      </c>
      <c r="W16">
        <f>HYPERLINK("https://klasma.github.io/Logging_0881/klagomålsmail/A 60746-2025 FSC-klagomål mail.docx", "A 60746-2025")</f>
        <v/>
      </c>
      <c r="X16">
        <f>HYPERLINK("https://klasma.github.io/Logging_0881/tillsyn/A 60746-2025 tillsynsbegäran.docx", "A 60746-2025")</f>
        <v/>
      </c>
      <c r="Y16">
        <f>HYPERLINK("https://klasma.github.io/Logging_0881/tillsynsmail/A 60746-2025 tillsynsbegäran mail.docx", "A 60746-2025")</f>
        <v/>
      </c>
    </row>
    <row r="17" ht="15" customHeight="1">
      <c r="A17" t="inlineStr">
        <is>
          <t>A 46007-2023</t>
        </is>
      </c>
      <c r="B17" s="1" t="n">
        <v>45189</v>
      </c>
      <c r="C17" s="1" t="n">
        <v>46194</v>
      </c>
      <c r="D17" t="inlineStr">
        <is>
          <t>KALMAR LÄN</t>
        </is>
      </c>
      <c r="E17" t="inlineStr">
        <is>
          <t>NYBRO</t>
        </is>
      </c>
      <c r="F17" t="inlineStr">
        <is>
          <t>Kyrkan</t>
        </is>
      </c>
      <c r="G17" t="n">
        <v>0.5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HYPERLINK("https://klasma.github.io/Logging_0881/artfynd/A 46007-2023 artfynd.xlsx", "A 46007-2023")</f>
        <v/>
      </c>
      <c r="T17">
        <f>HYPERLINK("https://klasma.github.io/Logging_0881/kartor/A 46007-2023 karta.png", "A 46007-2023")</f>
        <v/>
      </c>
      <c r="V17">
        <f>HYPERLINK("https://klasma.github.io/Logging_0881/klagomål/A 46007-2023 FSC-klagomål.docx", "A 46007-2023")</f>
        <v/>
      </c>
      <c r="W17">
        <f>HYPERLINK("https://klasma.github.io/Logging_0881/klagomålsmail/A 46007-2023 FSC-klagomål mail.docx", "A 46007-2023")</f>
        <v/>
      </c>
      <c r="X17">
        <f>HYPERLINK("https://klasma.github.io/Logging_0881/tillsyn/A 46007-2023 tillsynsbegäran.docx", "A 46007-2023")</f>
        <v/>
      </c>
      <c r="Y17">
        <f>HYPERLINK("https://klasma.github.io/Logging_0881/tillsynsmail/A 46007-2023 tillsynsbegäran mail.docx", "A 46007-2023")</f>
        <v/>
      </c>
    </row>
    <row r="18" ht="15" customHeight="1">
      <c r="A18" t="inlineStr">
        <is>
          <t>A 22080-2026</t>
        </is>
      </c>
      <c r="B18" s="1" t="n">
        <v>46153</v>
      </c>
      <c r="C18" s="1" t="n">
        <v>46194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2.1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Göktyta
Sparvuggla
Talltita
Spillkråka</t>
        </is>
      </c>
      <c r="S18">
        <f>HYPERLINK("https://klasma.github.io/Logging_0881/artfynd/A 22080-2026 artfynd.xlsx", "A 22080-2026")</f>
        <v/>
      </c>
      <c r="T18">
        <f>HYPERLINK("https://klasma.github.io/Logging_0881/kartor/A 22080-2026 karta.png", "A 22080-2026")</f>
        <v/>
      </c>
      <c r="V18">
        <f>HYPERLINK("https://klasma.github.io/Logging_0881/klagomål/A 22080-2026 FSC-klagomål.docx", "A 22080-2026")</f>
        <v/>
      </c>
      <c r="W18">
        <f>HYPERLINK("https://klasma.github.io/Logging_0881/klagomålsmail/A 22080-2026 FSC-klagomål mail.docx", "A 22080-2026")</f>
        <v/>
      </c>
      <c r="X18">
        <f>HYPERLINK("https://klasma.github.io/Logging_0881/tillsyn/A 22080-2026 tillsynsbegäran.docx", "A 22080-2026")</f>
        <v/>
      </c>
      <c r="Y18">
        <f>HYPERLINK("https://klasma.github.io/Logging_0881/tillsynsmail/A 22080-2026 tillsynsbegäran mail.docx", "A 22080-2026")</f>
        <v/>
      </c>
      <c r="Z18">
        <f>HYPERLINK("https://klasma.github.io/Logging_0881/fåglar/A 22080-2026 prioriterade fågelarter.docx", "A 22080-2026")</f>
        <v/>
      </c>
    </row>
    <row r="19" ht="15" customHeight="1">
      <c r="A19" t="inlineStr">
        <is>
          <t>A 23739-2026</t>
        </is>
      </c>
      <c r="B19" s="1" t="n">
        <v>46164</v>
      </c>
      <c r="C19" s="1" t="n">
        <v>46194</v>
      </c>
      <c r="D19" t="inlineStr">
        <is>
          <t>KALMAR LÄN</t>
        </is>
      </c>
      <c r="E19" t="inlineStr">
        <is>
          <t>NYBRO</t>
        </is>
      </c>
      <c r="G19" t="n">
        <v>2.2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Sandödla
Ekoxe
Myskbock
Vanlig groda</t>
        </is>
      </c>
      <c r="S19">
        <f>HYPERLINK("https://klasma.github.io/Logging_0881/artfynd/A 23739-2026 artfynd.xlsx", "A 23739-2026")</f>
        <v/>
      </c>
      <c r="T19">
        <f>HYPERLINK("https://klasma.github.io/Logging_0881/kartor/A 23739-2026 karta.png", "A 23739-2026")</f>
        <v/>
      </c>
      <c r="V19">
        <f>HYPERLINK("https://klasma.github.io/Logging_0881/klagomål/A 23739-2026 FSC-klagomål.docx", "A 23739-2026")</f>
        <v/>
      </c>
      <c r="W19">
        <f>HYPERLINK("https://klasma.github.io/Logging_0881/klagomålsmail/A 23739-2026 FSC-klagomål mail.docx", "A 23739-2026")</f>
        <v/>
      </c>
      <c r="X19">
        <f>HYPERLINK("https://klasma.github.io/Logging_0881/tillsyn/A 23739-2026 tillsynsbegäran.docx", "A 23739-2026")</f>
        <v/>
      </c>
      <c r="Y19">
        <f>HYPERLINK("https://klasma.github.io/Logging_0881/tillsynsmail/A 23739-2026 tillsynsbegäran mail.docx", "A 23739-2026")</f>
        <v/>
      </c>
    </row>
    <row r="20" ht="15" customHeight="1">
      <c r="A20" t="inlineStr">
        <is>
          <t>A 25079-2026</t>
        </is>
      </c>
      <c r="B20" s="1" t="n">
        <v>46174</v>
      </c>
      <c r="C20" s="1" t="n">
        <v>46194</v>
      </c>
      <c r="D20" t="inlineStr">
        <is>
          <t>KALMAR LÄN</t>
        </is>
      </c>
      <c r="E20" t="inlineStr">
        <is>
          <t>NYBRO</t>
        </is>
      </c>
      <c r="G20" t="n">
        <v>3.3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Vågbandad barkbock
Kungsfågel
Skogsödla</t>
        </is>
      </c>
      <c r="S20">
        <f>HYPERLINK("https://klasma.github.io/Logging_0881/artfynd/A 25079-2026 artfynd.xlsx", "A 25079-2026")</f>
        <v/>
      </c>
      <c r="T20">
        <f>HYPERLINK("https://klasma.github.io/Logging_0881/kartor/A 25079-2026 karta.png", "A 25079-2026")</f>
        <v/>
      </c>
      <c r="V20">
        <f>HYPERLINK("https://klasma.github.io/Logging_0881/klagomål/A 25079-2026 FSC-klagomål.docx", "A 25079-2026")</f>
        <v/>
      </c>
      <c r="W20">
        <f>HYPERLINK("https://klasma.github.io/Logging_0881/klagomålsmail/A 25079-2026 FSC-klagomål mail.docx", "A 25079-2026")</f>
        <v/>
      </c>
      <c r="X20">
        <f>HYPERLINK("https://klasma.github.io/Logging_0881/tillsyn/A 25079-2026 tillsynsbegäran.docx", "A 25079-2026")</f>
        <v/>
      </c>
      <c r="Y20">
        <f>HYPERLINK("https://klasma.github.io/Logging_0881/tillsynsmail/A 25079-2026 tillsynsbegäran mail.docx", "A 25079-2026")</f>
        <v/>
      </c>
      <c r="Z20">
        <f>HYPERLINK("https://klasma.github.io/Logging_0881/fåglar/A 25079-2026 prioriterade fågelarter.docx", "A 25079-2026")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46194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18404-2023</t>
        </is>
      </c>
      <c r="B22" s="1" t="n">
        <v>45042</v>
      </c>
      <c r="C22" s="1" t="n">
        <v>46194</v>
      </c>
      <c r="D22" t="inlineStr">
        <is>
          <t>KALMAR LÄN</t>
        </is>
      </c>
      <c r="E22" t="inlineStr">
        <is>
          <t>NYBRO</t>
        </is>
      </c>
      <c r="G22" t="n">
        <v>5.3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Drillsnäppa
Kricka
Havsörn</t>
        </is>
      </c>
      <c r="S22">
        <f>HYPERLINK("https://klasma.github.io/Logging_0881/artfynd/A 18404-2023 artfynd.xlsx", "A 18404-2023")</f>
        <v/>
      </c>
      <c r="T22">
        <f>HYPERLINK("https://klasma.github.io/Logging_0881/kartor/A 18404-2023 karta.png", "A 18404-2023")</f>
        <v/>
      </c>
      <c r="V22">
        <f>HYPERLINK("https://klasma.github.io/Logging_0881/klagomål/A 18404-2023 FSC-klagomål.docx", "A 18404-2023")</f>
        <v/>
      </c>
      <c r="W22">
        <f>HYPERLINK("https://klasma.github.io/Logging_0881/klagomålsmail/A 18404-2023 FSC-klagomål mail.docx", "A 18404-2023")</f>
        <v/>
      </c>
      <c r="X22">
        <f>HYPERLINK("https://klasma.github.io/Logging_0881/tillsyn/A 18404-2023 tillsynsbegäran.docx", "A 18404-2023")</f>
        <v/>
      </c>
      <c r="Y22">
        <f>HYPERLINK("https://klasma.github.io/Logging_0881/tillsynsmail/A 18404-2023 tillsynsbegäran mail.docx", "A 18404-2023")</f>
        <v/>
      </c>
      <c r="Z22">
        <f>HYPERLINK("https://klasma.github.io/Logging_0881/fåglar/A 18404-2023 prioriterade fågelarter.docx", "A 18404-2023")</f>
        <v/>
      </c>
    </row>
    <row r="23" ht="15" customHeight="1">
      <c r="A23" t="inlineStr">
        <is>
          <t>A 6062-2025</t>
        </is>
      </c>
      <c r="B23" s="1" t="n">
        <v>45695</v>
      </c>
      <c r="C23" s="1" t="n">
        <v>46194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Fjällig taggsvamp s.str.
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14858-2022</t>
        </is>
      </c>
      <c r="B24" s="1" t="n">
        <v>44656</v>
      </c>
      <c r="C24" s="1" t="n">
        <v>46194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Apelticka
Rosenryggat ordensfly
Sparvuggla</t>
        </is>
      </c>
      <c r="S24">
        <f>HYPERLINK("https://klasma.github.io/Logging_0881/artfynd/A 14858-2022 artfynd.xlsx", "A 14858-2022")</f>
        <v/>
      </c>
      <c r="T24">
        <f>HYPERLINK("https://klasma.github.io/Logging_0881/kartor/A 14858-2022 karta.png", "A 14858-2022")</f>
        <v/>
      </c>
      <c r="V24">
        <f>HYPERLINK("https://klasma.github.io/Logging_0881/klagomål/A 14858-2022 FSC-klagomål.docx", "A 14858-2022")</f>
        <v/>
      </c>
      <c r="W24">
        <f>HYPERLINK("https://klasma.github.io/Logging_0881/klagomålsmail/A 14858-2022 FSC-klagomål mail.docx", "A 14858-2022")</f>
        <v/>
      </c>
      <c r="X24">
        <f>HYPERLINK("https://klasma.github.io/Logging_0881/tillsyn/A 14858-2022 tillsynsbegäran.docx", "A 14858-2022")</f>
        <v/>
      </c>
      <c r="Y24">
        <f>HYPERLINK("https://klasma.github.io/Logging_0881/tillsynsmail/A 14858-2022 tillsynsbegäran mail.docx", "A 14858-2022")</f>
        <v/>
      </c>
      <c r="Z24">
        <f>HYPERLINK("https://klasma.github.io/Logging_0881/fåglar/A 14858-2022 prioriterade fågelarter.docx", "A 14858-2022")</f>
        <v/>
      </c>
    </row>
    <row r="25" ht="15" customHeight="1">
      <c r="A25" t="inlineStr">
        <is>
          <t>A 3053-2024</t>
        </is>
      </c>
      <c r="B25" s="1" t="n">
        <v>45316</v>
      </c>
      <c r="C25" s="1" t="n">
        <v>46194</v>
      </c>
      <c r="D25" t="inlineStr">
        <is>
          <t>KALMAR LÄN</t>
        </is>
      </c>
      <c r="E25" t="inlineStr">
        <is>
          <t>NYBRO</t>
        </is>
      </c>
      <c r="G25" t="n">
        <v>1.7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Mindre bastardsvärmare
Klubbsprötad bastardsvärmare
Slåtterfibbla</t>
        </is>
      </c>
      <c r="S25">
        <f>HYPERLINK("https://klasma.github.io/Logging_0881/artfynd/A 3053-2024 artfynd.xlsx", "A 3053-2024")</f>
        <v/>
      </c>
      <c r="T25">
        <f>HYPERLINK("https://klasma.github.io/Logging_0881/kartor/A 3053-2024 karta.png", "A 3053-2024")</f>
        <v/>
      </c>
      <c r="V25">
        <f>HYPERLINK("https://klasma.github.io/Logging_0881/klagomål/A 3053-2024 FSC-klagomål.docx", "A 3053-2024")</f>
        <v/>
      </c>
      <c r="W25">
        <f>HYPERLINK("https://klasma.github.io/Logging_0881/klagomålsmail/A 3053-2024 FSC-klagomål mail.docx", "A 3053-2024")</f>
        <v/>
      </c>
      <c r="X25">
        <f>HYPERLINK("https://klasma.github.io/Logging_0881/tillsyn/A 3053-2024 tillsynsbegäran.docx", "A 3053-2024")</f>
        <v/>
      </c>
      <c r="Y25">
        <f>HYPERLINK("https://klasma.github.io/Logging_0881/tillsynsmail/A 3053-2024 tillsynsbegäran mail.docx", "A 3053-2024")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46194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Spindelört
Spindelörtskinnbagge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61894-2024</t>
        </is>
      </c>
      <c r="B27" s="1" t="n">
        <v>45652</v>
      </c>
      <c r="C27" s="1" t="n">
        <v>46194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Skogsknipprot
Spillkråka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20162-2025</t>
        </is>
      </c>
      <c r="B28" s="1" t="n">
        <v>45772</v>
      </c>
      <c r="C28" s="1" t="n">
        <v>46194</v>
      </c>
      <c r="D28" t="inlineStr">
        <is>
          <t>KALMAR LÄN</t>
        </is>
      </c>
      <c r="E28" t="inlineStr">
        <is>
          <t>NYBRO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Almlav
Ask
Guldlockmossa</t>
        </is>
      </c>
      <c r="S28">
        <f>HYPERLINK("https://klasma.github.io/Logging_0881/artfynd/A 20162-2025 artfynd.xlsx", "A 20162-2025")</f>
        <v/>
      </c>
      <c r="T28">
        <f>HYPERLINK("https://klasma.github.io/Logging_0881/kartor/A 20162-2025 karta.png", "A 20162-2025")</f>
        <v/>
      </c>
      <c r="V28">
        <f>HYPERLINK("https://klasma.github.io/Logging_0881/klagomål/A 20162-2025 FSC-klagomål.docx", "A 20162-2025")</f>
        <v/>
      </c>
      <c r="W28">
        <f>HYPERLINK("https://klasma.github.io/Logging_0881/klagomålsmail/A 20162-2025 FSC-klagomål mail.docx", "A 20162-2025")</f>
        <v/>
      </c>
      <c r="X28">
        <f>HYPERLINK("https://klasma.github.io/Logging_0881/tillsyn/A 20162-2025 tillsynsbegäran.docx", "A 20162-2025")</f>
        <v/>
      </c>
      <c r="Y28">
        <f>HYPERLINK("https://klasma.github.io/Logging_0881/tillsynsmail/A 20162-2025 tillsynsbegäran mail.docx", "A 20162-2025")</f>
        <v/>
      </c>
    </row>
    <row r="29" ht="15" customHeight="1">
      <c r="A29" t="inlineStr">
        <is>
          <t>A 18399-2026</t>
        </is>
      </c>
      <c r="B29" s="1" t="n">
        <v>46126</v>
      </c>
      <c r="C29" s="1" t="n">
        <v>46194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12.2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Aspstumpbagge
Stekelbock
Spillkråka</t>
        </is>
      </c>
      <c r="S29">
        <f>HYPERLINK("https://klasma.github.io/Logging_0881/artfynd/A 18399-2026 artfynd.xlsx", "A 18399-2026")</f>
        <v/>
      </c>
      <c r="T29">
        <f>HYPERLINK("https://klasma.github.io/Logging_0881/kartor/A 18399-2026 karta.png", "A 18399-2026")</f>
        <v/>
      </c>
      <c r="V29">
        <f>HYPERLINK("https://klasma.github.io/Logging_0881/klagomål/A 18399-2026 FSC-klagomål.docx", "A 18399-2026")</f>
        <v/>
      </c>
      <c r="W29">
        <f>HYPERLINK("https://klasma.github.io/Logging_0881/klagomålsmail/A 18399-2026 FSC-klagomål mail.docx", "A 18399-2026")</f>
        <v/>
      </c>
      <c r="X29">
        <f>HYPERLINK("https://klasma.github.io/Logging_0881/tillsyn/A 18399-2026 tillsynsbegäran.docx", "A 18399-2026")</f>
        <v/>
      </c>
      <c r="Y29">
        <f>HYPERLINK("https://klasma.github.io/Logging_0881/tillsynsmail/A 18399-2026 tillsynsbegäran mail.docx", "A 18399-2026")</f>
        <v/>
      </c>
      <c r="Z29">
        <f>HYPERLINK("https://klasma.github.io/Logging_0881/fåglar/A 18399-2026 prioriterade fågelarter.docx", "A 18399-2026")</f>
        <v/>
      </c>
    </row>
    <row r="30" ht="15" customHeight="1">
      <c r="A30" t="inlineStr">
        <is>
          <t>A 18396-2026</t>
        </is>
      </c>
      <c r="B30" s="1" t="n">
        <v>46126</v>
      </c>
      <c r="C30" s="1" t="n">
        <v>46194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33.3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Svart ögonknäppare
Stekelbock
Kungsfågel</t>
        </is>
      </c>
      <c r="S30">
        <f>HYPERLINK("https://klasma.github.io/Logging_0881/artfynd/A 18396-2026 artfynd.xlsx", "A 18396-2026")</f>
        <v/>
      </c>
      <c r="T30">
        <f>HYPERLINK("https://klasma.github.io/Logging_0881/kartor/A 18396-2026 karta.png", "A 18396-2026")</f>
        <v/>
      </c>
      <c r="V30">
        <f>HYPERLINK("https://klasma.github.io/Logging_0881/klagomål/A 18396-2026 FSC-klagomål.docx", "A 18396-2026")</f>
        <v/>
      </c>
      <c r="W30">
        <f>HYPERLINK("https://klasma.github.io/Logging_0881/klagomålsmail/A 18396-2026 FSC-klagomål mail.docx", "A 18396-2026")</f>
        <v/>
      </c>
      <c r="X30">
        <f>HYPERLINK("https://klasma.github.io/Logging_0881/tillsyn/A 18396-2026 tillsynsbegäran.docx", "A 18396-2026")</f>
        <v/>
      </c>
      <c r="Y30">
        <f>HYPERLINK("https://klasma.github.io/Logging_0881/tillsynsmail/A 18396-2026 tillsynsbegäran mail.docx", "A 18396-2026")</f>
        <v/>
      </c>
      <c r="Z30">
        <f>HYPERLINK("https://klasma.github.io/Logging_0881/fåglar/A 18396-2026 prioriterade fågelarter.docx", "A 18396-2026")</f>
        <v/>
      </c>
    </row>
    <row r="31" ht="15" customHeight="1">
      <c r="A31" t="inlineStr">
        <is>
          <t>A 39000-2025</t>
        </is>
      </c>
      <c r="B31" s="1" t="n">
        <v>45888</v>
      </c>
      <c r="C31" s="1" t="n">
        <v>46194</v>
      </c>
      <c r="D31" t="inlineStr">
        <is>
          <t>KALMAR LÄN</t>
        </is>
      </c>
      <c r="E31" t="inlineStr">
        <is>
          <t>NYBRO</t>
        </is>
      </c>
      <c r="G31" t="n">
        <v>1.7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Barbastell
Nordfladdermus
Gråskimlig fladdermus</t>
        </is>
      </c>
      <c r="S31">
        <f>HYPERLINK("https://klasma.github.io/Logging_0881/artfynd/A 39000-2025 artfynd.xlsx", "A 39000-2025")</f>
        <v/>
      </c>
      <c r="T31">
        <f>HYPERLINK("https://klasma.github.io/Logging_0881/kartor/A 39000-2025 karta.png", "A 39000-2025")</f>
        <v/>
      </c>
      <c r="V31">
        <f>HYPERLINK("https://klasma.github.io/Logging_0881/klagomål/A 39000-2025 FSC-klagomål.docx", "A 39000-2025")</f>
        <v/>
      </c>
      <c r="W31">
        <f>HYPERLINK("https://klasma.github.io/Logging_0881/klagomålsmail/A 39000-2025 FSC-klagomål mail.docx", "A 39000-2025")</f>
        <v/>
      </c>
      <c r="X31">
        <f>HYPERLINK("https://klasma.github.io/Logging_0881/tillsyn/A 39000-2025 tillsynsbegäran.docx", "A 39000-2025")</f>
        <v/>
      </c>
      <c r="Y31">
        <f>HYPERLINK("https://klasma.github.io/Logging_0881/tillsynsmail/A 39000-2025 tillsynsbegäran mail.docx", "A 39000-2025")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46194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46194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46194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46194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51473-2024</t>
        </is>
      </c>
      <c r="B36" s="1" t="n">
        <v>45604</v>
      </c>
      <c r="C36" s="1" t="n">
        <v>46194</v>
      </c>
      <c r="D36" t="inlineStr">
        <is>
          <t>KALMAR LÄN</t>
        </is>
      </c>
      <c r="E36" t="inlineStr">
        <is>
          <t>NYBRO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Törnskata</t>
        </is>
      </c>
      <c r="S36">
        <f>HYPERLINK("https://klasma.github.io/Logging_0881/artfynd/A 51473-2024 artfynd.xlsx", "A 51473-2024")</f>
        <v/>
      </c>
      <c r="T36">
        <f>HYPERLINK("https://klasma.github.io/Logging_0881/kartor/A 51473-2024 karta.png", "A 51473-2024")</f>
        <v/>
      </c>
      <c r="V36">
        <f>HYPERLINK("https://klasma.github.io/Logging_0881/klagomål/A 51473-2024 FSC-klagomål.docx", "A 51473-2024")</f>
        <v/>
      </c>
      <c r="W36">
        <f>HYPERLINK("https://klasma.github.io/Logging_0881/klagomålsmail/A 51473-2024 FSC-klagomål mail.docx", "A 51473-2024")</f>
        <v/>
      </c>
      <c r="X36">
        <f>HYPERLINK("https://klasma.github.io/Logging_0881/tillsyn/A 51473-2024 tillsynsbegäran.docx", "A 51473-2024")</f>
        <v/>
      </c>
      <c r="Y36">
        <f>HYPERLINK("https://klasma.github.io/Logging_0881/tillsynsmail/A 51473-2024 tillsynsbegäran mail.docx", "A 51473-2024")</f>
        <v/>
      </c>
      <c r="Z36">
        <f>HYPERLINK("https://klasma.github.io/Logging_0881/fåglar/A 51473-2024 prioriterade fågelarter.docx", "A 51473-2024")</f>
        <v/>
      </c>
    </row>
    <row r="37" ht="15" customHeight="1">
      <c r="A37" t="inlineStr">
        <is>
          <t>A 41164-2023</t>
        </is>
      </c>
      <c r="B37" s="1" t="n">
        <v>45174</v>
      </c>
      <c r="C37" s="1" t="n">
        <v>46194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Tallticka</t>
        </is>
      </c>
      <c r="S37">
        <f>HYPERLINK("https://klasma.github.io/Logging_0881/artfynd/A 41164-2023 artfynd.xlsx", "A 41164-2023")</f>
        <v/>
      </c>
      <c r="T37">
        <f>HYPERLINK("https://klasma.github.io/Logging_0881/kartor/A 41164-2023 karta.png", "A 41164-2023")</f>
        <v/>
      </c>
      <c r="V37">
        <f>HYPERLINK("https://klasma.github.io/Logging_0881/klagomål/A 41164-2023 FSC-klagomål.docx", "A 41164-2023")</f>
        <v/>
      </c>
      <c r="W37">
        <f>HYPERLINK("https://klasma.github.io/Logging_0881/klagomålsmail/A 41164-2023 FSC-klagomål mail.docx", "A 41164-2023")</f>
        <v/>
      </c>
      <c r="X37">
        <f>HYPERLINK("https://klasma.github.io/Logging_0881/tillsyn/A 41164-2023 tillsynsbegäran.docx", "A 41164-2023")</f>
        <v/>
      </c>
      <c r="Y37">
        <f>HYPERLINK("https://klasma.github.io/Logging_0881/tillsynsmail/A 41164-2023 tillsynsbegäran mail.docx", "A 41164-2023")</f>
        <v/>
      </c>
      <c r="Z37">
        <f>HYPERLINK("https://klasma.github.io/Logging_0881/fåglar/A 41164-2023 prioriterade fågelarter.docx", "A 41164-2023")</f>
        <v/>
      </c>
    </row>
    <row r="38" ht="15" customHeight="1">
      <c r="A38" t="inlineStr">
        <is>
          <t>A 61771-2022</t>
        </is>
      </c>
      <c r="B38" s="1" t="n">
        <v>44917</v>
      </c>
      <c r="C38" s="1" t="n">
        <v>46194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10.4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HYPERLINK("https://klasma.github.io/Logging_0881/artfynd/A 61771-2022 artfynd.xlsx", "A 61771-2022")</f>
        <v/>
      </c>
      <c r="T38">
        <f>HYPERLINK("https://klasma.github.io/Logging_0881/kartor/A 61771-2022 karta.png", "A 61771-2022")</f>
        <v/>
      </c>
      <c r="V38">
        <f>HYPERLINK("https://klasma.github.io/Logging_0881/klagomål/A 61771-2022 FSC-klagomål.docx", "A 61771-2022")</f>
        <v/>
      </c>
      <c r="W38">
        <f>HYPERLINK("https://klasma.github.io/Logging_0881/klagomålsmail/A 61771-2022 FSC-klagomål mail.docx", "A 61771-2022")</f>
        <v/>
      </c>
      <c r="X38">
        <f>HYPERLINK("https://klasma.github.io/Logging_0881/tillsyn/A 61771-2022 tillsynsbegäran.docx", "A 61771-2022")</f>
        <v/>
      </c>
      <c r="Y38">
        <f>HYPERLINK("https://klasma.github.io/Logging_0881/tillsynsmail/A 61771-2022 tillsynsbegäran mail.docx", "A 61771-2022")</f>
        <v/>
      </c>
      <c r="Z38">
        <f>HYPERLINK("https://klasma.github.io/Logging_0881/fåglar/A 61771-2022 prioriterade fågelarter.docx", "A 61771-2022")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46194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flatbagge
Grönsiska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  <c r="Z39">
        <f>HYPERLINK("https://klasma.github.io/Logging_0881/fåglar/A 30121-2023 prioriterade fågelarter.docx", "A 30121-2023")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46194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39038-2025</t>
        </is>
      </c>
      <c r="B41" s="1" t="n">
        <v>45888</v>
      </c>
      <c r="C41" s="1" t="n">
        <v>46194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Revlummer</t>
        </is>
      </c>
      <c r="S41">
        <f>HYPERLINK("https://klasma.github.io/Logging_0881/artfynd/A 39038-2025 artfynd.xlsx", "A 39038-2025")</f>
        <v/>
      </c>
      <c r="T41">
        <f>HYPERLINK("https://klasma.github.io/Logging_0881/kartor/A 39038-2025 karta.png", "A 39038-2025")</f>
        <v/>
      </c>
      <c r="V41">
        <f>HYPERLINK("https://klasma.github.io/Logging_0881/klagomål/A 39038-2025 FSC-klagomål.docx", "A 39038-2025")</f>
        <v/>
      </c>
      <c r="W41">
        <f>HYPERLINK("https://klasma.github.io/Logging_0881/klagomålsmail/A 39038-2025 FSC-klagomål mail.docx", "A 39038-2025")</f>
        <v/>
      </c>
      <c r="X41">
        <f>HYPERLINK("https://klasma.github.io/Logging_0881/tillsyn/A 39038-2025 tillsynsbegäran.docx", "A 39038-2025")</f>
        <v/>
      </c>
      <c r="Y41">
        <f>HYPERLINK("https://klasma.github.io/Logging_0881/tillsynsmail/A 39038-2025 tillsynsbegäran mail.docx", "A 39038-2025")</f>
        <v/>
      </c>
      <c r="Z41">
        <f>HYPERLINK("https://klasma.github.io/Logging_0881/fåglar/A 39038-2025 prioriterade fågelarter.docx", "A 39038-2025")</f>
        <v/>
      </c>
    </row>
    <row r="42" ht="15" customHeight="1">
      <c r="A42" t="inlineStr">
        <is>
          <t>A 9153-2023</t>
        </is>
      </c>
      <c r="B42" s="1" t="n">
        <v>44980</v>
      </c>
      <c r="C42" s="1" t="n">
        <v>46194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Sandödla
Mindre hackspett</t>
        </is>
      </c>
      <c r="S42">
        <f>HYPERLINK("https://klasma.github.io/Logging_0881/artfynd/A 9153-2023 artfynd.xlsx", "A 9153-2023")</f>
        <v/>
      </c>
      <c r="T42">
        <f>HYPERLINK("https://klasma.github.io/Logging_0881/kartor/A 9153-2023 karta.png", "A 9153-2023")</f>
        <v/>
      </c>
      <c r="V42">
        <f>HYPERLINK("https://klasma.github.io/Logging_0881/klagomål/A 9153-2023 FSC-klagomål.docx", "A 9153-2023")</f>
        <v/>
      </c>
      <c r="W42">
        <f>HYPERLINK("https://klasma.github.io/Logging_0881/klagomålsmail/A 9153-2023 FSC-klagomål mail.docx", "A 9153-2023")</f>
        <v/>
      </c>
      <c r="X42">
        <f>HYPERLINK("https://klasma.github.io/Logging_0881/tillsyn/A 9153-2023 tillsynsbegäran.docx", "A 9153-2023")</f>
        <v/>
      </c>
      <c r="Y42">
        <f>HYPERLINK("https://klasma.github.io/Logging_0881/tillsynsmail/A 9153-2023 tillsynsbegäran mail.docx", "A 9153-2023")</f>
        <v/>
      </c>
      <c r="Z42">
        <f>HYPERLINK("https://klasma.github.io/Logging_0881/fåglar/A 9153-2023 prioriterade fågelarter.docx", "A 9153-2023")</f>
        <v/>
      </c>
    </row>
    <row r="43" ht="15" customHeight="1">
      <c r="A43" t="inlineStr">
        <is>
          <t>A 33067-2022</t>
        </is>
      </c>
      <c r="B43" s="1" t="n">
        <v>44785</v>
      </c>
      <c r="C43" s="1" t="n">
        <v>46194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Sommarfibbla
Tjäder</t>
        </is>
      </c>
      <c r="S43">
        <f>HYPERLINK("https://klasma.github.io/Logging_0881/artfynd/A 33067-2022 artfynd.xlsx", "A 33067-2022")</f>
        <v/>
      </c>
      <c r="T43">
        <f>HYPERLINK("https://klasma.github.io/Logging_0881/kartor/A 33067-2022 karta.png", "A 33067-2022")</f>
        <v/>
      </c>
      <c r="V43">
        <f>HYPERLINK("https://klasma.github.io/Logging_0881/klagomål/A 33067-2022 FSC-klagomål.docx", "A 33067-2022")</f>
        <v/>
      </c>
      <c r="W43">
        <f>HYPERLINK("https://klasma.github.io/Logging_0881/klagomålsmail/A 33067-2022 FSC-klagomål mail.docx", "A 33067-2022")</f>
        <v/>
      </c>
      <c r="X43">
        <f>HYPERLINK("https://klasma.github.io/Logging_0881/tillsyn/A 33067-2022 tillsynsbegäran.docx", "A 33067-2022")</f>
        <v/>
      </c>
      <c r="Y43">
        <f>HYPERLINK("https://klasma.github.io/Logging_0881/tillsynsmail/A 33067-2022 tillsynsbegäran mail.docx", "A 33067-2022")</f>
        <v/>
      </c>
      <c r="Z43">
        <f>HYPERLINK("https://klasma.github.io/Logging_0881/fåglar/A 33067-2022 prioriterade fågelarter.docx", "A 33067-2022")</f>
        <v/>
      </c>
    </row>
    <row r="44" ht="15" customHeight="1">
      <c r="A44" t="inlineStr">
        <is>
          <t>A 26699-2023</t>
        </is>
      </c>
      <c r="B44" s="1" t="n">
        <v>45093</v>
      </c>
      <c r="C44" s="1" t="n">
        <v>46194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Grönhjon
Vågbandad barkbock</t>
        </is>
      </c>
      <c r="S44">
        <f>HYPERLINK("https://klasma.github.io/Logging_0881/artfynd/A 26699-2023 artfynd.xlsx", "A 26699-2023")</f>
        <v/>
      </c>
      <c r="T44">
        <f>HYPERLINK("https://klasma.github.io/Logging_0881/kartor/A 26699-2023 karta.png", "A 26699-2023")</f>
        <v/>
      </c>
      <c r="V44">
        <f>HYPERLINK("https://klasma.github.io/Logging_0881/klagomål/A 26699-2023 FSC-klagomål.docx", "A 26699-2023")</f>
        <v/>
      </c>
      <c r="W44">
        <f>HYPERLINK("https://klasma.github.io/Logging_0881/klagomålsmail/A 26699-2023 FSC-klagomål mail.docx", "A 26699-2023")</f>
        <v/>
      </c>
      <c r="X44">
        <f>HYPERLINK("https://klasma.github.io/Logging_0881/tillsyn/A 26699-2023 tillsynsbegäran.docx", "A 26699-2023")</f>
        <v/>
      </c>
      <c r="Y44">
        <f>HYPERLINK("https://klasma.github.io/Logging_0881/tillsynsmail/A 26699-2023 tillsynsbegäran mail.docx", "A 26699-2023")</f>
        <v/>
      </c>
    </row>
    <row r="45" ht="15" customHeight="1">
      <c r="A45" t="inlineStr">
        <is>
          <t>A 36825-2023</t>
        </is>
      </c>
      <c r="B45" s="1" t="n">
        <v>45154</v>
      </c>
      <c r="C45" s="1" t="n">
        <v>46194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20.3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Tjäder
Kungsfågel</t>
        </is>
      </c>
      <c r="S45">
        <f>HYPERLINK("https://klasma.github.io/Logging_0881/artfynd/A 36825-2023 artfynd.xlsx", "A 36825-2023")</f>
        <v/>
      </c>
      <c r="T45">
        <f>HYPERLINK("https://klasma.github.io/Logging_0881/kartor/A 36825-2023 karta.png", "A 36825-2023")</f>
        <v/>
      </c>
      <c r="V45">
        <f>HYPERLINK("https://klasma.github.io/Logging_0881/klagomål/A 36825-2023 FSC-klagomål.docx", "A 36825-2023")</f>
        <v/>
      </c>
      <c r="W45">
        <f>HYPERLINK("https://klasma.github.io/Logging_0881/klagomålsmail/A 36825-2023 FSC-klagomål mail.docx", "A 36825-2023")</f>
        <v/>
      </c>
      <c r="X45">
        <f>HYPERLINK("https://klasma.github.io/Logging_0881/tillsyn/A 36825-2023 tillsynsbegäran.docx", "A 36825-2023")</f>
        <v/>
      </c>
      <c r="Y45">
        <f>HYPERLINK("https://klasma.github.io/Logging_0881/tillsynsmail/A 36825-2023 tillsynsbegäran mail.docx", "A 36825-2023")</f>
        <v/>
      </c>
      <c r="Z45">
        <f>HYPERLINK("https://klasma.github.io/Logging_0881/fåglar/A 36825-2023 prioriterade fågelarter.docx", "A 36825-2023")</f>
        <v/>
      </c>
    </row>
    <row r="46" ht="15" customHeight="1">
      <c r="A46" t="inlineStr">
        <is>
          <t>A 51406-2022</t>
        </is>
      </c>
      <c r="B46" s="1" t="n">
        <v>44869</v>
      </c>
      <c r="C46" s="1" t="n">
        <v>46194</v>
      </c>
      <c r="D46" t="inlineStr">
        <is>
          <t>KALMAR LÄN</t>
        </is>
      </c>
      <c r="E46" t="inlineStr">
        <is>
          <t>NYBRO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Större brunfladdermus</t>
        </is>
      </c>
      <c r="S46">
        <f>HYPERLINK("https://klasma.github.io/Logging_0881/artfynd/A 51406-2022 artfynd.xlsx", "A 51406-2022")</f>
        <v/>
      </c>
      <c r="T46">
        <f>HYPERLINK("https://klasma.github.io/Logging_0881/kartor/A 51406-2022 karta.png", "A 51406-2022")</f>
        <v/>
      </c>
      <c r="V46">
        <f>HYPERLINK("https://klasma.github.io/Logging_0881/klagomål/A 51406-2022 FSC-klagomål.docx", "A 51406-2022")</f>
        <v/>
      </c>
      <c r="W46">
        <f>HYPERLINK("https://klasma.github.io/Logging_0881/klagomålsmail/A 51406-2022 FSC-klagomål mail.docx", "A 51406-2022")</f>
        <v/>
      </c>
      <c r="X46">
        <f>HYPERLINK("https://klasma.github.io/Logging_0881/tillsyn/A 51406-2022 tillsynsbegäran.docx", "A 51406-2022")</f>
        <v/>
      </c>
      <c r="Y46">
        <f>HYPERLINK("https://klasma.github.io/Logging_0881/tillsynsmail/A 51406-2022 tillsynsbegäran mail.docx", "A 51406-2022")</f>
        <v/>
      </c>
    </row>
    <row r="47" ht="15" customHeight="1">
      <c r="A47" t="inlineStr">
        <is>
          <t>A 44064-2023</t>
        </is>
      </c>
      <c r="B47" s="1" t="n">
        <v>45188</v>
      </c>
      <c r="C47" s="1" t="n">
        <v>46194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Rostfläck
Sotlav</t>
        </is>
      </c>
      <c r="S47">
        <f>HYPERLINK("https://klasma.github.io/Logging_0881/artfynd/A 44064-2023 artfynd.xlsx", "A 44064-2023")</f>
        <v/>
      </c>
      <c r="T47">
        <f>HYPERLINK("https://klasma.github.io/Logging_0881/kartor/A 44064-2023 karta.png", "A 44064-2023")</f>
        <v/>
      </c>
      <c r="V47">
        <f>HYPERLINK("https://klasma.github.io/Logging_0881/klagomål/A 44064-2023 FSC-klagomål.docx", "A 44064-2023")</f>
        <v/>
      </c>
      <c r="W47">
        <f>HYPERLINK("https://klasma.github.io/Logging_0881/klagomålsmail/A 44064-2023 FSC-klagomål mail.docx", "A 44064-2023")</f>
        <v/>
      </c>
      <c r="X47">
        <f>HYPERLINK("https://klasma.github.io/Logging_0881/tillsyn/A 44064-2023 tillsynsbegäran.docx", "A 44064-2023")</f>
        <v/>
      </c>
      <c r="Y47">
        <f>HYPERLINK("https://klasma.github.io/Logging_0881/tillsynsmail/A 44064-2023 tillsynsbegäran mail.docx", "A 44064-2023")</f>
        <v/>
      </c>
    </row>
    <row r="48" ht="15" customHeight="1">
      <c r="A48" t="inlineStr">
        <is>
          <t>A 20639-2026</t>
        </is>
      </c>
      <c r="B48" s="1" t="n">
        <v>46141</v>
      </c>
      <c r="C48" s="1" t="n">
        <v>46194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Ljungögontröst
Dvärglin</t>
        </is>
      </c>
      <c r="S48">
        <f>HYPERLINK("https://klasma.github.io/Logging_0881/artfynd/A 20639-2026 artfynd.xlsx", "A 20639-2026")</f>
        <v/>
      </c>
      <c r="T48">
        <f>HYPERLINK("https://klasma.github.io/Logging_0881/kartor/A 20639-2026 karta.png", "A 20639-2026")</f>
        <v/>
      </c>
      <c r="V48">
        <f>HYPERLINK("https://klasma.github.io/Logging_0881/klagomål/A 20639-2026 FSC-klagomål.docx", "A 20639-2026")</f>
        <v/>
      </c>
      <c r="W48">
        <f>HYPERLINK("https://klasma.github.io/Logging_0881/klagomålsmail/A 20639-2026 FSC-klagomål mail.docx", "A 20639-2026")</f>
        <v/>
      </c>
      <c r="X48">
        <f>HYPERLINK("https://klasma.github.io/Logging_0881/tillsyn/A 20639-2026 tillsynsbegäran.docx", "A 20639-2026")</f>
        <v/>
      </c>
      <c r="Y48">
        <f>HYPERLINK("https://klasma.github.io/Logging_0881/tillsynsmail/A 20639-2026 tillsynsbegäran mail.docx", "A 20639-2026")</f>
        <v/>
      </c>
    </row>
    <row r="49" ht="15" customHeight="1">
      <c r="A49" t="inlineStr">
        <is>
          <t>A 1529-2023</t>
        </is>
      </c>
      <c r="B49" s="1" t="n">
        <v>44937</v>
      </c>
      <c r="C49" s="1" t="n">
        <v>46194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4.1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Gröngöling
Trana</t>
        </is>
      </c>
      <c r="S49">
        <f>HYPERLINK("https://klasma.github.io/Logging_0881/artfynd/A 1529-2023 artfynd.xlsx", "A 1529-2023")</f>
        <v/>
      </c>
      <c r="T49">
        <f>HYPERLINK("https://klasma.github.io/Logging_0881/kartor/A 1529-2023 karta.png", "A 1529-2023")</f>
        <v/>
      </c>
      <c r="V49">
        <f>HYPERLINK("https://klasma.github.io/Logging_0881/klagomål/A 1529-2023 FSC-klagomål.docx", "A 1529-2023")</f>
        <v/>
      </c>
      <c r="W49">
        <f>HYPERLINK("https://klasma.github.io/Logging_0881/klagomålsmail/A 1529-2023 FSC-klagomål mail.docx", "A 1529-2023")</f>
        <v/>
      </c>
      <c r="X49">
        <f>HYPERLINK("https://klasma.github.io/Logging_0881/tillsyn/A 1529-2023 tillsynsbegäran.docx", "A 1529-2023")</f>
        <v/>
      </c>
      <c r="Y49">
        <f>HYPERLINK("https://klasma.github.io/Logging_0881/tillsynsmail/A 1529-2023 tillsynsbegäran mail.docx", "A 1529-2023")</f>
        <v/>
      </c>
      <c r="Z49">
        <f>HYPERLINK("https://klasma.github.io/Logging_0881/fåglar/A 1529-2023 prioriterade fågelarter.docx", "A 1529-2023")</f>
        <v/>
      </c>
    </row>
    <row r="50" ht="15" customHeight="1">
      <c r="A50" t="inlineStr">
        <is>
          <t>A 22316-2024</t>
        </is>
      </c>
      <c r="B50" s="1" t="n">
        <v>45446</v>
      </c>
      <c r="C50" s="1" t="n">
        <v>46194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HYPERLINK("https://klasma.github.io/Logging_0881/artfynd/A 22316-2024 artfynd.xlsx", "A 22316-2024")</f>
        <v/>
      </c>
      <c r="T50">
        <f>HYPERLINK("https://klasma.github.io/Logging_0881/kartor/A 22316-2024 karta.png", "A 22316-2024")</f>
        <v/>
      </c>
      <c r="V50">
        <f>HYPERLINK("https://klasma.github.io/Logging_0881/klagomål/A 22316-2024 FSC-klagomål.docx", "A 22316-2024")</f>
        <v/>
      </c>
      <c r="W50">
        <f>HYPERLINK("https://klasma.github.io/Logging_0881/klagomålsmail/A 22316-2024 FSC-klagomål mail.docx", "A 22316-2024")</f>
        <v/>
      </c>
      <c r="X50">
        <f>HYPERLINK("https://klasma.github.io/Logging_0881/tillsyn/A 22316-2024 tillsynsbegäran.docx", "A 22316-2024")</f>
        <v/>
      </c>
      <c r="Y50">
        <f>HYPERLINK("https://klasma.github.io/Logging_0881/tillsynsmail/A 22316-2024 tillsynsbegäran mail.docx", "A 22316-2024")</f>
        <v/>
      </c>
    </row>
    <row r="51" ht="15" customHeight="1">
      <c r="A51" t="inlineStr">
        <is>
          <t>A 28131-2025</t>
        </is>
      </c>
      <c r="B51" s="1" t="n">
        <v>45818</v>
      </c>
      <c r="C51" s="1" t="n">
        <v>46194</v>
      </c>
      <c r="D51" t="inlineStr">
        <is>
          <t>KALMAR LÄN</t>
        </is>
      </c>
      <c r="E51" t="inlineStr">
        <is>
          <t>NYBRO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Spillkråka</t>
        </is>
      </c>
      <c r="S51">
        <f>HYPERLINK("https://klasma.github.io/Logging_0881/artfynd/A 28131-2025 artfynd.xlsx", "A 28131-2025")</f>
        <v/>
      </c>
      <c r="T51">
        <f>HYPERLINK("https://klasma.github.io/Logging_0881/kartor/A 28131-2025 karta.png", "A 28131-2025")</f>
        <v/>
      </c>
      <c r="V51">
        <f>HYPERLINK("https://klasma.github.io/Logging_0881/klagomål/A 28131-2025 FSC-klagomål.docx", "A 28131-2025")</f>
        <v/>
      </c>
      <c r="W51">
        <f>HYPERLINK("https://klasma.github.io/Logging_0881/klagomålsmail/A 28131-2025 FSC-klagomål mail.docx", "A 28131-2025")</f>
        <v/>
      </c>
      <c r="X51">
        <f>HYPERLINK("https://klasma.github.io/Logging_0881/tillsyn/A 28131-2025 tillsynsbegäran.docx", "A 28131-2025")</f>
        <v/>
      </c>
      <c r="Y51">
        <f>HYPERLINK("https://klasma.github.io/Logging_0881/tillsynsmail/A 28131-2025 tillsynsbegäran mail.docx", "A 28131-2025")</f>
        <v/>
      </c>
      <c r="Z51">
        <f>HYPERLINK("https://klasma.github.io/Logging_0881/fåglar/A 28131-2025 prioriterade fågelarter.docx", "A 28131-2025")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46194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28880-2023</t>
        </is>
      </c>
      <c r="B53" s="1" t="n">
        <v>45104</v>
      </c>
      <c r="C53" s="1" t="n">
        <v>46194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Mattlummer
Nattskärra</t>
        </is>
      </c>
      <c r="S53">
        <f>HYPERLINK("https://klasma.github.io/Logging_0881/artfynd/A 28880-2023 artfynd.xlsx", "A 28880-2023")</f>
        <v/>
      </c>
      <c r="T53">
        <f>HYPERLINK("https://klasma.github.io/Logging_0881/kartor/A 28880-2023 karta.png", "A 28880-2023")</f>
        <v/>
      </c>
      <c r="V53">
        <f>HYPERLINK("https://klasma.github.io/Logging_0881/klagomål/A 28880-2023 FSC-klagomål.docx", "A 28880-2023")</f>
        <v/>
      </c>
      <c r="W53">
        <f>HYPERLINK("https://klasma.github.io/Logging_0881/klagomålsmail/A 28880-2023 FSC-klagomål mail.docx", "A 28880-2023")</f>
        <v/>
      </c>
      <c r="X53">
        <f>HYPERLINK("https://klasma.github.io/Logging_0881/tillsyn/A 28880-2023 tillsynsbegäran.docx", "A 28880-2023")</f>
        <v/>
      </c>
      <c r="Y53">
        <f>HYPERLINK("https://klasma.github.io/Logging_0881/tillsynsmail/A 28880-2023 tillsynsbegäran mail.docx", "A 28880-2023")</f>
        <v/>
      </c>
      <c r="Z53">
        <f>HYPERLINK("https://klasma.github.io/Logging_0881/fåglar/A 28880-2023 prioriterade fågelarter.docx", "A 28880-2023")</f>
        <v/>
      </c>
    </row>
    <row r="54" ht="15" customHeight="1">
      <c r="A54" t="inlineStr">
        <is>
          <t>A 35002-2025</t>
        </is>
      </c>
      <c r="B54" s="1" t="n">
        <v>45850</v>
      </c>
      <c r="C54" s="1" t="n">
        <v>46194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Blomkålssvamp</t>
        </is>
      </c>
      <c r="S54">
        <f>HYPERLINK("https://klasma.github.io/Logging_0881/artfynd/A 35002-2025 artfynd.xlsx", "A 35002-2025")</f>
        <v/>
      </c>
      <c r="T54">
        <f>HYPERLINK("https://klasma.github.io/Logging_0881/kartor/A 35002-2025 karta.png", "A 35002-2025")</f>
        <v/>
      </c>
      <c r="U54">
        <f>HYPERLINK("https://klasma.github.io/Logging_0881/knärot/A 35002-2025 karta knärot.png", "A 35002-2025")</f>
        <v/>
      </c>
      <c r="V54">
        <f>HYPERLINK("https://klasma.github.io/Logging_0881/klagomål/A 35002-2025 FSC-klagomål.docx", "A 35002-2025")</f>
        <v/>
      </c>
      <c r="W54">
        <f>HYPERLINK("https://klasma.github.io/Logging_0881/klagomålsmail/A 35002-2025 FSC-klagomål mail.docx", "A 35002-2025")</f>
        <v/>
      </c>
      <c r="X54">
        <f>HYPERLINK("https://klasma.github.io/Logging_0881/tillsyn/A 35002-2025 tillsynsbegäran.docx", "A 35002-2025")</f>
        <v/>
      </c>
      <c r="Y54">
        <f>HYPERLINK("https://klasma.github.io/Logging_0881/tillsynsmail/A 35002-2025 tillsynsbegäran mail.docx", "A 35002-2025")</f>
        <v/>
      </c>
    </row>
    <row r="55" ht="15" customHeight="1">
      <c r="A55" t="inlineStr">
        <is>
          <t>A 35252-2025</t>
        </is>
      </c>
      <c r="B55" s="1" t="n">
        <v>45853</v>
      </c>
      <c r="C55" s="1" t="n">
        <v>46194</v>
      </c>
      <c r="D55" t="inlineStr">
        <is>
          <t>KALMAR LÄN</t>
        </is>
      </c>
      <c r="E55" t="inlineStr">
        <is>
          <t>NYBRO</t>
        </is>
      </c>
      <c r="G55" t="n">
        <v>4.9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Mattlummer
Revlummer</t>
        </is>
      </c>
      <c r="S55">
        <f>HYPERLINK("https://klasma.github.io/Logging_0881/artfynd/A 35252-2025 artfynd.xlsx", "A 35252-2025")</f>
        <v/>
      </c>
      <c r="T55">
        <f>HYPERLINK("https://klasma.github.io/Logging_0881/kartor/A 35252-2025 karta.png", "A 35252-2025")</f>
        <v/>
      </c>
      <c r="V55">
        <f>HYPERLINK("https://klasma.github.io/Logging_0881/klagomål/A 35252-2025 FSC-klagomål.docx", "A 35252-2025")</f>
        <v/>
      </c>
      <c r="W55">
        <f>HYPERLINK("https://klasma.github.io/Logging_0881/klagomålsmail/A 35252-2025 FSC-klagomål mail.docx", "A 35252-2025")</f>
        <v/>
      </c>
      <c r="X55">
        <f>HYPERLINK("https://klasma.github.io/Logging_0881/tillsyn/A 35252-2025 tillsynsbegäran.docx", "A 35252-2025")</f>
        <v/>
      </c>
      <c r="Y55">
        <f>HYPERLINK("https://klasma.github.io/Logging_0881/tillsynsmail/A 35252-2025 tillsynsbegäran mail.docx", "A 35252-2025")</f>
        <v/>
      </c>
    </row>
    <row r="56" ht="15" customHeight="1">
      <c r="A56" t="inlineStr">
        <is>
          <t>A 63006-2025</t>
        </is>
      </c>
      <c r="B56" s="1" t="n">
        <v>46009</v>
      </c>
      <c r="C56" s="1" t="n">
        <v>46194</v>
      </c>
      <c r="D56" t="inlineStr">
        <is>
          <t>KALMAR LÄN</t>
        </is>
      </c>
      <c r="E56" t="inlineStr">
        <is>
          <t>NYBRO</t>
        </is>
      </c>
      <c r="G56" t="n">
        <v>6.8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Mindre märgborre</t>
        </is>
      </c>
      <c r="S56">
        <f>HYPERLINK("https://klasma.github.io/Logging_0881/artfynd/A 63006-2025 artfynd.xlsx", "A 63006-2025")</f>
        <v/>
      </c>
      <c r="T56">
        <f>HYPERLINK("https://klasma.github.io/Logging_0881/kartor/A 63006-2025 karta.png", "A 63006-2025")</f>
        <v/>
      </c>
      <c r="V56">
        <f>HYPERLINK("https://klasma.github.io/Logging_0881/klagomål/A 63006-2025 FSC-klagomål.docx", "A 63006-2025")</f>
        <v/>
      </c>
      <c r="W56">
        <f>HYPERLINK("https://klasma.github.io/Logging_0881/klagomålsmail/A 63006-2025 FSC-klagomål mail.docx", "A 63006-2025")</f>
        <v/>
      </c>
      <c r="X56">
        <f>HYPERLINK("https://klasma.github.io/Logging_0881/tillsyn/A 63006-2025 tillsynsbegäran.docx", "A 63006-2025")</f>
        <v/>
      </c>
      <c r="Y56">
        <f>HYPERLINK("https://klasma.github.io/Logging_0881/tillsynsmail/A 63006-2025 tillsynsbegäran mail.docx", "A 63006-2025")</f>
        <v/>
      </c>
    </row>
    <row r="57" ht="15" customHeight="1">
      <c r="A57" t="inlineStr">
        <is>
          <t>A 7041-2026</t>
        </is>
      </c>
      <c r="B57" s="1" t="n">
        <v>46057</v>
      </c>
      <c r="C57" s="1" t="n">
        <v>46194</v>
      </c>
      <c r="D57" t="inlineStr">
        <is>
          <t>KALMAR LÄN</t>
        </is>
      </c>
      <c r="E57" t="inlineStr">
        <is>
          <t>NYBRO</t>
        </is>
      </c>
      <c r="G57" t="n">
        <v>5.8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Kornig nållav
Vanlig flatbagge</t>
        </is>
      </c>
      <c r="S57">
        <f>HYPERLINK("https://klasma.github.io/Logging_0881/artfynd/A 7041-2026 artfynd.xlsx", "A 7041-2026")</f>
        <v/>
      </c>
      <c r="T57">
        <f>HYPERLINK("https://klasma.github.io/Logging_0881/kartor/A 7041-2026 karta.png", "A 7041-2026")</f>
        <v/>
      </c>
      <c r="V57">
        <f>HYPERLINK("https://klasma.github.io/Logging_0881/klagomål/A 7041-2026 FSC-klagomål.docx", "A 7041-2026")</f>
        <v/>
      </c>
      <c r="W57">
        <f>HYPERLINK("https://klasma.github.io/Logging_0881/klagomålsmail/A 7041-2026 FSC-klagomål mail.docx", "A 7041-2026")</f>
        <v/>
      </c>
      <c r="X57">
        <f>HYPERLINK("https://klasma.github.io/Logging_0881/tillsyn/A 7041-2026 tillsynsbegäran.docx", "A 7041-2026")</f>
        <v/>
      </c>
      <c r="Y57">
        <f>HYPERLINK("https://klasma.github.io/Logging_0881/tillsynsmail/A 7041-2026 tillsynsbegäran mail.docx", "A 7041-2026")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46194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32936-2021</t>
        </is>
      </c>
      <c r="B59" s="1" t="n">
        <v>44375</v>
      </c>
      <c r="C59" s="1" t="n">
        <v>46194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32936-2021 artfynd.xlsx", "A 32936-2021")</f>
        <v/>
      </c>
      <c r="T59">
        <f>HYPERLINK("https://klasma.github.io/Logging_0881/kartor/A 32936-2021 karta.png", "A 32936-2021")</f>
        <v/>
      </c>
      <c r="V59">
        <f>HYPERLINK("https://klasma.github.io/Logging_0881/klagomål/A 32936-2021 FSC-klagomål.docx", "A 32936-2021")</f>
        <v/>
      </c>
      <c r="W59">
        <f>HYPERLINK("https://klasma.github.io/Logging_0881/klagomålsmail/A 32936-2021 FSC-klagomål mail.docx", "A 32936-2021")</f>
        <v/>
      </c>
      <c r="X59">
        <f>HYPERLINK("https://klasma.github.io/Logging_0881/tillsyn/A 32936-2021 tillsynsbegäran.docx", "A 32936-2021")</f>
        <v/>
      </c>
      <c r="Y59">
        <f>HYPERLINK("https://klasma.github.io/Logging_0881/tillsynsmail/A 32936-2021 tillsynsbegäran mail.docx", "A 32936-2021")</f>
        <v/>
      </c>
      <c r="Z59">
        <f>HYPERLINK("https://klasma.github.io/Logging_0881/fåglar/A 32936-2021 prioriterade fågelarter.docx", "A 32936-2021")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46194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61140-2022</t>
        </is>
      </c>
      <c r="B61" s="1" t="n">
        <v>44908</v>
      </c>
      <c r="C61" s="1" t="n">
        <v>46194</v>
      </c>
      <c r="D61" t="inlineStr">
        <is>
          <t>KALMAR LÄN</t>
        </is>
      </c>
      <c r="E61" t="inlineStr">
        <is>
          <t>NYBRO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61140-2022 artfynd.xlsx", "A 61140-2022")</f>
        <v/>
      </c>
      <c r="T61">
        <f>HYPERLINK("https://klasma.github.io/Logging_0881/kartor/A 61140-2022 karta.png", "A 61140-2022")</f>
        <v/>
      </c>
      <c r="V61">
        <f>HYPERLINK("https://klasma.github.io/Logging_0881/klagomål/A 61140-2022 FSC-klagomål.docx", "A 61140-2022")</f>
        <v/>
      </c>
      <c r="W61">
        <f>HYPERLINK("https://klasma.github.io/Logging_0881/klagomålsmail/A 61140-2022 FSC-klagomål mail.docx", "A 61140-2022")</f>
        <v/>
      </c>
      <c r="X61">
        <f>HYPERLINK("https://klasma.github.io/Logging_0881/tillsyn/A 61140-2022 tillsynsbegäran.docx", "A 61140-2022")</f>
        <v/>
      </c>
      <c r="Y61">
        <f>HYPERLINK("https://klasma.github.io/Logging_0881/tillsynsmail/A 61140-2022 tillsynsbegäran mail.docx", "A 61140-2022")</f>
        <v/>
      </c>
      <c r="Z61">
        <f>HYPERLINK("https://klasma.github.io/Logging_0881/fåglar/A 61140-2022 prioriterade fågelarter.docx", "A 61140-2022")</f>
        <v/>
      </c>
    </row>
    <row r="62" ht="15" customHeight="1">
      <c r="A62" t="inlineStr">
        <is>
          <t>A 35388-2022</t>
        </is>
      </c>
      <c r="B62" s="1" t="n">
        <v>44798</v>
      </c>
      <c r="C62" s="1" t="n">
        <v>46194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HYPERLINK("https://klasma.github.io/Logging_0881/artfynd/A 35388-2022 artfynd.xlsx", "A 35388-2022")</f>
        <v/>
      </c>
      <c r="T62">
        <f>HYPERLINK("https://klasma.github.io/Logging_0881/kartor/A 35388-2022 karta.png", "A 35388-2022")</f>
        <v/>
      </c>
      <c r="V62">
        <f>HYPERLINK("https://klasma.github.io/Logging_0881/klagomål/A 35388-2022 FSC-klagomål.docx", "A 35388-2022")</f>
        <v/>
      </c>
      <c r="W62">
        <f>HYPERLINK("https://klasma.github.io/Logging_0881/klagomålsmail/A 35388-2022 FSC-klagomål mail.docx", "A 35388-2022")</f>
        <v/>
      </c>
      <c r="X62">
        <f>HYPERLINK("https://klasma.github.io/Logging_0881/tillsyn/A 35388-2022 tillsynsbegäran.docx", "A 35388-2022")</f>
        <v/>
      </c>
      <c r="Y62">
        <f>HYPERLINK("https://klasma.github.io/Logging_0881/tillsynsmail/A 35388-2022 tillsynsbegäran mail.docx", "A 35388-2022")</f>
        <v/>
      </c>
    </row>
    <row r="63" ht="15" customHeight="1">
      <c r="A63" t="inlineStr">
        <is>
          <t>A 22171-2023</t>
        </is>
      </c>
      <c r="B63" s="1" t="n">
        <v>45069</v>
      </c>
      <c r="C63" s="1" t="n">
        <v>46194</v>
      </c>
      <c r="D63" t="inlineStr">
        <is>
          <t>KALMAR LÄN</t>
        </is>
      </c>
      <c r="E63" t="inlineStr">
        <is>
          <t>NYBRO</t>
        </is>
      </c>
      <c r="G63" t="n">
        <v>3.6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22171-2023 artfynd.xlsx", "A 22171-2023")</f>
        <v/>
      </c>
      <c r="T63">
        <f>HYPERLINK("https://klasma.github.io/Logging_0881/kartor/A 22171-2023 karta.png", "A 22171-2023")</f>
        <v/>
      </c>
      <c r="V63">
        <f>HYPERLINK("https://klasma.github.io/Logging_0881/klagomål/A 22171-2023 FSC-klagomål.docx", "A 22171-2023")</f>
        <v/>
      </c>
      <c r="W63">
        <f>HYPERLINK("https://klasma.github.io/Logging_0881/klagomålsmail/A 22171-2023 FSC-klagomål mail.docx", "A 22171-2023")</f>
        <v/>
      </c>
      <c r="X63">
        <f>HYPERLINK("https://klasma.github.io/Logging_0881/tillsyn/A 22171-2023 tillsynsbegäran.docx", "A 22171-2023")</f>
        <v/>
      </c>
      <c r="Y63">
        <f>HYPERLINK("https://klasma.github.io/Logging_0881/tillsynsmail/A 22171-2023 tillsynsbegäran mail.docx", "A 22171-2023")</f>
        <v/>
      </c>
    </row>
    <row r="64" ht="15" customHeight="1">
      <c r="A64" t="inlineStr">
        <is>
          <t>A 30510-2023</t>
        </is>
      </c>
      <c r="B64" s="1" t="n">
        <v>45111</v>
      </c>
      <c r="C64" s="1" t="n">
        <v>46194</v>
      </c>
      <c r="D64" t="inlineStr">
        <is>
          <t>KALMAR LÄN</t>
        </is>
      </c>
      <c r="E64" t="inlineStr">
        <is>
          <t>NYBRO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30510-2023 artfynd.xlsx", "A 30510-2023")</f>
        <v/>
      </c>
      <c r="T64">
        <f>HYPERLINK("https://klasma.github.io/Logging_0881/kartor/A 30510-2023 karta.png", "A 30510-2023")</f>
        <v/>
      </c>
      <c r="V64">
        <f>HYPERLINK("https://klasma.github.io/Logging_0881/klagomål/A 30510-2023 FSC-klagomål.docx", "A 30510-2023")</f>
        <v/>
      </c>
      <c r="W64">
        <f>HYPERLINK("https://klasma.github.io/Logging_0881/klagomålsmail/A 30510-2023 FSC-klagomål mail.docx", "A 30510-2023")</f>
        <v/>
      </c>
      <c r="X64">
        <f>HYPERLINK("https://klasma.github.io/Logging_0881/tillsyn/A 30510-2023 tillsynsbegäran.docx", "A 30510-2023")</f>
        <v/>
      </c>
      <c r="Y64">
        <f>HYPERLINK("https://klasma.github.io/Logging_0881/tillsynsmail/A 30510-2023 tillsynsbegäran mail.docx", "A 30510-2023")</f>
        <v/>
      </c>
      <c r="Z64">
        <f>HYPERLINK("https://klasma.github.io/Logging_0881/fåglar/A 30510-2023 prioriterade fågelarter.docx", "A 30510-2023")</f>
        <v/>
      </c>
    </row>
    <row r="65" ht="15" customHeight="1">
      <c r="A65" t="inlineStr">
        <is>
          <t>A 17741-2025</t>
        </is>
      </c>
      <c r="B65" s="1" t="n">
        <v>45758</v>
      </c>
      <c r="C65" s="1" t="n">
        <v>46194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Tårkragskivling</t>
        </is>
      </c>
      <c r="S65">
        <f>HYPERLINK("https://klasma.github.io/Logging_0881/artfynd/A 17741-2025 artfynd.xlsx", "A 17741-2025")</f>
        <v/>
      </c>
      <c r="T65">
        <f>HYPERLINK("https://klasma.github.io/Logging_0881/kartor/A 17741-2025 karta.png", "A 17741-2025")</f>
        <v/>
      </c>
      <c r="V65">
        <f>HYPERLINK("https://klasma.github.io/Logging_0881/klagomål/A 17741-2025 FSC-klagomål.docx", "A 17741-2025")</f>
        <v/>
      </c>
      <c r="W65">
        <f>HYPERLINK("https://klasma.github.io/Logging_0881/klagomålsmail/A 17741-2025 FSC-klagomål mail.docx", "A 17741-2025")</f>
        <v/>
      </c>
      <c r="X65">
        <f>HYPERLINK("https://klasma.github.io/Logging_0881/tillsyn/A 17741-2025 tillsynsbegäran.docx", "A 17741-2025")</f>
        <v/>
      </c>
      <c r="Y65">
        <f>HYPERLINK("https://klasma.github.io/Logging_0881/tillsynsmail/A 17741-2025 tillsynsbegäran mail.docx", "A 17741-2025")</f>
        <v/>
      </c>
    </row>
    <row r="66" ht="15" customHeight="1">
      <c r="A66" t="inlineStr">
        <is>
          <t>A 6676-2023</t>
        </is>
      </c>
      <c r="B66" s="1" t="n">
        <v>44966</v>
      </c>
      <c r="C66" s="1" t="n">
        <v>46194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46194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22952-2024</t>
        </is>
      </c>
      <c r="B68" s="1" t="n">
        <v>45449</v>
      </c>
      <c r="C68" s="1" t="n">
        <v>46194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46526-2021</t>
        </is>
      </c>
      <c r="B69" s="1" t="n">
        <v>44445</v>
      </c>
      <c r="C69" s="1" t="n">
        <v>46194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HYPERLINK("https://klasma.github.io/Logging_0881/artfynd/A 46526-2021 artfynd.xlsx", "A 46526-2021")</f>
        <v/>
      </c>
      <c r="T69">
        <f>HYPERLINK("https://klasma.github.io/Logging_0881/kartor/A 46526-2021 karta.png", "A 46526-2021")</f>
        <v/>
      </c>
      <c r="V69">
        <f>HYPERLINK("https://klasma.github.io/Logging_0881/klagomål/A 46526-2021 FSC-klagomål.docx", "A 46526-2021")</f>
        <v/>
      </c>
      <c r="W69">
        <f>HYPERLINK("https://klasma.github.io/Logging_0881/klagomålsmail/A 46526-2021 FSC-klagomål mail.docx", "A 46526-2021")</f>
        <v/>
      </c>
      <c r="X69">
        <f>HYPERLINK("https://klasma.github.io/Logging_0881/tillsyn/A 46526-2021 tillsynsbegäran.docx", "A 46526-2021")</f>
        <v/>
      </c>
      <c r="Y69">
        <f>HYPERLINK("https://klasma.github.io/Logging_0881/tillsynsmail/A 46526-2021 tillsynsbegäran mail.docx", "A 46526-2021")</f>
        <v/>
      </c>
    </row>
    <row r="70" ht="15" customHeight="1">
      <c r="A70" t="inlineStr">
        <is>
          <t>A 47582-2021</t>
        </is>
      </c>
      <c r="B70" s="1" t="n">
        <v>44448</v>
      </c>
      <c r="C70" s="1" t="n">
        <v>46194</v>
      </c>
      <c r="D70" t="inlineStr">
        <is>
          <t>KALMAR LÄN</t>
        </is>
      </c>
      <c r="E70" t="inlineStr">
        <is>
          <t>NYBRO</t>
        </is>
      </c>
      <c r="G70" t="n">
        <v>4.5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47582-2021 artfynd.xlsx", "A 47582-2021")</f>
        <v/>
      </c>
      <c r="T70">
        <f>HYPERLINK("https://klasma.github.io/Logging_0881/kartor/A 47582-2021 karta.png", "A 47582-2021")</f>
        <v/>
      </c>
      <c r="V70">
        <f>HYPERLINK("https://klasma.github.io/Logging_0881/klagomål/A 47582-2021 FSC-klagomål.docx", "A 47582-2021")</f>
        <v/>
      </c>
      <c r="W70">
        <f>HYPERLINK("https://klasma.github.io/Logging_0881/klagomålsmail/A 47582-2021 FSC-klagomål mail.docx", "A 47582-2021")</f>
        <v/>
      </c>
      <c r="X70">
        <f>HYPERLINK("https://klasma.github.io/Logging_0881/tillsyn/A 47582-2021 tillsynsbegäran.docx", "A 47582-2021")</f>
        <v/>
      </c>
      <c r="Y70">
        <f>HYPERLINK("https://klasma.github.io/Logging_0881/tillsynsmail/A 47582-2021 tillsynsbegäran mail.docx", "A 47582-2021")</f>
        <v/>
      </c>
      <c r="Z70">
        <f>HYPERLINK("https://klasma.github.io/Logging_0881/fåglar/A 47582-2021 prioriterade fågelarter.docx", "A 47582-2021")</f>
        <v/>
      </c>
    </row>
    <row r="71" ht="15" customHeight="1">
      <c r="A71" t="inlineStr">
        <is>
          <t>A 3726-2023</t>
        </is>
      </c>
      <c r="B71" s="1" t="n">
        <v>44951</v>
      </c>
      <c r="C71" s="1" t="n">
        <v>46194</v>
      </c>
      <c r="D71" t="inlineStr">
        <is>
          <t>KALMAR LÄN</t>
        </is>
      </c>
      <c r="E71" t="inlineStr">
        <is>
          <t>NYBRO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HYPERLINK("https://klasma.github.io/Logging_0881/artfynd/A 3726-2023 artfynd.xlsx", "A 3726-2023")</f>
        <v/>
      </c>
      <c r="T71">
        <f>HYPERLINK("https://klasma.github.io/Logging_0881/kartor/A 3726-2023 karta.png", "A 3726-2023")</f>
        <v/>
      </c>
      <c r="V71">
        <f>HYPERLINK("https://klasma.github.io/Logging_0881/klagomål/A 3726-2023 FSC-klagomål.docx", "A 3726-2023")</f>
        <v/>
      </c>
      <c r="W71">
        <f>HYPERLINK("https://klasma.github.io/Logging_0881/klagomålsmail/A 3726-2023 FSC-klagomål mail.docx", "A 3726-2023")</f>
        <v/>
      </c>
      <c r="X71">
        <f>HYPERLINK("https://klasma.github.io/Logging_0881/tillsyn/A 3726-2023 tillsynsbegäran.docx", "A 3726-2023")</f>
        <v/>
      </c>
      <c r="Y71">
        <f>HYPERLINK("https://klasma.github.io/Logging_0881/tillsynsmail/A 3726-2023 tillsynsbegäran mail.docx", "A 3726-2023")</f>
        <v/>
      </c>
    </row>
    <row r="72" ht="15" customHeight="1">
      <c r="A72" t="inlineStr">
        <is>
          <t>A 46223-2024</t>
        </is>
      </c>
      <c r="B72" s="1" t="n">
        <v>45581</v>
      </c>
      <c r="C72" s="1" t="n">
        <v>46194</v>
      </c>
      <c r="D72" t="inlineStr">
        <is>
          <t>KALMAR LÄN</t>
        </is>
      </c>
      <c r="E72" t="inlineStr">
        <is>
          <t>NYBRO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HYPERLINK("https://klasma.github.io/Logging_0881/artfynd/A 46223-2024 artfynd.xlsx", "A 46223-2024")</f>
        <v/>
      </c>
      <c r="T72">
        <f>HYPERLINK("https://klasma.github.io/Logging_0881/kartor/A 46223-2024 karta.png", "A 46223-2024")</f>
        <v/>
      </c>
      <c r="V72">
        <f>HYPERLINK("https://klasma.github.io/Logging_0881/klagomål/A 46223-2024 FSC-klagomål.docx", "A 46223-2024")</f>
        <v/>
      </c>
      <c r="W72">
        <f>HYPERLINK("https://klasma.github.io/Logging_0881/klagomålsmail/A 46223-2024 FSC-klagomål mail.docx", "A 46223-2024")</f>
        <v/>
      </c>
      <c r="X72">
        <f>HYPERLINK("https://klasma.github.io/Logging_0881/tillsyn/A 46223-2024 tillsynsbegäran.docx", "A 46223-2024")</f>
        <v/>
      </c>
      <c r="Y72">
        <f>HYPERLINK("https://klasma.github.io/Logging_0881/tillsynsmail/A 46223-2024 tillsynsbegäran mail.docx", "A 46223-2024")</f>
        <v/>
      </c>
    </row>
    <row r="73" ht="15" customHeight="1">
      <c r="A73" t="inlineStr">
        <is>
          <t>A 61809-2024</t>
        </is>
      </c>
      <c r="B73" s="1" t="n">
        <v>45649</v>
      </c>
      <c r="C73" s="1" t="n">
        <v>46194</v>
      </c>
      <c r="D73" t="inlineStr">
        <is>
          <t>KALMAR LÄN</t>
        </is>
      </c>
      <c r="E73" t="inlineStr">
        <is>
          <t>NYBRO</t>
        </is>
      </c>
      <c r="G73" t="n">
        <v>15.8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61809-2024 artfynd.xlsx", "A 61809-2024")</f>
        <v/>
      </c>
      <c r="T73">
        <f>HYPERLINK("https://klasma.github.io/Logging_0881/kartor/A 61809-2024 karta.png", "A 61809-2024")</f>
        <v/>
      </c>
      <c r="V73">
        <f>HYPERLINK("https://klasma.github.io/Logging_0881/klagomål/A 61809-2024 FSC-klagomål.docx", "A 61809-2024")</f>
        <v/>
      </c>
      <c r="W73">
        <f>HYPERLINK("https://klasma.github.io/Logging_0881/klagomålsmail/A 61809-2024 FSC-klagomål mail.docx", "A 61809-2024")</f>
        <v/>
      </c>
      <c r="X73">
        <f>HYPERLINK("https://klasma.github.io/Logging_0881/tillsyn/A 61809-2024 tillsynsbegäran.docx", "A 61809-2024")</f>
        <v/>
      </c>
      <c r="Y73">
        <f>HYPERLINK("https://klasma.github.io/Logging_0881/tillsynsmail/A 61809-2024 tillsynsbegäran mail.docx", "A 61809-2024")</f>
        <v/>
      </c>
      <c r="Z73">
        <f>HYPERLINK("https://klasma.github.io/Logging_0881/fåglar/A 61809-2024 prioriterade fågelarter.docx", "A 61809-2024")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46194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54314-2022</t>
        </is>
      </c>
      <c r="B75" s="1" t="n">
        <v>44882</v>
      </c>
      <c r="C75" s="1" t="n">
        <v>46194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HYPERLINK("https://klasma.github.io/Logging_0881/artfynd/A 54314-2022 artfynd.xlsx", "A 54314-2022")</f>
        <v/>
      </c>
      <c r="T75">
        <f>HYPERLINK("https://klasma.github.io/Logging_0881/kartor/A 54314-2022 karta.png", "A 54314-2022")</f>
        <v/>
      </c>
      <c r="V75">
        <f>HYPERLINK("https://klasma.github.io/Logging_0881/klagomål/A 54314-2022 FSC-klagomål.docx", "A 54314-2022")</f>
        <v/>
      </c>
      <c r="W75">
        <f>HYPERLINK("https://klasma.github.io/Logging_0881/klagomålsmail/A 54314-2022 FSC-klagomål mail.docx", "A 54314-2022")</f>
        <v/>
      </c>
      <c r="X75">
        <f>HYPERLINK("https://klasma.github.io/Logging_0881/tillsyn/A 54314-2022 tillsynsbegäran.docx", "A 54314-2022")</f>
        <v/>
      </c>
      <c r="Y75">
        <f>HYPERLINK("https://klasma.github.io/Logging_0881/tillsynsmail/A 54314-2022 tillsynsbegäran mail.docx", "A 54314-2022")</f>
        <v/>
      </c>
    </row>
    <row r="76" ht="15" customHeight="1">
      <c r="A76" t="inlineStr">
        <is>
          <t>A 64315-2023</t>
        </is>
      </c>
      <c r="B76" s="1" t="n">
        <v>45279</v>
      </c>
      <c r="C76" s="1" t="n">
        <v>46194</v>
      </c>
      <c r="D76" t="inlineStr">
        <is>
          <t>KALMAR LÄN</t>
        </is>
      </c>
      <c r="E76" t="inlineStr">
        <is>
          <t>NYBRO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HYPERLINK("https://klasma.github.io/Logging_0881/artfynd/A 64315-2023 artfynd.xlsx", "A 64315-2023")</f>
        <v/>
      </c>
      <c r="T76">
        <f>HYPERLINK("https://klasma.github.io/Logging_0881/kartor/A 64315-2023 karta.png", "A 64315-2023")</f>
        <v/>
      </c>
      <c r="V76">
        <f>HYPERLINK("https://klasma.github.io/Logging_0881/klagomål/A 64315-2023 FSC-klagomål.docx", "A 64315-2023")</f>
        <v/>
      </c>
      <c r="W76">
        <f>HYPERLINK("https://klasma.github.io/Logging_0881/klagomålsmail/A 64315-2023 FSC-klagomål mail.docx", "A 64315-2023")</f>
        <v/>
      </c>
      <c r="X76">
        <f>HYPERLINK("https://klasma.github.io/Logging_0881/tillsyn/A 64315-2023 tillsynsbegäran.docx", "A 64315-2023")</f>
        <v/>
      </c>
      <c r="Y76">
        <f>HYPERLINK("https://klasma.github.io/Logging_0881/tillsynsmail/A 64315-2023 tillsynsbegäran mail.docx", "A 64315-2023")</f>
        <v/>
      </c>
    </row>
    <row r="77" ht="15" customHeight="1">
      <c r="A77" t="inlineStr">
        <is>
          <t>A 41228-2025</t>
        </is>
      </c>
      <c r="B77" s="1" t="n">
        <v>45898</v>
      </c>
      <c r="C77" s="1" t="n">
        <v>46194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41228-2025 artfynd.xlsx", "A 41228-2025")</f>
        <v/>
      </c>
      <c r="T77">
        <f>HYPERLINK("https://klasma.github.io/Logging_0881/kartor/A 41228-2025 karta.png", "A 41228-2025")</f>
        <v/>
      </c>
      <c r="V77">
        <f>HYPERLINK("https://klasma.github.io/Logging_0881/klagomål/A 41228-2025 FSC-klagomål.docx", "A 41228-2025")</f>
        <v/>
      </c>
      <c r="W77">
        <f>HYPERLINK("https://klasma.github.io/Logging_0881/klagomålsmail/A 41228-2025 FSC-klagomål mail.docx", "A 41228-2025")</f>
        <v/>
      </c>
      <c r="X77">
        <f>HYPERLINK("https://klasma.github.io/Logging_0881/tillsyn/A 41228-2025 tillsynsbegäran.docx", "A 41228-2025")</f>
        <v/>
      </c>
      <c r="Y77">
        <f>HYPERLINK("https://klasma.github.io/Logging_0881/tillsynsmail/A 41228-2025 tillsynsbegäran mail.docx", "A 41228-2025")</f>
        <v/>
      </c>
      <c r="Z77">
        <f>HYPERLINK("https://klasma.github.io/Logging_0881/fåglar/A 41228-2025 prioriterade fågelarter.docx", "A 41228-2025")</f>
        <v/>
      </c>
    </row>
    <row r="78" ht="15" customHeight="1">
      <c r="A78" t="inlineStr">
        <is>
          <t>A 37621-2024</t>
        </is>
      </c>
      <c r="B78" s="1" t="n">
        <v>45541</v>
      </c>
      <c r="C78" s="1" t="n">
        <v>46194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HYPERLINK("https://klasma.github.io/Logging_0881/artfynd/A 37621-2024 artfynd.xlsx", "A 37621-2024")</f>
        <v/>
      </c>
      <c r="T78">
        <f>HYPERLINK("https://klasma.github.io/Logging_0881/kartor/A 37621-2024 karta.png", "A 37621-2024")</f>
        <v/>
      </c>
      <c r="V78">
        <f>HYPERLINK("https://klasma.github.io/Logging_0881/klagomål/A 37621-2024 FSC-klagomål.docx", "A 37621-2024")</f>
        <v/>
      </c>
      <c r="W78">
        <f>HYPERLINK("https://klasma.github.io/Logging_0881/klagomålsmail/A 37621-2024 FSC-klagomål mail.docx", "A 37621-2024")</f>
        <v/>
      </c>
      <c r="X78">
        <f>HYPERLINK("https://klasma.github.io/Logging_0881/tillsyn/A 37621-2024 tillsynsbegäran.docx", "A 37621-2024")</f>
        <v/>
      </c>
      <c r="Y78">
        <f>HYPERLINK("https://klasma.github.io/Logging_0881/tillsynsmail/A 37621-2024 tillsynsbegäran mail.docx", "A 37621-2024")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46194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38798-2024</t>
        </is>
      </c>
      <c r="B80" s="1" t="n">
        <v>45547</v>
      </c>
      <c r="C80" s="1" t="n">
        <v>46194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HYPERLINK("https://klasma.github.io/Logging_0881/artfynd/A 38798-2024 artfynd.xlsx", "A 38798-2024")</f>
        <v/>
      </c>
      <c r="T80">
        <f>HYPERLINK("https://klasma.github.io/Logging_0881/kartor/A 38798-2024 karta.png", "A 38798-2024")</f>
        <v/>
      </c>
      <c r="V80">
        <f>HYPERLINK("https://klasma.github.io/Logging_0881/klagomål/A 38798-2024 FSC-klagomål.docx", "A 38798-2024")</f>
        <v/>
      </c>
      <c r="W80">
        <f>HYPERLINK("https://klasma.github.io/Logging_0881/klagomålsmail/A 38798-2024 FSC-klagomål mail.docx", "A 38798-2024")</f>
        <v/>
      </c>
      <c r="X80">
        <f>HYPERLINK("https://klasma.github.io/Logging_0881/tillsyn/A 38798-2024 tillsynsbegäran.docx", "A 38798-2024")</f>
        <v/>
      </c>
      <c r="Y80">
        <f>HYPERLINK("https://klasma.github.io/Logging_0881/tillsynsmail/A 38798-2024 tillsynsbegäran mail.docx", "A 38798-2024")</f>
        <v/>
      </c>
      <c r="Z80">
        <f>HYPERLINK("https://klasma.github.io/Logging_0881/fåglar/A 38798-2024 prioriterade fågelarter.docx", "A 38798-2024")</f>
        <v/>
      </c>
    </row>
    <row r="81" ht="15" customHeight="1">
      <c r="A81" t="inlineStr">
        <is>
          <t>A 6931-2025</t>
        </is>
      </c>
      <c r="B81" s="1" t="n">
        <v>45701</v>
      </c>
      <c r="C81" s="1" t="n">
        <v>46194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49782-2025</t>
        </is>
      </c>
      <c r="B82" s="1" t="n">
        <v>45940</v>
      </c>
      <c r="C82" s="1" t="n">
        <v>46194</v>
      </c>
      <c r="D82" t="inlineStr">
        <is>
          <t>KALMAR LÄN</t>
        </is>
      </c>
      <c r="E82" t="inlineStr">
        <is>
          <t>NYBRO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 glada</t>
        </is>
      </c>
      <c r="S82">
        <f>HYPERLINK("https://klasma.github.io/Logging_0881/artfynd/A 49782-2025 artfynd.xlsx", "A 49782-2025")</f>
        <v/>
      </c>
      <c r="T82">
        <f>HYPERLINK("https://klasma.github.io/Logging_0881/kartor/A 49782-2025 karta.png", "A 49782-2025")</f>
        <v/>
      </c>
      <c r="V82">
        <f>HYPERLINK("https://klasma.github.io/Logging_0881/klagomål/A 49782-2025 FSC-klagomål.docx", "A 49782-2025")</f>
        <v/>
      </c>
      <c r="W82">
        <f>HYPERLINK("https://klasma.github.io/Logging_0881/klagomålsmail/A 49782-2025 FSC-klagomål mail.docx", "A 49782-2025")</f>
        <v/>
      </c>
      <c r="X82">
        <f>HYPERLINK("https://klasma.github.io/Logging_0881/tillsyn/A 49782-2025 tillsynsbegäran.docx", "A 49782-2025")</f>
        <v/>
      </c>
      <c r="Y82">
        <f>HYPERLINK("https://klasma.github.io/Logging_0881/tillsynsmail/A 49782-2025 tillsynsbegäran mail.docx", "A 49782-2025")</f>
        <v/>
      </c>
      <c r="Z82">
        <f>HYPERLINK("https://klasma.github.io/Logging_0881/fåglar/A 49782-2025 prioriterade fågelarter.docx", "A 49782-2025")</f>
        <v/>
      </c>
    </row>
    <row r="83" ht="15" customHeight="1">
      <c r="A83" t="inlineStr">
        <is>
          <t>A 26463-2026</t>
        </is>
      </c>
      <c r="B83" s="1" t="n">
        <v>46183</v>
      </c>
      <c r="C83" s="1" t="n">
        <v>46194</v>
      </c>
      <c r="D83" t="inlineStr">
        <is>
          <t>KALMAR LÄN</t>
        </is>
      </c>
      <c r="E83" t="inlineStr">
        <is>
          <t>NYBRO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26463-2026 artfynd.xlsx", "A 26463-2026")</f>
        <v/>
      </c>
      <c r="T83">
        <f>HYPERLINK("https://klasma.github.io/Logging_0881/kartor/A 26463-2026 karta.png", "A 26463-2026")</f>
        <v/>
      </c>
      <c r="V83">
        <f>HYPERLINK("https://klasma.github.io/Logging_0881/klagomål/A 26463-2026 FSC-klagomål.docx", "A 26463-2026")</f>
        <v/>
      </c>
      <c r="W83">
        <f>HYPERLINK("https://klasma.github.io/Logging_0881/klagomålsmail/A 26463-2026 FSC-klagomål mail.docx", "A 26463-2026")</f>
        <v/>
      </c>
      <c r="X83">
        <f>HYPERLINK("https://klasma.github.io/Logging_0881/tillsyn/A 26463-2026 tillsynsbegäran.docx", "A 26463-2026")</f>
        <v/>
      </c>
      <c r="Y83">
        <f>HYPERLINK("https://klasma.github.io/Logging_0881/tillsynsmail/A 26463-2026 tillsynsbegäran mail.docx", "A 26463-2026")</f>
        <v/>
      </c>
    </row>
    <row r="84" ht="15" customHeight="1">
      <c r="A84" t="inlineStr">
        <is>
          <t>A 20647-2026</t>
        </is>
      </c>
      <c r="B84" s="1" t="n">
        <v>46141</v>
      </c>
      <c r="C84" s="1" t="n">
        <v>46194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Ljungögontröst</t>
        </is>
      </c>
      <c r="S84">
        <f>HYPERLINK("https://klasma.github.io/Logging_0881/artfynd/A 20647-2026 artfynd.xlsx", "A 20647-2026")</f>
        <v/>
      </c>
      <c r="T84">
        <f>HYPERLINK("https://klasma.github.io/Logging_0881/kartor/A 20647-2026 karta.png", "A 20647-2026")</f>
        <v/>
      </c>
      <c r="V84">
        <f>HYPERLINK("https://klasma.github.io/Logging_0881/klagomål/A 20647-2026 FSC-klagomål.docx", "A 20647-2026")</f>
        <v/>
      </c>
      <c r="W84">
        <f>HYPERLINK("https://klasma.github.io/Logging_0881/klagomålsmail/A 20647-2026 FSC-klagomål mail.docx", "A 20647-2026")</f>
        <v/>
      </c>
      <c r="X84">
        <f>HYPERLINK("https://klasma.github.io/Logging_0881/tillsyn/A 20647-2026 tillsynsbegäran.docx", "A 20647-2026")</f>
        <v/>
      </c>
      <c r="Y84">
        <f>HYPERLINK("https://klasma.github.io/Logging_0881/tillsynsmail/A 20647-2026 tillsynsbegäran mail.docx", "A 20647-2026")</f>
        <v/>
      </c>
    </row>
    <row r="85" ht="15" customHeight="1">
      <c r="A85" t="inlineStr">
        <is>
          <t>A 37016-2023</t>
        </is>
      </c>
      <c r="B85" s="1" t="n">
        <v>45155</v>
      </c>
      <c r="C85" s="1" t="n">
        <v>46194</v>
      </c>
      <c r="D85" t="inlineStr">
        <is>
          <t>KALMAR LÄN</t>
        </is>
      </c>
      <c r="E85" t="inlineStr">
        <is>
          <t>NYBRO</t>
        </is>
      </c>
      <c r="G85" t="n">
        <v>6.4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HYPERLINK("https://klasma.github.io/Logging_0881/artfynd/A 37016-2023 artfynd.xlsx", "A 37016-2023")</f>
        <v/>
      </c>
      <c r="T85">
        <f>HYPERLINK("https://klasma.github.io/Logging_0881/kartor/A 37016-2023 karta.png", "A 37016-2023")</f>
        <v/>
      </c>
      <c r="V85">
        <f>HYPERLINK("https://klasma.github.io/Logging_0881/klagomål/A 37016-2023 FSC-klagomål.docx", "A 37016-2023")</f>
        <v/>
      </c>
      <c r="W85">
        <f>HYPERLINK("https://klasma.github.io/Logging_0881/klagomålsmail/A 37016-2023 FSC-klagomål mail.docx", "A 37016-2023")</f>
        <v/>
      </c>
      <c r="X85">
        <f>HYPERLINK("https://klasma.github.io/Logging_0881/tillsyn/A 37016-2023 tillsynsbegäran.docx", "A 37016-2023")</f>
        <v/>
      </c>
      <c r="Y85">
        <f>HYPERLINK("https://klasma.github.io/Logging_0881/tillsynsmail/A 37016-2023 tillsynsbegäran mail.docx", "A 37016-2023")</f>
        <v/>
      </c>
    </row>
    <row r="86" ht="15" customHeight="1">
      <c r="A86" t="inlineStr">
        <is>
          <t>A 48980-2024</t>
        </is>
      </c>
      <c r="B86" s="1" t="n">
        <v>45594</v>
      </c>
      <c r="C86" s="1" t="n">
        <v>46194</v>
      </c>
      <c r="D86" t="inlineStr">
        <is>
          <t>KALMAR LÄN</t>
        </is>
      </c>
      <c r="E86" t="inlineStr">
        <is>
          <t>NYBRO</t>
        </is>
      </c>
      <c r="G86" t="n">
        <v>41.9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Hjärtstilla</t>
        </is>
      </c>
      <c r="S86">
        <f>HYPERLINK("https://klasma.github.io/Logging_0881/artfynd/A 48980-2024 artfynd.xlsx", "A 48980-2024")</f>
        <v/>
      </c>
      <c r="T86">
        <f>HYPERLINK("https://klasma.github.io/Logging_0881/kartor/A 48980-2024 karta.png", "A 48980-2024")</f>
        <v/>
      </c>
      <c r="V86">
        <f>HYPERLINK("https://klasma.github.io/Logging_0881/klagomål/A 48980-2024 FSC-klagomål.docx", "A 48980-2024")</f>
        <v/>
      </c>
      <c r="W86">
        <f>HYPERLINK("https://klasma.github.io/Logging_0881/klagomålsmail/A 48980-2024 FSC-klagomål mail.docx", "A 48980-2024")</f>
        <v/>
      </c>
      <c r="X86">
        <f>HYPERLINK("https://klasma.github.io/Logging_0881/tillsyn/A 48980-2024 tillsynsbegäran.docx", "A 48980-2024")</f>
        <v/>
      </c>
      <c r="Y86">
        <f>HYPERLINK("https://klasma.github.io/Logging_0881/tillsynsmail/A 48980-2024 tillsynsbegäran mail.docx", "A 48980-2024")</f>
        <v/>
      </c>
    </row>
    <row r="87" ht="15" customHeight="1">
      <c r="A87" t="inlineStr">
        <is>
          <t>A 54216-2024</t>
        </is>
      </c>
      <c r="B87" s="1" t="n">
        <v>45616</v>
      </c>
      <c r="C87" s="1" t="n">
        <v>46194</v>
      </c>
      <c r="D87" t="inlineStr">
        <is>
          <t>KALMAR LÄN</t>
        </is>
      </c>
      <c r="E87" t="inlineStr">
        <is>
          <t>NYBRO</t>
        </is>
      </c>
      <c r="G87" t="n">
        <v>4.4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HYPERLINK("https://klasma.github.io/Logging_0881/artfynd/A 54216-2024 artfynd.xlsx", "A 54216-2024")</f>
        <v/>
      </c>
      <c r="T87">
        <f>HYPERLINK("https://klasma.github.io/Logging_0881/kartor/A 54216-2024 karta.png", "A 54216-2024")</f>
        <v/>
      </c>
      <c r="V87">
        <f>HYPERLINK("https://klasma.github.io/Logging_0881/klagomål/A 54216-2024 FSC-klagomål.docx", "A 54216-2024")</f>
        <v/>
      </c>
      <c r="W87">
        <f>HYPERLINK("https://klasma.github.io/Logging_0881/klagomålsmail/A 54216-2024 FSC-klagomål mail.docx", "A 54216-2024")</f>
        <v/>
      </c>
      <c r="X87">
        <f>HYPERLINK("https://klasma.github.io/Logging_0881/tillsyn/A 54216-2024 tillsynsbegäran.docx", "A 54216-2024")</f>
        <v/>
      </c>
      <c r="Y87">
        <f>HYPERLINK("https://klasma.github.io/Logging_0881/tillsynsmail/A 54216-2024 tillsynsbegäran mail.docx", "A 54216-2024")</f>
        <v/>
      </c>
      <c r="Z87">
        <f>HYPERLINK("https://klasma.github.io/Logging_0881/fåglar/A 54216-2024 prioriterade fågelarter.docx", "A 54216-2024")</f>
        <v/>
      </c>
    </row>
    <row r="88" ht="15" customHeight="1">
      <c r="A88" t="inlineStr">
        <is>
          <t>A 31861-2023</t>
        </is>
      </c>
      <c r="B88" s="1" t="n">
        <v>45118</v>
      </c>
      <c r="C88" s="1" t="n">
        <v>46194</v>
      </c>
      <c r="D88" t="inlineStr">
        <is>
          <t>KALMAR LÄN</t>
        </is>
      </c>
      <c r="E88" t="inlineStr">
        <is>
          <t>NYBRO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HYPERLINK("https://klasma.github.io/Logging_0881/artfynd/A 31861-2023 artfynd.xlsx", "A 31861-2023")</f>
        <v/>
      </c>
      <c r="T88">
        <f>HYPERLINK("https://klasma.github.io/Logging_0881/kartor/A 31861-2023 karta.png", "A 31861-2023")</f>
        <v/>
      </c>
      <c r="V88">
        <f>HYPERLINK("https://klasma.github.io/Logging_0881/klagomål/A 31861-2023 FSC-klagomål.docx", "A 31861-2023")</f>
        <v/>
      </c>
      <c r="W88">
        <f>HYPERLINK("https://klasma.github.io/Logging_0881/klagomålsmail/A 31861-2023 FSC-klagomål mail.docx", "A 31861-2023")</f>
        <v/>
      </c>
      <c r="X88">
        <f>HYPERLINK("https://klasma.github.io/Logging_0881/tillsyn/A 31861-2023 tillsynsbegäran.docx", "A 31861-2023")</f>
        <v/>
      </c>
      <c r="Y88">
        <f>HYPERLINK("https://klasma.github.io/Logging_0881/tillsynsmail/A 31861-2023 tillsynsbegäran mail.docx", "A 31861-2023")</f>
        <v/>
      </c>
    </row>
    <row r="89" ht="15" customHeight="1">
      <c r="A89" t="inlineStr">
        <is>
          <t>A 61613-2025</t>
        </is>
      </c>
      <c r="B89" s="1" t="n">
        <v>46002</v>
      </c>
      <c r="C89" s="1" t="n">
        <v>46194</v>
      </c>
      <c r="D89" t="inlineStr">
        <is>
          <t>KALMAR LÄN</t>
        </is>
      </c>
      <c r="E89" t="inlineStr">
        <is>
          <t>NYBRO</t>
        </is>
      </c>
      <c r="G89" t="n">
        <v>12.2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HYPERLINK("https://klasma.github.io/Logging_0881/artfynd/A 61613-2025 artfynd.xlsx", "A 61613-2025")</f>
        <v/>
      </c>
      <c r="T89">
        <f>HYPERLINK("https://klasma.github.io/Logging_0881/kartor/A 61613-2025 karta.png", "A 61613-2025")</f>
        <v/>
      </c>
      <c r="V89">
        <f>HYPERLINK("https://klasma.github.io/Logging_0881/klagomål/A 61613-2025 FSC-klagomål.docx", "A 61613-2025")</f>
        <v/>
      </c>
      <c r="W89">
        <f>HYPERLINK("https://klasma.github.io/Logging_0881/klagomålsmail/A 61613-2025 FSC-klagomål mail.docx", "A 61613-2025")</f>
        <v/>
      </c>
      <c r="X89">
        <f>HYPERLINK("https://klasma.github.io/Logging_0881/tillsyn/A 61613-2025 tillsynsbegäran.docx", "A 61613-2025")</f>
        <v/>
      </c>
      <c r="Y89">
        <f>HYPERLINK("https://klasma.github.io/Logging_0881/tillsynsmail/A 61613-2025 tillsynsbegäran mail.docx", "A 61613-2025")</f>
        <v/>
      </c>
      <c r="Z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46194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13690-2022</t>
        </is>
      </c>
      <c r="B91" s="1" t="n">
        <v>44648</v>
      </c>
      <c r="C91" s="1" t="n">
        <v>46194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8.300000000000001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13690-2022 artfynd.xlsx", "A 13690-2022")</f>
        <v/>
      </c>
      <c r="T91">
        <f>HYPERLINK("https://klasma.github.io/Logging_0881/kartor/A 13690-2022 karta.png", "A 13690-2022")</f>
        <v/>
      </c>
      <c r="U91">
        <f>HYPERLINK("https://klasma.github.io/Logging_0881/knärot/A 13690-2022 karta knärot.png", "A 13690-2022")</f>
        <v/>
      </c>
      <c r="V91">
        <f>HYPERLINK("https://klasma.github.io/Logging_0881/klagomål/A 13690-2022 FSC-klagomål.docx", "A 13690-2022")</f>
        <v/>
      </c>
      <c r="W91">
        <f>HYPERLINK("https://klasma.github.io/Logging_0881/klagomålsmail/A 13690-2022 FSC-klagomål mail.docx", "A 13690-2022")</f>
        <v/>
      </c>
      <c r="X91">
        <f>HYPERLINK("https://klasma.github.io/Logging_0881/tillsyn/A 13690-2022 tillsynsbegäran.docx", "A 13690-2022")</f>
        <v/>
      </c>
      <c r="Y91">
        <f>HYPERLINK("https://klasma.github.io/Logging_0881/tillsynsmail/A 13690-2022 tillsynsbegäran mail.docx", "A 13690-2022")</f>
        <v/>
      </c>
    </row>
    <row r="92" ht="15" customHeight="1">
      <c r="A92" t="inlineStr">
        <is>
          <t>A 27669-2026</t>
        </is>
      </c>
      <c r="B92" s="1" t="n">
        <v>46190</v>
      </c>
      <c r="C92" s="1" t="n">
        <v>46194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HYPERLINK("https://klasma.github.io/Logging_0881/artfynd/A 27669-2026 artfynd.xlsx", "A 27669-2026")</f>
        <v/>
      </c>
      <c r="T92">
        <f>HYPERLINK("https://klasma.github.io/Logging_0881/kartor/A 27669-2026 karta.png", "A 27669-2026")</f>
        <v/>
      </c>
      <c r="V92">
        <f>HYPERLINK("https://klasma.github.io/Logging_0881/klagomål/A 27669-2026 FSC-klagomål.docx", "A 27669-2026")</f>
        <v/>
      </c>
      <c r="W92">
        <f>HYPERLINK("https://klasma.github.io/Logging_0881/klagomålsmail/A 27669-2026 FSC-klagomål mail.docx", "A 27669-2026")</f>
        <v/>
      </c>
      <c r="X92">
        <f>HYPERLINK("https://klasma.github.io/Logging_0881/tillsyn/A 27669-2026 tillsynsbegäran.docx", "A 27669-2026")</f>
        <v/>
      </c>
      <c r="Y92">
        <f>HYPERLINK("https://klasma.github.io/Logging_0881/tillsynsmail/A 27669-2026 tillsynsbegäran mail.docx", "A 27669-2026")</f>
        <v/>
      </c>
    </row>
    <row r="93" ht="15" customHeight="1">
      <c r="A93" t="inlineStr">
        <is>
          <t>A 16715-2025</t>
        </is>
      </c>
      <c r="B93" s="1" t="n">
        <v>45754</v>
      </c>
      <c r="C93" s="1" t="n">
        <v>46194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Större brunfladdermus</t>
        </is>
      </c>
      <c r="S93">
        <f>HYPERLINK("https://klasma.github.io/Logging_0881/artfynd/A 16715-2025 artfynd.xlsx", "A 16715-2025")</f>
        <v/>
      </c>
      <c r="T93">
        <f>HYPERLINK("https://klasma.github.io/Logging_0881/kartor/A 16715-2025 karta.png", "A 16715-2025")</f>
        <v/>
      </c>
      <c r="V93">
        <f>HYPERLINK("https://klasma.github.io/Logging_0881/klagomål/A 16715-2025 FSC-klagomål.docx", "A 16715-2025")</f>
        <v/>
      </c>
      <c r="W93">
        <f>HYPERLINK("https://klasma.github.io/Logging_0881/klagomålsmail/A 16715-2025 FSC-klagomål mail.docx", "A 16715-2025")</f>
        <v/>
      </c>
      <c r="X93">
        <f>HYPERLINK("https://klasma.github.io/Logging_0881/tillsyn/A 16715-2025 tillsynsbegäran.docx", "A 16715-2025")</f>
        <v/>
      </c>
      <c r="Y93">
        <f>HYPERLINK("https://klasma.github.io/Logging_0881/tillsynsmail/A 16715-2025 tillsynsbegäran mail.docx", "A 16715-2025")</f>
        <v/>
      </c>
    </row>
    <row r="94" ht="15" customHeight="1">
      <c r="A94" t="inlineStr">
        <is>
          <t>A 7038-2026</t>
        </is>
      </c>
      <c r="B94" s="1" t="n">
        <v>46057</v>
      </c>
      <c r="C94" s="1" t="n">
        <v>46194</v>
      </c>
      <c r="D94" t="inlineStr">
        <is>
          <t>KALMAR LÄN</t>
        </is>
      </c>
      <c r="E94" t="inlineStr">
        <is>
          <t>NYBRO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7038-2026 artfynd.xlsx", "A 7038-2026")</f>
        <v/>
      </c>
      <c r="T94">
        <f>HYPERLINK("https://klasma.github.io/Logging_0881/kartor/A 7038-2026 karta.png", "A 7038-2026")</f>
        <v/>
      </c>
      <c r="V94">
        <f>HYPERLINK("https://klasma.github.io/Logging_0881/klagomål/A 7038-2026 FSC-klagomål.docx", "A 7038-2026")</f>
        <v/>
      </c>
      <c r="W94">
        <f>HYPERLINK("https://klasma.github.io/Logging_0881/klagomålsmail/A 7038-2026 FSC-klagomål mail.docx", "A 7038-2026")</f>
        <v/>
      </c>
      <c r="X94">
        <f>HYPERLINK("https://klasma.github.io/Logging_0881/tillsyn/A 7038-2026 tillsynsbegäran.docx", "A 7038-2026")</f>
        <v/>
      </c>
      <c r="Y94">
        <f>HYPERLINK("https://klasma.github.io/Logging_0881/tillsynsmail/A 7038-2026 tillsynsbegäran mail.docx", "A 7038-2026")</f>
        <v/>
      </c>
    </row>
    <row r="95" ht="15" customHeight="1">
      <c r="A95" t="inlineStr">
        <is>
          <t>A 1717-2024</t>
        </is>
      </c>
      <c r="B95" s="1" t="n">
        <v>45307</v>
      </c>
      <c r="C95" s="1" t="n">
        <v>46194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HYPERLINK("https://klasma.github.io/Logging_0881/artfynd/A 1717-2024 artfynd.xlsx", "A 1717-2024")</f>
        <v/>
      </c>
      <c r="T95">
        <f>HYPERLINK("https://klasma.github.io/Logging_0881/kartor/A 1717-2024 karta.png", "A 1717-2024")</f>
        <v/>
      </c>
      <c r="V95">
        <f>HYPERLINK("https://klasma.github.io/Logging_0881/klagomål/A 1717-2024 FSC-klagomål.docx", "A 1717-2024")</f>
        <v/>
      </c>
      <c r="W95">
        <f>HYPERLINK("https://klasma.github.io/Logging_0881/klagomålsmail/A 1717-2024 FSC-klagomål mail.docx", "A 1717-2024")</f>
        <v/>
      </c>
      <c r="X95">
        <f>HYPERLINK("https://klasma.github.io/Logging_0881/tillsyn/A 1717-2024 tillsynsbegäran.docx", "A 1717-2024")</f>
        <v/>
      </c>
      <c r="Y95">
        <f>HYPERLINK("https://klasma.github.io/Logging_0881/tillsynsmail/A 1717-2024 tillsynsbegäran mail.docx", "A 1717-2024")</f>
        <v/>
      </c>
    </row>
    <row r="96" ht="15" customHeight="1">
      <c r="A96" t="inlineStr">
        <is>
          <t>A 12323-2025</t>
        </is>
      </c>
      <c r="B96" s="1" t="n">
        <v>45730</v>
      </c>
      <c r="C96" s="1" t="n">
        <v>46194</v>
      </c>
      <c r="D96" t="inlineStr">
        <is>
          <t>KALMAR LÄN</t>
        </is>
      </c>
      <c r="E96" t="inlineStr">
        <is>
          <t>NYBRO</t>
        </is>
      </c>
      <c r="G96" t="n">
        <v>14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HYPERLINK("https://klasma.github.io/Logging_0881/artfynd/A 12323-2025 artfynd.xlsx", "A 12323-2025")</f>
        <v/>
      </c>
      <c r="T96">
        <f>HYPERLINK("https://klasma.github.io/Logging_0881/kartor/A 12323-2025 karta.png", "A 12323-2025")</f>
        <v/>
      </c>
      <c r="V96">
        <f>HYPERLINK("https://klasma.github.io/Logging_0881/klagomål/A 12323-2025 FSC-klagomål.docx", "A 12323-2025")</f>
        <v/>
      </c>
      <c r="W96">
        <f>HYPERLINK("https://klasma.github.io/Logging_0881/klagomålsmail/A 12323-2025 FSC-klagomål mail.docx", "A 12323-2025")</f>
        <v/>
      </c>
      <c r="X96">
        <f>HYPERLINK("https://klasma.github.io/Logging_0881/tillsyn/A 12323-2025 tillsynsbegäran.docx", "A 12323-2025")</f>
        <v/>
      </c>
      <c r="Y96">
        <f>HYPERLINK("https://klasma.github.io/Logging_0881/tillsynsmail/A 12323-2025 tillsynsbegäran mail.docx", "A 12323-2025")</f>
        <v/>
      </c>
      <c r="Z96">
        <f>HYPERLINK("https://klasma.github.io/Logging_0881/fåglar/A 12323-2025 prioriterade fågelarter.docx", "A 12323-2025")</f>
        <v/>
      </c>
    </row>
    <row r="97" ht="15" customHeight="1">
      <c r="A97" t="inlineStr">
        <is>
          <t>A 61790-2022</t>
        </is>
      </c>
      <c r="B97" s="1" t="n">
        <v>44917</v>
      </c>
      <c r="C97" s="1" t="n">
        <v>46194</v>
      </c>
      <c r="D97" t="inlineStr">
        <is>
          <t>KALMAR LÄN</t>
        </is>
      </c>
      <c r="E97" t="inlineStr">
        <is>
          <t>NYBRO</t>
        </is>
      </c>
      <c r="F97" t="inlineStr">
        <is>
          <t>Kommuner</t>
        </is>
      </c>
      <c r="G97" t="n">
        <v>3.7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HYPERLINK("https://klasma.github.io/Logging_0881/artfynd/A 61790-2022 artfynd.xlsx", "A 61790-2022")</f>
        <v/>
      </c>
      <c r="T97">
        <f>HYPERLINK("https://klasma.github.io/Logging_0881/kartor/A 61790-2022 karta.png", "A 61790-2022")</f>
        <v/>
      </c>
      <c r="V97">
        <f>HYPERLINK("https://klasma.github.io/Logging_0881/klagomål/A 61790-2022 FSC-klagomål.docx", "A 61790-2022")</f>
        <v/>
      </c>
      <c r="W97">
        <f>HYPERLINK("https://klasma.github.io/Logging_0881/klagomålsmail/A 61790-2022 FSC-klagomål mail.docx", "A 61790-2022")</f>
        <v/>
      </c>
      <c r="X97">
        <f>HYPERLINK("https://klasma.github.io/Logging_0881/tillsyn/A 61790-2022 tillsynsbegäran.docx", "A 61790-2022")</f>
        <v/>
      </c>
      <c r="Y97">
        <f>HYPERLINK("https://klasma.github.io/Logging_0881/tillsynsmail/A 61790-2022 tillsynsbegäran mail.docx", "A 61790-2022")</f>
        <v/>
      </c>
    </row>
    <row r="98" ht="15" customHeight="1">
      <c r="A98" t="inlineStr">
        <is>
          <t>A 13412-2026</t>
        </is>
      </c>
      <c r="B98" s="1" t="n">
        <v>46094</v>
      </c>
      <c r="C98" s="1" t="n">
        <v>46194</v>
      </c>
      <c r="D98" t="inlineStr">
        <is>
          <t>KALMAR LÄN</t>
        </is>
      </c>
      <c r="E98" t="inlineStr">
        <is>
          <t>NYBRO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HYPERLINK("https://klasma.github.io/Logging_0881/artfynd/A 13412-2026 artfynd.xlsx", "A 13412-2026")</f>
        <v/>
      </c>
      <c r="T98">
        <f>HYPERLINK("https://klasma.github.io/Logging_0881/kartor/A 13412-2026 karta.png", "A 13412-2026")</f>
        <v/>
      </c>
      <c r="V98">
        <f>HYPERLINK("https://klasma.github.io/Logging_0881/klagomål/A 13412-2026 FSC-klagomål.docx", "A 13412-2026")</f>
        <v/>
      </c>
      <c r="W98">
        <f>HYPERLINK("https://klasma.github.io/Logging_0881/klagomålsmail/A 13412-2026 FSC-klagomål mail.docx", "A 13412-2026")</f>
        <v/>
      </c>
      <c r="X98">
        <f>HYPERLINK("https://klasma.github.io/Logging_0881/tillsyn/A 13412-2026 tillsynsbegäran.docx", "A 13412-2026")</f>
        <v/>
      </c>
      <c r="Y98">
        <f>HYPERLINK("https://klasma.github.io/Logging_0881/tillsynsmail/A 13412-2026 tillsynsbegäran mail.docx", "A 13412-2026")</f>
        <v/>
      </c>
    </row>
    <row r="99" ht="15" customHeight="1">
      <c r="A99" t="inlineStr">
        <is>
          <t>A 22089-2026</t>
        </is>
      </c>
      <c r="B99" s="1" t="n">
        <v>46153</v>
      </c>
      <c r="C99" s="1" t="n">
        <v>46194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HYPERLINK("https://klasma.github.io/Logging_0881/artfynd/A 22089-2026 artfynd.xlsx", "A 22089-2026")</f>
        <v/>
      </c>
      <c r="T99">
        <f>HYPERLINK("https://klasma.github.io/Logging_0881/kartor/A 22089-2026 karta.png", "A 22089-2026")</f>
        <v/>
      </c>
      <c r="V99">
        <f>HYPERLINK("https://klasma.github.io/Logging_0881/klagomål/A 22089-2026 FSC-klagomål.docx", "A 22089-2026")</f>
        <v/>
      </c>
      <c r="W99">
        <f>HYPERLINK("https://klasma.github.io/Logging_0881/klagomålsmail/A 22089-2026 FSC-klagomål mail.docx", "A 22089-2026")</f>
        <v/>
      </c>
      <c r="X99">
        <f>HYPERLINK("https://klasma.github.io/Logging_0881/tillsyn/A 22089-2026 tillsynsbegäran.docx", "A 22089-2026")</f>
        <v/>
      </c>
      <c r="Y99">
        <f>HYPERLINK("https://klasma.github.io/Logging_0881/tillsynsmail/A 22089-2026 tillsynsbegäran mail.docx", "A 22089-2026")</f>
        <v/>
      </c>
      <c r="Z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s="1" t="n">
        <v>46153</v>
      </c>
      <c r="C100" s="1" t="n">
        <v>46194</v>
      </c>
      <c r="D100" t="inlineStr">
        <is>
          <t>KALMAR LÄN</t>
        </is>
      </c>
      <c r="E100" t="inlineStr">
        <is>
          <t>NYBRO</t>
        </is>
      </c>
      <c r="G100" t="n">
        <v>4.3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HYPERLINK("https://klasma.github.io/Logging_0881/artfynd/A 22127-2026 artfynd.xlsx", "A 22127-2026")</f>
        <v/>
      </c>
      <c r="T100">
        <f>HYPERLINK("https://klasma.github.io/Logging_0881/kartor/A 22127-2026 karta.png", "A 22127-2026")</f>
        <v/>
      </c>
      <c r="V100">
        <f>HYPERLINK("https://klasma.github.io/Logging_0881/klagomål/A 22127-2026 FSC-klagomål.docx", "A 22127-2026")</f>
        <v/>
      </c>
      <c r="W100">
        <f>HYPERLINK("https://klasma.github.io/Logging_0881/klagomålsmail/A 22127-2026 FSC-klagomål mail.docx", "A 22127-2026")</f>
        <v/>
      </c>
      <c r="X100">
        <f>HYPERLINK("https://klasma.github.io/Logging_0881/tillsyn/A 22127-2026 tillsynsbegäran.docx", "A 22127-2026")</f>
        <v/>
      </c>
      <c r="Y100">
        <f>HYPERLINK("https://klasma.github.io/Logging_0881/tillsynsmail/A 22127-2026 tillsynsbegäran mail.docx", "A 22127-2026")</f>
        <v/>
      </c>
      <c r="Z100">
        <f>HYPERLINK("https://klasma.github.io/Logging_0881/fåglar/A 22127-2026 prioriterade fågelarter.docx", "A 22127-2026")</f>
        <v/>
      </c>
    </row>
    <row r="101" ht="15" customHeight="1">
      <c r="A101" t="inlineStr">
        <is>
          <t>A 22097-2026</t>
        </is>
      </c>
      <c r="B101" s="1" t="n">
        <v>46153</v>
      </c>
      <c r="C101" s="1" t="n">
        <v>46194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HYPERLINK("https://klasma.github.io/Logging_0881/artfynd/A 22097-2026 artfynd.xlsx", "A 22097-2026")</f>
        <v/>
      </c>
      <c r="T101">
        <f>HYPERLINK("https://klasma.github.io/Logging_0881/kartor/A 22097-2026 karta.png", "A 22097-2026")</f>
        <v/>
      </c>
      <c r="V101">
        <f>HYPERLINK("https://klasma.github.io/Logging_0881/klagomål/A 22097-2026 FSC-klagomål.docx", "A 22097-2026")</f>
        <v/>
      </c>
      <c r="W101">
        <f>HYPERLINK("https://klasma.github.io/Logging_0881/klagomålsmail/A 22097-2026 FSC-klagomål mail.docx", "A 22097-2026")</f>
        <v/>
      </c>
      <c r="X101">
        <f>HYPERLINK("https://klasma.github.io/Logging_0881/tillsyn/A 22097-2026 tillsynsbegäran.docx", "A 22097-2026")</f>
        <v/>
      </c>
      <c r="Y101">
        <f>HYPERLINK("https://klasma.github.io/Logging_0881/tillsynsmail/A 22097-2026 tillsynsbegäran mail.docx", "A 22097-2026")</f>
        <v/>
      </c>
      <c r="Z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22086-2026</t>
        </is>
      </c>
      <c r="B102" s="1" t="n">
        <v>46153</v>
      </c>
      <c r="C102" s="1" t="n">
        <v>46194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HYPERLINK("https://klasma.github.io/Logging_0881/artfynd/A 22086-2026 artfynd.xlsx", "A 22086-2026")</f>
        <v/>
      </c>
      <c r="T102">
        <f>HYPERLINK("https://klasma.github.io/Logging_0881/kartor/A 22086-2026 karta.png", "A 22086-2026")</f>
        <v/>
      </c>
      <c r="V102">
        <f>HYPERLINK("https://klasma.github.io/Logging_0881/klagomål/A 22086-2026 FSC-klagomål.docx", "A 22086-2026")</f>
        <v/>
      </c>
      <c r="W102">
        <f>HYPERLINK("https://klasma.github.io/Logging_0881/klagomålsmail/A 22086-2026 FSC-klagomål mail.docx", "A 22086-2026")</f>
        <v/>
      </c>
      <c r="X102">
        <f>HYPERLINK("https://klasma.github.io/Logging_0881/tillsyn/A 22086-2026 tillsynsbegäran.docx", "A 22086-2026")</f>
        <v/>
      </c>
      <c r="Y102">
        <f>HYPERLINK("https://klasma.github.io/Logging_0881/tillsynsmail/A 22086-2026 tillsynsbegäran mail.docx", "A 22086-2026")</f>
        <v/>
      </c>
      <c r="Z102">
        <f>HYPERLINK("https://klasma.github.io/Logging_0881/fåglar/A 22086-2026 prioriterade fågelarter.docx", "A 22086-2026")</f>
        <v/>
      </c>
    </row>
    <row r="103" ht="15" customHeight="1">
      <c r="A103" t="inlineStr">
        <is>
          <t>A 16161-2026</t>
        </is>
      </c>
      <c r="B103" s="1" t="n">
        <v>46109</v>
      </c>
      <c r="C103" s="1" t="n">
        <v>46194</v>
      </c>
      <c r="D103" t="inlineStr">
        <is>
          <t>KALMAR LÄN</t>
        </is>
      </c>
      <c r="E103" t="inlineStr">
        <is>
          <t>NYBRO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Mosippa</t>
        </is>
      </c>
      <c r="S103">
        <f>HYPERLINK("https://klasma.github.io/Logging_0881/artfynd/A 16161-2026 artfynd.xlsx", "A 16161-2026")</f>
        <v/>
      </c>
      <c r="T103">
        <f>HYPERLINK("https://klasma.github.io/Logging_0881/kartor/A 16161-2026 karta.png", "A 16161-2026")</f>
        <v/>
      </c>
      <c r="V103">
        <f>HYPERLINK("https://klasma.github.io/Logging_0881/klagomål/A 16161-2026 FSC-klagomål.docx", "A 16161-2026")</f>
        <v/>
      </c>
      <c r="W103">
        <f>HYPERLINK("https://klasma.github.io/Logging_0881/klagomålsmail/A 16161-2026 FSC-klagomål mail.docx", "A 16161-2026")</f>
        <v/>
      </c>
      <c r="X103">
        <f>HYPERLINK("https://klasma.github.io/Logging_0881/tillsyn/A 16161-2026 tillsynsbegäran.docx", "A 16161-2026")</f>
        <v/>
      </c>
      <c r="Y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18402-2026</t>
        </is>
      </c>
      <c r="B104" s="1" t="n">
        <v>46126</v>
      </c>
      <c r="C104" s="1" t="n">
        <v>46194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13.2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HYPERLINK("https://klasma.github.io/Logging_0881/artfynd/A 18402-2026 artfynd.xlsx", "A 18402-2026")</f>
        <v/>
      </c>
      <c r="T104">
        <f>HYPERLINK("https://klasma.github.io/Logging_0881/kartor/A 18402-2026 karta.png", "A 18402-2026")</f>
        <v/>
      </c>
      <c r="V104">
        <f>HYPERLINK("https://klasma.github.io/Logging_0881/klagomål/A 18402-2026 FSC-klagomål.docx", "A 18402-2026")</f>
        <v/>
      </c>
      <c r="W104">
        <f>HYPERLINK("https://klasma.github.io/Logging_0881/klagomålsmail/A 18402-2026 FSC-klagomål mail.docx", "A 18402-2026")</f>
        <v/>
      </c>
      <c r="X104">
        <f>HYPERLINK("https://klasma.github.io/Logging_0881/tillsyn/A 18402-2026 tillsynsbegäran.docx", "A 18402-2026")</f>
        <v/>
      </c>
      <c r="Y104">
        <f>HYPERLINK("https://klasma.github.io/Logging_0881/tillsynsmail/A 18402-2026 tillsynsbegäran mail.docx", "A 18402-2026")</f>
        <v/>
      </c>
      <c r="Z104">
        <f>HYPERLINK("https://klasma.github.io/Logging_0881/fåglar/A 18402-2026 prioriterade fågelarter.docx", "A 18402-2026")</f>
        <v/>
      </c>
    </row>
    <row r="105" ht="15" customHeight="1">
      <c r="A105" t="inlineStr">
        <is>
          <t>A 24315-2026</t>
        </is>
      </c>
      <c r="B105" s="1" t="n">
        <v>46169</v>
      </c>
      <c r="C105" s="1" t="n">
        <v>46194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8.5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HYPERLINK("https://klasma.github.io/Logging_0881/artfynd/A 24315-2026 artfynd.xlsx", "A 24315-2026")</f>
        <v/>
      </c>
      <c r="T105">
        <f>HYPERLINK("https://klasma.github.io/Logging_0881/kartor/A 24315-2026 karta.png", "A 24315-2026")</f>
        <v/>
      </c>
      <c r="V105">
        <f>HYPERLINK("https://klasma.github.io/Logging_0881/klagomål/A 24315-2026 FSC-klagomål.docx", "A 24315-2026")</f>
        <v/>
      </c>
      <c r="W105">
        <f>HYPERLINK("https://klasma.github.io/Logging_0881/klagomålsmail/A 24315-2026 FSC-klagomål mail.docx", "A 24315-2026")</f>
        <v/>
      </c>
      <c r="X105">
        <f>HYPERLINK("https://klasma.github.io/Logging_0881/tillsyn/A 24315-2026 tillsynsbegäran.docx", "A 24315-2026")</f>
        <v/>
      </c>
      <c r="Y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6061-2025</t>
        </is>
      </c>
      <c r="B106" s="1" t="n">
        <v>45695</v>
      </c>
      <c r="C106" s="1" t="n">
        <v>46194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Purpurknipprot</t>
        </is>
      </c>
      <c r="S106">
        <f>HYPERLINK("https://klasma.github.io/Logging_0881/artfynd/A 6061-2025 artfynd.xlsx", "A 6061-2025")</f>
        <v/>
      </c>
      <c r="T106">
        <f>HYPERLINK("https://klasma.github.io/Logging_0881/kartor/A 6061-2025 karta.png", "A 6061-2025")</f>
        <v/>
      </c>
      <c r="V106">
        <f>HYPERLINK("https://klasma.github.io/Logging_0881/klagomål/A 6061-2025 FSC-klagomål.docx", "A 6061-2025")</f>
        <v/>
      </c>
      <c r="W106">
        <f>HYPERLINK("https://klasma.github.io/Logging_0881/klagomålsmail/A 6061-2025 FSC-klagomål mail.docx", "A 6061-2025")</f>
        <v/>
      </c>
      <c r="X106">
        <f>HYPERLINK("https://klasma.github.io/Logging_0881/tillsyn/A 6061-2025 tillsynsbegäran.docx", "A 6061-2025")</f>
        <v/>
      </c>
      <c r="Y106">
        <f>HYPERLINK("https://klasma.github.io/Logging_0881/tillsynsmail/A 6061-2025 tillsynsbegäran mail.docx", "A 6061-2025")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46194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46194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46194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46194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51471-2021</t>
        </is>
      </c>
      <c r="B111" s="1" t="n">
        <v>44462</v>
      </c>
      <c r="C111" s="1" t="n">
        <v>46194</v>
      </c>
      <c r="D111" t="inlineStr">
        <is>
          <t>KALMAR LÄN</t>
        </is>
      </c>
      <c r="E111" t="inlineStr">
        <is>
          <t>NYBRO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46194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46194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46194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</v>
      </c>
      <c r="C115" s="1" t="n">
        <v>46194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46194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46194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48873-2022</t>
        </is>
      </c>
      <c r="B118" s="1" t="n">
        <v>44859</v>
      </c>
      <c r="C118" s="1" t="n">
        <v>46194</v>
      </c>
      <c r="D118" t="inlineStr">
        <is>
          <t>KALMAR LÄN</t>
        </is>
      </c>
      <c r="E118" t="inlineStr">
        <is>
          <t>NYBRO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38976-2021</t>
        </is>
      </c>
      <c r="B119" s="1" t="n">
        <v>44412</v>
      </c>
      <c r="C119" s="1" t="n">
        <v>46194</v>
      </c>
      <c r="D119" t="inlineStr">
        <is>
          <t>KALMAR LÄN</t>
        </is>
      </c>
      <c r="E119" t="inlineStr">
        <is>
          <t>NYBRO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50470-2022</t>
        </is>
      </c>
      <c r="B120" s="1" t="n">
        <v>44861</v>
      </c>
      <c r="C120" s="1" t="n">
        <v>46194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55685-2021</t>
        </is>
      </c>
      <c r="B121" s="1" t="n">
        <v>44475</v>
      </c>
      <c r="C121" s="1" t="n">
        <v>46194</v>
      </c>
      <c r="D121" t="inlineStr">
        <is>
          <t>KALMAR LÄN</t>
        </is>
      </c>
      <c r="E121" t="inlineStr">
        <is>
          <t>NYBRO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</v>
      </c>
      <c r="C122" s="1" t="n">
        <v>46194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46194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</v>
      </c>
      <c r="C124" s="1" t="n">
        <v>46194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45413-2022</t>
        </is>
      </c>
      <c r="B125" s="1" t="n">
        <v>44844</v>
      </c>
      <c r="C125" s="1" t="n">
        <v>46194</v>
      </c>
      <c r="D125" t="inlineStr">
        <is>
          <t>KALMAR LÄN</t>
        </is>
      </c>
      <c r="E125" t="inlineStr">
        <is>
          <t>NYBRO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38772-2022</t>
        </is>
      </c>
      <c r="B126" s="1" t="n">
        <v>44816</v>
      </c>
      <c r="C126" s="1" t="n">
        <v>46194</v>
      </c>
      <c r="D126" t="inlineStr">
        <is>
          <t>KALMAR LÄN</t>
        </is>
      </c>
      <c r="E126" t="inlineStr">
        <is>
          <t>NYBRO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914-2022</t>
        </is>
      </c>
      <c r="B127" s="1" t="n">
        <v>44571</v>
      </c>
      <c r="C127" s="1" t="n">
        <v>46194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13448-2022</t>
        </is>
      </c>
      <c r="B128" s="1" t="n">
        <v>44645</v>
      </c>
      <c r="C128" s="1" t="n">
        <v>46194</v>
      </c>
      <c r="D128" t="inlineStr">
        <is>
          <t>KALMAR LÄN</t>
        </is>
      </c>
      <c r="E128" t="inlineStr">
        <is>
          <t>NYBRO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370-2022</t>
        </is>
      </c>
      <c r="B129" s="1" t="n">
        <v>44565</v>
      </c>
      <c r="C129" s="1" t="n">
        <v>46194</v>
      </c>
      <c r="D129" t="inlineStr">
        <is>
          <t>KALMAR LÄN</t>
        </is>
      </c>
      <c r="E129" t="inlineStr">
        <is>
          <t>NYBRO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42465-2022</t>
        </is>
      </c>
      <c r="B130" s="1" t="n">
        <v>44831</v>
      </c>
      <c r="C130" s="1" t="n">
        <v>46194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32551-2022</t>
        </is>
      </c>
      <c r="B131" s="1" t="n">
        <v>44783</v>
      </c>
      <c r="C131" s="1" t="n">
        <v>46194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32627-2021</t>
        </is>
      </c>
      <c r="B132" s="1" t="n">
        <v>44375</v>
      </c>
      <c r="C132" s="1" t="n">
        <v>46194</v>
      </c>
      <c r="D132" t="inlineStr">
        <is>
          <t>KALMAR LÄN</t>
        </is>
      </c>
      <c r="E132" t="inlineStr">
        <is>
          <t>NYBRO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31499-2021</t>
        </is>
      </c>
      <c r="B133" s="1" t="n">
        <v>44369</v>
      </c>
      <c r="C133" s="1" t="n">
        <v>46194</v>
      </c>
      <c r="D133" t="inlineStr">
        <is>
          <t>KALMAR LÄN</t>
        </is>
      </c>
      <c r="E133" t="inlineStr">
        <is>
          <t>NYBRO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493-2022</t>
        </is>
      </c>
      <c r="B134" s="1" t="n">
        <v>44566</v>
      </c>
      <c r="C134" s="1" t="n">
        <v>46194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18077-2022</t>
        </is>
      </c>
      <c r="B135" s="1" t="n">
        <v>44684</v>
      </c>
      <c r="C135" s="1" t="n">
        <v>46194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36951-2022</t>
        </is>
      </c>
      <c r="B136" s="1" t="n">
        <v>44806</v>
      </c>
      <c r="C136" s="1" t="n">
        <v>46194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</v>
      </c>
      <c r="C137" s="1" t="n">
        <v>46194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</v>
      </c>
      <c r="C138" s="1" t="n">
        <v>46194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</v>
      </c>
      <c r="C139" s="1" t="n">
        <v>46194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</v>
      </c>
      <c r="C140" s="1" t="n">
        <v>46194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</v>
      </c>
      <c r="C141" s="1" t="n">
        <v>46194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46194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</v>
      </c>
      <c r="C143" s="1" t="n">
        <v>46194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</v>
      </c>
      <c r="C144" s="1" t="n">
        <v>46194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46194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46194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</v>
      </c>
      <c r="C147" s="1" t="n">
        <v>46194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</v>
      </c>
      <c r="C148" s="1" t="n">
        <v>46194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31222-2022</t>
        </is>
      </c>
      <c r="B149" s="1" t="n">
        <v>44771</v>
      </c>
      <c r="C149" s="1" t="n">
        <v>46194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46194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46194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</v>
      </c>
      <c r="C152" s="1" t="n">
        <v>46194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</v>
      </c>
      <c r="C153" s="1" t="n">
        <v>46194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46194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</v>
      </c>
      <c r="C155" s="1" t="n">
        <v>46194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46194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46194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46194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11151-2022</t>
        </is>
      </c>
      <c r="B159" s="1" t="n">
        <v>44629</v>
      </c>
      <c r="C159" s="1" t="n">
        <v>46194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</v>
      </c>
      <c r="C160" s="1" t="n">
        <v>46194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46194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</v>
      </c>
      <c r="C162" s="1" t="n">
        <v>46194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</v>
      </c>
      <c r="C163" s="1" t="n">
        <v>46194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</v>
      </c>
      <c r="C164" s="1" t="n">
        <v>46194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40017-2021</t>
        </is>
      </c>
      <c r="B165" s="1" t="n">
        <v>44418</v>
      </c>
      <c r="C165" s="1" t="n">
        <v>46194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31762-2021</t>
        </is>
      </c>
      <c r="B166" s="1" t="n">
        <v>44370</v>
      </c>
      <c r="C166" s="1" t="n">
        <v>46194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35086-2022</t>
        </is>
      </c>
      <c r="B167" s="1" t="n">
        <v>44796</v>
      </c>
      <c r="C167" s="1" t="n">
        <v>46194</v>
      </c>
      <c r="D167" t="inlineStr">
        <is>
          <t>KALMAR LÄN</t>
        </is>
      </c>
      <c r="E167" t="inlineStr">
        <is>
          <t>NYBRO</t>
        </is>
      </c>
      <c r="F167" t="inlineStr">
        <is>
          <t>Kyrkan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73474-2021</t>
        </is>
      </c>
      <c r="B168" s="1" t="n">
        <v>44551</v>
      </c>
      <c r="C168" s="1" t="n">
        <v>46194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4985-2022</t>
        </is>
      </c>
      <c r="B169" s="1" t="n">
        <v>44593</v>
      </c>
      <c r="C169" s="1" t="n">
        <v>46194</v>
      </c>
      <c r="D169" t="inlineStr">
        <is>
          <t>KALMAR LÄN</t>
        </is>
      </c>
      <c r="E169" t="inlineStr">
        <is>
          <t>NYBRO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46194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6727-2024</t>
        </is>
      </c>
      <c r="B171" s="1" t="n">
        <v>45341</v>
      </c>
      <c r="C171" s="1" t="n">
        <v>46194</v>
      </c>
      <c r="D171" t="inlineStr">
        <is>
          <t>KALMAR LÄN</t>
        </is>
      </c>
      <c r="E171" t="inlineStr">
        <is>
          <t>NYBRO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191-2023</t>
        </is>
      </c>
      <c r="B172" s="1" t="n">
        <v>44928</v>
      </c>
      <c r="C172" s="1" t="n">
        <v>46194</v>
      </c>
      <c r="D172" t="inlineStr">
        <is>
          <t>KALMAR LÄN</t>
        </is>
      </c>
      <c r="E172" t="inlineStr">
        <is>
          <t>NYBRO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5150-2022</t>
        </is>
      </c>
      <c r="B173" s="1" t="n">
        <v>44594</v>
      </c>
      <c r="C173" s="1" t="n">
        <v>46194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935-2023</t>
        </is>
      </c>
      <c r="B174" s="1" t="n">
        <v>44933</v>
      </c>
      <c r="C174" s="1" t="n">
        <v>46194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8489-2023</t>
        </is>
      </c>
      <c r="B175" s="1" t="n">
        <v>44977</v>
      </c>
      <c r="C175" s="1" t="n">
        <v>46194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8495-2023</t>
        </is>
      </c>
      <c r="B176" s="1" t="n">
        <v>44977</v>
      </c>
      <c r="C176" s="1" t="n">
        <v>46194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35332-2021</t>
        </is>
      </c>
      <c r="B177" s="1" t="n">
        <v>44384</v>
      </c>
      <c r="C177" s="1" t="n">
        <v>46194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27873-2024</t>
        </is>
      </c>
      <c r="B178" s="1" t="n">
        <v>45475</v>
      </c>
      <c r="C178" s="1" t="n">
        <v>46194</v>
      </c>
      <c r="D178" t="inlineStr">
        <is>
          <t>KALMAR LÄN</t>
        </is>
      </c>
      <c r="E178" t="inlineStr">
        <is>
          <t>NYBRO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27881-2024</t>
        </is>
      </c>
      <c r="B179" s="1" t="n">
        <v>45475</v>
      </c>
      <c r="C179" s="1" t="n">
        <v>46194</v>
      </c>
      <c r="D179" t="inlineStr">
        <is>
          <t>KALMAR LÄN</t>
        </is>
      </c>
      <c r="E179" t="inlineStr">
        <is>
          <t>NYBRO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54051-2022</t>
        </is>
      </c>
      <c r="B180" s="1" t="n">
        <v>44881</v>
      </c>
      <c r="C180" s="1" t="n">
        <v>46194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44368-2023</t>
        </is>
      </c>
      <c r="B181" s="1" t="n">
        <v>45188</v>
      </c>
      <c r="C181" s="1" t="n">
        <v>46194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57818-2023</t>
        </is>
      </c>
      <c r="B182" s="1" t="n">
        <v>45244</v>
      </c>
      <c r="C182" s="1" t="n">
        <v>46194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11819-2022</t>
        </is>
      </c>
      <c r="B183" s="1" t="n">
        <v>44634</v>
      </c>
      <c r="C183" s="1" t="n">
        <v>46194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11828-2022</t>
        </is>
      </c>
      <c r="B184" s="1" t="n">
        <v>44634</v>
      </c>
      <c r="C184" s="1" t="n">
        <v>46194</v>
      </c>
      <c r="D184" t="inlineStr">
        <is>
          <t>KALMAR LÄN</t>
        </is>
      </c>
      <c r="E184" t="inlineStr">
        <is>
          <t>NYBRO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22812-2023</t>
        </is>
      </c>
      <c r="B185" s="1" t="n">
        <v>45072</v>
      </c>
      <c r="C185" s="1" t="n">
        <v>46194</v>
      </c>
      <c r="D185" t="inlineStr">
        <is>
          <t>KALMAR LÄN</t>
        </is>
      </c>
      <c r="E185" t="inlineStr">
        <is>
          <t>NYBRO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12213-2025</t>
        </is>
      </c>
      <c r="B186" s="1" t="n">
        <v>45729</v>
      </c>
      <c r="C186" s="1" t="n">
        <v>46194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46194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11150-2024</t>
        </is>
      </c>
      <c r="B188" s="1" t="n">
        <v>45371</v>
      </c>
      <c r="C188" s="1" t="n">
        <v>46194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61316-2022</t>
        </is>
      </c>
      <c r="B189" s="1" t="n">
        <v>44915</v>
      </c>
      <c r="C189" s="1" t="n">
        <v>46194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60819-2022</t>
        </is>
      </c>
      <c r="B190" s="1" t="n">
        <v>44914</v>
      </c>
      <c r="C190" s="1" t="n">
        <v>46194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60794-2021</t>
        </is>
      </c>
      <c r="B191" s="1" t="n">
        <v>44497</v>
      </c>
      <c r="C191" s="1" t="n">
        <v>46194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3300-2023</t>
        </is>
      </c>
      <c r="B192" s="1" t="n">
        <v>44949</v>
      </c>
      <c r="C192" s="1" t="n">
        <v>46194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38265-2024</t>
        </is>
      </c>
      <c r="B193" s="1" t="n">
        <v>45545</v>
      </c>
      <c r="C193" s="1" t="n">
        <v>46194</v>
      </c>
      <c r="D193" t="inlineStr">
        <is>
          <t>KALMAR LÄN</t>
        </is>
      </c>
      <c r="E193" t="inlineStr">
        <is>
          <t>NYBRO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33030-2022</t>
        </is>
      </c>
      <c r="B194" s="1" t="n">
        <v>44785</v>
      </c>
      <c r="C194" s="1" t="n">
        <v>46194</v>
      </c>
      <c r="D194" t="inlineStr">
        <is>
          <t>KALMAR LÄN</t>
        </is>
      </c>
      <c r="E194" t="inlineStr">
        <is>
          <t>NYBRO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32264-2024</t>
        </is>
      </c>
      <c r="B195" s="1" t="n">
        <v>45512</v>
      </c>
      <c r="C195" s="1" t="n">
        <v>46194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7650-2023</t>
        </is>
      </c>
      <c r="B196" s="1" t="n">
        <v>44972</v>
      </c>
      <c r="C196" s="1" t="n">
        <v>46194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60603-2023</t>
        </is>
      </c>
      <c r="B197" s="1" t="n">
        <v>45260</v>
      </c>
      <c r="C197" s="1" t="n">
        <v>46194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</v>
      </c>
      <c r="C198" s="1" t="n">
        <v>46194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46194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25472-2023</t>
        </is>
      </c>
      <c r="B200" s="1" t="n">
        <v>45089</v>
      </c>
      <c r="C200" s="1" t="n">
        <v>46194</v>
      </c>
      <c r="D200" t="inlineStr">
        <is>
          <t>KALMAR LÄN</t>
        </is>
      </c>
      <c r="E200" t="inlineStr">
        <is>
          <t>NYBRO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44073-2022</t>
        </is>
      </c>
      <c r="B201" s="1" t="n">
        <v>44839</v>
      </c>
      <c r="C201" s="1" t="n">
        <v>46194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39351-2024</t>
        </is>
      </c>
      <c r="B202" s="1" t="n">
        <v>45551</v>
      </c>
      <c r="C202" s="1" t="n">
        <v>46194</v>
      </c>
      <c r="D202" t="inlineStr">
        <is>
          <t>KALMAR LÄN</t>
        </is>
      </c>
      <c r="E202" t="inlineStr">
        <is>
          <t>NYBRO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44030-2023</t>
        </is>
      </c>
      <c r="B203" s="1" t="n">
        <v>45188</v>
      </c>
      <c r="C203" s="1" t="n">
        <v>46194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58455-2021</t>
        </is>
      </c>
      <c r="B204" s="1" t="n">
        <v>44488</v>
      </c>
      <c r="C204" s="1" t="n">
        <v>46194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60026-2022</t>
        </is>
      </c>
      <c r="B205" s="1" t="n">
        <v>44909</v>
      </c>
      <c r="C205" s="1" t="n">
        <v>46194</v>
      </c>
      <c r="D205" t="inlineStr">
        <is>
          <t>KALMAR LÄN</t>
        </is>
      </c>
      <c r="E205" t="inlineStr">
        <is>
          <t>NYBRO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12943-2024</t>
        </is>
      </c>
      <c r="B206" s="1" t="n">
        <v>45385</v>
      </c>
      <c r="C206" s="1" t="n">
        <v>46194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20434-2023</t>
        </is>
      </c>
      <c r="B207" s="1" t="n">
        <v>45056</v>
      </c>
      <c r="C207" s="1" t="n">
        <v>46194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51652-2024</t>
        </is>
      </c>
      <c r="B208" s="1" t="n">
        <v>45606</v>
      </c>
      <c r="C208" s="1" t="n">
        <v>46194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23204-2023</t>
        </is>
      </c>
      <c r="B209" s="1" t="n">
        <v>45075</v>
      </c>
      <c r="C209" s="1" t="n">
        <v>46194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60896-2022</t>
        </is>
      </c>
      <c r="B210" s="1" t="n">
        <v>44914</v>
      </c>
      <c r="C210" s="1" t="n">
        <v>46194</v>
      </c>
      <c r="D210" t="inlineStr">
        <is>
          <t>KALMAR LÄN</t>
        </is>
      </c>
      <c r="E210" t="inlineStr">
        <is>
          <t>NYBRO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38761-2024</t>
        </is>
      </c>
      <c r="B211" s="1" t="n">
        <v>45547</v>
      </c>
      <c r="C211" s="1" t="n">
        <v>46194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38059-2024</t>
        </is>
      </c>
      <c r="B212" s="1" t="n">
        <v>45544</v>
      </c>
      <c r="C212" s="1" t="n">
        <v>46194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57980-2022</t>
        </is>
      </c>
      <c r="B213" s="1" t="n">
        <v>44900</v>
      </c>
      <c r="C213" s="1" t="n">
        <v>46194</v>
      </c>
      <c r="D213" t="inlineStr">
        <is>
          <t>KALMAR LÄN</t>
        </is>
      </c>
      <c r="E213" t="inlineStr">
        <is>
          <t>NYBRO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49895-2023</t>
        </is>
      </c>
      <c r="B214" s="1" t="n">
        <v>45213</v>
      </c>
      <c r="C214" s="1" t="n">
        <v>46194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46194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59053-2022</t>
        </is>
      </c>
      <c r="B216" s="1" t="n">
        <v>44904</v>
      </c>
      <c r="C216" s="1" t="n">
        <v>46194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59054-2022</t>
        </is>
      </c>
      <c r="B217" s="1" t="n">
        <v>44904</v>
      </c>
      <c r="C217" s="1" t="n">
        <v>46194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51574-2022</t>
        </is>
      </c>
      <c r="B218" s="1" t="n">
        <v>44870</v>
      </c>
      <c r="C218" s="1" t="n">
        <v>46194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21695-2024</t>
        </is>
      </c>
      <c r="B219" s="1" t="n">
        <v>45442</v>
      </c>
      <c r="C219" s="1" t="n">
        <v>46194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60041-2022</t>
        </is>
      </c>
      <c r="B220" s="1" t="n">
        <v>44909</v>
      </c>
      <c r="C220" s="1" t="n">
        <v>46194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4109-2022</t>
        </is>
      </c>
      <c r="B221" s="1" t="n">
        <v>44587</v>
      </c>
      <c r="C221" s="1" t="n">
        <v>46194</v>
      </c>
      <c r="D221" t="inlineStr">
        <is>
          <t>KALMAR LÄN</t>
        </is>
      </c>
      <c r="E221" t="inlineStr">
        <is>
          <t>NYBRO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5214-2023</t>
        </is>
      </c>
      <c r="B222" s="1" t="n">
        <v>44959</v>
      </c>
      <c r="C222" s="1" t="n">
        <v>46194</v>
      </c>
      <c r="D222" t="inlineStr">
        <is>
          <t>KALMAR LÄN</t>
        </is>
      </c>
      <c r="E222" t="inlineStr">
        <is>
          <t>NYBRO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26125-2023</t>
        </is>
      </c>
      <c r="B223" s="1" t="n">
        <v>45091</v>
      </c>
      <c r="C223" s="1" t="n">
        <v>46194</v>
      </c>
      <c r="D223" t="inlineStr">
        <is>
          <t>KALMAR LÄN</t>
        </is>
      </c>
      <c r="E223" t="inlineStr">
        <is>
          <t>NYBRO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</v>
      </c>
      <c r="C224" s="1" t="n">
        <v>46194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59687-2021</t>
        </is>
      </c>
      <c r="B225" s="1" t="n">
        <v>44494</v>
      </c>
      <c r="C225" s="1" t="n">
        <v>46194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52137-2021</t>
        </is>
      </c>
      <c r="B226" s="1" t="n">
        <v>44463</v>
      </c>
      <c r="C226" s="1" t="n">
        <v>46194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26120-2023</t>
        </is>
      </c>
      <c r="B227" s="1" t="n">
        <v>45091</v>
      </c>
      <c r="C227" s="1" t="n">
        <v>46194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489-2025</t>
        </is>
      </c>
      <c r="B228" s="1" t="n">
        <v>45664</v>
      </c>
      <c r="C228" s="1" t="n">
        <v>46194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21433-2023</t>
        </is>
      </c>
      <c r="B229" s="1" t="n">
        <v>45063</v>
      </c>
      <c r="C229" s="1" t="n">
        <v>46194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35406-2022</t>
        </is>
      </c>
      <c r="B230" s="1" t="n">
        <v>44798</v>
      </c>
      <c r="C230" s="1" t="n">
        <v>46194</v>
      </c>
      <c r="D230" t="inlineStr">
        <is>
          <t>KALMAR LÄN</t>
        </is>
      </c>
      <c r="E230" t="inlineStr">
        <is>
          <t>NYBRO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44779-2023</t>
        </is>
      </c>
      <c r="B231" s="1" t="n">
        <v>45190</v>
      </c>
      <c r="C231" s="1" t="n">
        <v>46194</v>
      </c>
      <c r="D231" t="inlineStr">
        <is>
          <t>KALMAR LÄN</t>
        </is>
      </c>
      <c r="E231" t="inlineStr">
        <is>
          <t>NYBRO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175-2023</t>
        </is>
      </c>
      <c r="B232" s="1" t="n">
        <v>44928</v>
      </c>
      <c r="C232" s="1" t="n">
        <v>46194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47435-2022</t>
        </is>
      </c>
      <c r="B233" s="1" t="n">
        <v>44853</v>
      </c>
      <c r="C233" s="1" t="n">
        <v>46194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26893-2024</t>
        </is>
      </c>
      <c r="B234" s="1" t="n">
        <v>45470</v>
      </c>
      <c r="C234" s="1" t="n">
        <v>46194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15735-2023</t>
        </is>
      </c>
      <c r="B235" s="1" t="n">
        <v>45021</v>
      </c>
      <c r="C235" s="1" t="n">
        <v>46194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72166-2021</t>
        </is>
      </c>
      <c r="B236" s="1" t="n">
        <v>44544</v>
      </c>
      <c r="C236" s="1" t="n">
        <v>46194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24183-2023</t>
        </is>
      </c>
      <c r="B237" s="1" t="n">
        <v>45079</v>
      </c>
      <c r="C237" s="1" t="n">
        <v>46194</v>
      </c>
      <c r="D237" t="inlineStr">
        <is>
          <t>KALMAR LÄN</t>
        </is>
      </c>
      <c r="E237" t="inlineStr">
        <is>
          <t>NYBRO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5340-2023</t>
        </is>
      </c>
      <c r="B238" s="1" t="n">
        <v>44959</v>
      </c>
      <c r="C238" s="1" t="n">
        <v>46194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51908-2023</t>
        </is>
      </c>
      <c r="B239" s="1" t="n">
        <v>45216</v>
      </c>
      <c r="C239" s="1" t="n">
        <v>46194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6544-2024</t>
        </is>
      </c>
      <c r="B240" s="1" t="n">
        <v>45341</v>
      </c>
      <c r="C240" s="1" t="n">
        <v>46194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1419-2025</t>
        </is>
      </c>
      <c r="B241" s="1" t="n">
        <v>45668</v>
      </c>
      <c r="C241" s="1" t="n">
        <v>46194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19244-2022</t>
        </is>
      </c>
      <c r="B242" s="1" t="n">
        <v>44692</v>
      </c>
      <c r="C242" s="1" t="n">
        <v>46194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41992-2024</t>
        </is>
      </c>
      <c r="B243" s="1" t="n">
        <v>45561</v>
      </c>
      <c r="C243" s="1" t="n">
        <v>46194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41993-2024</t>
        </is>
      </c>
      <c r="B244" s="1" t="n">
        <v>45561</v>
      </c>
      <c r="C244" s="1" t="n">
        <v>46194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28647-2023</t>
        </is>
      </c>
      <c r="B245" s="1" t="n">
        <v>45103</v>
      </c>
      <c r="C245" s="1" t="n">
        <v>46194</v>
      </c>
      <c r="D245" t="inlineStr">
        <is>
          <t>KALMAR LÄN</t>
        </is>
      </c>
      <c r="E245" t="inlineStr">
        <is>
          <t>NYBRO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18571-2023</t>
        </is>
      </c>
      <c r="B246" s="1" t="n">
        <v>45043</v>
      </c>
      <c r="C246" s="1" t="n">
        <v>46194</v>
      </c>
      <c r="D246" t="inlineStr">
        <is>
          <t>KALMAR LÄN</t>
        </is>
      </c>
      <c r="E246" t="inlineStr">
        <is>
          <t>NYBRO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16530-2024</t>
        </is>
      </c>
      <c r="B247" s="1" t="n">
        <v>45408</v>
      </c>
      <c r="C247" s="1" t="n">
        <v>46194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19967-2023</t>
        </is>
      </c>
      <c r="B248" s="1" t="n">
        <v>45054</v>
      </c>
      <c r="C248" s="1" t="n">
        <v>46194</v>
      </c>
      <c r="D248" t="inlineStr">
        <is>
          <t>KALMAR LÄN</t>
        </is>
      </c>
      <c r="E248" t="inlineStr">
        <is>
          <t>NYBRO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4962-2022</t>
        </is>
      </c>
      <c r="B249" s="1" t="n">
        <v>44593</v>
      </c>
      <c r="C249" s="1" t="n">
        <v>46194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11156-2023</t>
        </is>
      </c>
      <c r="B250" s="1" t="n">
        <v>44992</v>
      </c>
      <c r="C250" s="1" t="n">
        <v>46194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22487-2022</t>
        </is>
      </c>
      <c r="B251" s="1" t="n">
        <v>44713</v>
      </c>
      <c r="C251" s="1" t="n">
        <v>46194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27997-2023</t>
        </is>
      </c>
      <c r="B252" s="1" t="n">
        <v>45098</v>
      </c>
      <c r="C252" s="1" t="n">
        <v>46194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52311-2022</t>
        </is>
      </c>
      <c r="B253" s="1" t="n">
        <v>44873</v>
      </c>
      <c r="C253" s="1" t="n">
        <v>46194</v>
      </c>
      <c r="D253" t="inlineStr">
        <is>
          <t>KALMAR LÄN</t>
        </is>
      </c>
      <c r="E253" t="inlineStr">
        <is>
          <t>NYBRO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40375-2021</t>
        </is>
      </c>
      <c r="B254" s="1" t="n">
        <v>44419</v>
      </c>
      <c r="C254" s="1" t="n">
        <v>46194</v>
      </c>
      <c r="D254" t="inlineStr">
        <is>
          <t>KALMAR LÄN</t>
        </is>
      </c>
      <c r="E254" t="inlineStr">
        <is>
          <t>NYBRO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61136-2022</t>
        </is>
      </c>
      <c r="B255" s="1" t="n">
        <v>44908</v>
      </c>
      <c r="C255" s="1" t="n">
        <v>46194</v>
      </c>
      <c r="D255" t="inlineStr">
        <is>
          <t>KALMAR LÄN</t>
        </is>
      </c>
      <c r="E255" t="inlineStr">
        <is>
          <t>NYBRO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31917-2024</t>
        </is>
      </c>
      <c r="B256" s="1" t="n">
        <v>45510</v>
      </c>
      <c r="C256" s="1" t="n">
        <v>46194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8069-2023</t>
        </is>
      </c>
      <c r="B257" s="1" t="n">
        <v>44974</v>
      </c>
      <c r="C257" s="1" t="n">
        <v>46194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24127-2023</t>
        </is>
      </c>
      <c r="B258" s="1" t="n">
        <v>45079</v>
      </c>
      <c r="C258" s="1" t="n">
        <v>46194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68074-2021</t>
        </is>
      </c>
      <c r="B259" s="1" t="n">
        <v>44526</v>
      </c>
      <c r="C259" s="1" t="n">
        <v>46194</v>
      </c>
      <c r="D259" t="inlineStr">
        <is>
          <t>KALMAR LÄN</t>
        </is>
      </c>
      <c r="E259" t="inlineStr">
        <is>
          <t>NYBRO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48732-2023</t>
        </is>
      </c>
      <c r="B260" s="1" t="n">
        <v>45208</v>
      </c>
      <c r="C260" s="1" t="n">
        <v>46194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35129-2023</t>
        </is>
      </c>
      <c r="B261" s="1" t="n">
        <v>45145</v>
      </c>
      <c r="C261" s="1" t="n">
        <v>46194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35165-2023</t>
        </is>
      </c>
      <c r="B262" s="1" t="n">
        <v>45145</v>
      </c>
      <c r="C262" s="1" t="n">
        <v>46194</v>
      </c>
      <c r="D262" t="inlineStr">
        <is>
          <t>KALMAR LÄN</t>
        </is>
      </c>
      <c r="E262" t="inlineStr">
        <is>
          <t>NYBRO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4863-2022</t>
        </is>
      </c>
      <c r="B263" s="1" t="n">
        <v>44593</v>
      </c>
      <c r="C263" s="1" t="n">
        <v>46194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33010-2021</t>
        </is>
      </c>
      <c r="B264" s="1" t="n">
        <v>44376</v>
      </c>
      <c r="C264" s="1" t="n">
        <v>46194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34345-2024</t>
        </is>
      </c>
      <c r="B265" s="1" t="n">
        <v>45525</v>
      </c>
      <c r="C265" s="1" t="n">
        <v>46194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5766-2024</t>
        </is>
      </c>
      <c r="B266" s="1" t="n">
        <v>45335</v>
      </c>
      <c r="C266" s="1" t="n">
        <v>46194</v>
      </c>
      <c r="D266" t="inlineStr">
        <is>
          <t>KALMAR LÄN</t>
        </is>
      </c>
      <c r="E266" t="inlineStr">
        <is>
          <t>NYBRO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32609-2021</t>
        </is>
      </c>
      <c r="B267" s="1" t="n">
        <v>44375</v>
      </c>
      <c r="C267" s="1" t="n">
        <v>46194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51582-2023</t>
        </is>
      </c>
      <c r="B268" s="1" t="n">
        <v>45222</v>
      </c>
      <c r="C268" s="1" t="n">
        <v>46194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8003-2023</t>
        </is>
      </c>
      <c r="B269" s="1" t="n">
        <v>44973</v>
      </c>
      <c r="C269" s="1" t="n">
        <v>46194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48312-2024</t>
        </is>
      </c>
      <c r="B270" s="1" t="n">
        <v>45590</v>
      </c>
      <c r="C270" s="1" t="n">
        <v>46194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13058-2024</t>
        </is>
      </c>
      <c r="B271" s="1" t="n">
        <v>45385</v>
      </c>
      <c r="C271" s="1" t="n">
        <v>46194</v>
      </c>
      <c r="D271" t="inlineStr">
        <is>
          <t>KALMAR LÄN</t>
        </is>
      </c>
      <c r="E271" t="inlineStr">
        <is>
          <t>NYBRO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2191-2022</t>
        </is>
      </c>
      <c r="B272" s="1" t="n">
        <v>44578</v>
      </c>
      <c r="C272" s="1" t="n">
        <v>46194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38459-2021</t>
        </is>
      </c>
      <c r="B273" s="1" t="n">
        <v>44407</v>
      </c>
      <c r="C273" s="1" t="n">
        <v>46194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38461-2021</t>
        </is>
      </c>
      <c r="B274" s="1" t="n">
        <v>44407</v>
      </c>
      <c r="C274" s="1" t="n">
        <v>46194</v>
      </c>
      <c r="D274" t="inlineStr">
        <is>
          <t>KALMAR LÄN</t>
        </is>
      </c>
      <c r="E274" t="inlineStr">
        <is>
          <t>NYBRO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50556-2022</t>
        </is>
      </c>
      <c r="B275" s="1" t="n">
        <v>44866</v>
      </c>
      <c r="C275" s="1" t="n">
        <v>46194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50561-2022</t>
        </is>
      </c>
      <c r="B276" s="1" t="n">
        <v>44866</v>
      </c>
      <c r="C276" s="1" t="n">
        <v>46194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41635-2023</t>
        </is>
      </c>
      <c r="B277" s="1" t="n">
        <v>45175</v>
      </c>
      <c r="C277" s="1" t="n">
        <v>46194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29715-2022</t>
        </is>
      </c>
      <c r="B278" s="1" t="n">
        <v>44755</v>
      </c>
      <c r="C278" s="1" t="n">
        <v>46194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50938-2022</t>
        </is>
      </c>
      <c r="B279" s="1" t="n">
        <v>44867</v>
      </c>
      <c r="C279" s="1" t="n">
        <v>46194</v>
      </c>
      <c r="D279" t="inlineStr">
        <is>
          <t>KALMAR LÄN</t>
        </is>
      </c>
      <c r="E279" t="inlineStr">
        <is>
          <t>NYBRO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61499-2022</t>
        </is>
      </c>
      <c r="B280" s="1" t="n">
        <v>44910</v>
      </c>
      <c r="C280" s="1" t="n">
        <v>46194</v>
      </c>
      <c r="D280" t="inlineStr">
        <is>
          <t>KALMAR LÄN</t>
        </is>
      </c>
      <c r="E280" t="inlineStr">
        <is>
          <t>NYBRO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23933-2023</t>
        </is>
      </c>
      <c r="B281" s="1" t="n">
        <v>45075</v>
      </c>
      <c r="C281" s="1" t="n">
        <v>46194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7958-2023</t>
        </is>
      </c>
      <c r="B282" s="1" t="n">
        <v>44973</v>
      </c>
      <c r="C282" s="1" t="n">
        <v>46194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59525-2023</t>
        </is>
      </c>
      <c r="B283" s="1" t="n">
        <v>45253</v>
      </c>
      <c r="C283" s="1" t="n">
        <v>46194</v>
      </c>
      <c r="D283" t="inlineStr">
        <is>
          <t>KALMAR LÄN</t>
        </is>
      </c>
      <c r="E283" t="inlineStr">
        <is>
          <t>NYBRO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23824-2023</t>
        </is>
      </c>
      <c r="B284" s="1" t="n">
        <v>45078</v>
      </c>
      <c r="C284" s="1" t="n">
        <v>46194</v>
      </c>
      <c r="D284" t="inlineStr">
        <is>
          <t>KALMAR LÄN</t>
        </is>
      </c>
      <c r="E284" t="inlineStr">
        <is>
          <t>NYBRO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7725-2023</t>
        </is>
      </c>
      <c r="B285" s="1" t="n">
        <v>44973</v>
      </c>
      <c r="C285" s="1" t="n">
        <v>46194</v>
      </c>
      <c r="D285" t="inlineStr">
        <is>
          <t>KALMAR LÄN</t>
        </is>
      </c>
      <c r="E285" t="inlineStr">
        <is>
          <t>NYBRO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6896-2024</t>
        </is>
      </c>
      <c r="B286" s="1" t="n">
        <v>45342</v>
      </c>
      <c r="C286" s="1" t="n">
        <v>46194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41649-2022</t>
        </is>
      </c>
      <c r="B287" s="1" t="n">
        <v>44827</v>
      </c>
      <c r="C287" s="1" t="n">
        <v>46194</v>
      </c>
      <c r="D287" t="inlineStr">
        <is>
          <t>KALMAR LÄN</t>
        </is>
      </c>
      <c r="E287" t="inlineStr">
        <is>
          <t>NYBRO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11352-2024</t>
        </is>
      </c>
      <c r="B288" s="1" t="n">
        <v>45372</v>
      </c>
      <c r="C288" s="1" t="n">
        <v>46194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17749-2023</t>
        </is>
      </c>
      <c r="B289" s="1" t="n">
        <v>45037</v>
      </c>
      <c r="C289" s="1" t="n">
        <v>46194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1965-2023</t>
        </is>
      </c>
      <c r="B290" s="1" t="n">
        <v>44939</v>
      </c>
      <c r="C290" s="1" t="n">
        <v>46194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53614-2023</t>
        </is>
      </c>
      <c r="B291" s="1" t="n">
        <v>45223</v>
      </c>
      <c r="C291" s="1" t="n">
        <v>46194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53650-2023</t>
        </is>
      </c>
      <c r="B292" s="1" t="n">
        <v>45230</v>
      </c>
      <c r="C292" s="1" t="n">
        <v>46194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10632-2024</t>
        </is>
      </c>
      <c r="B293" s="1" t="n">
        <v>45367</v>
      </c>
      <c r="C293" s="1" t="n">
        <v>46194</v>
      </c>
      <c r="D293" t="inlineStr">
        <is>
          <t>KALMAR LÄN</t>
        </is>
      </c>
      <c r="E293" t="inlineStr">
        <is>
          <t>NYBRO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23202-2025</t>
        </is>
      </c>
      <c r="B294" s="1" t="n">
        <v>45791</v>
      </c>
      <c r="C294" s="1" t="n">
        <v>46194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13930-2025</t>
        </is>
      </c>
      <c r="B295" s="1" t="n">
        <v>45737</v>
      </c>
      <c r="C295" s="1" t="n">
        <v>46194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29950-2024</t>
        </is>
      </c>
      <c r="B296" s="1" t="n">
        <v>45488</v>
      </c>
      <c r="C296" s="1" t="n">
        <v>46194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19539-2023</t>
        </is>
      </c>
      <c r="B297" s="1" t="n">
        <v>45050</v>
      </c>
      <c r="C297" s="1" t="n">
        <v>46194</v>
      </c>
      <c r="D297" t="inlineStr">
        <is>
          <t>KALMAR LÄN</t>
        </is>
      </c>
      <c r="E297" t="inlineStr">
        <is>
          <t>NYBRO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5944-2024</t>
        </is>
      </c>
      <c r="B298" s="1" t="n">
        <v>45336</v>
      </c>
      <c r="C298" s="1" t="n">
        <v>46194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59837-2023</t>
        </is>
      </c>
      <c r="B299" s="1" t="n">
        <v>45253</v>
      </c>
      <c r="C299" s="1" t="n">
        <v>46194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15584-2024</t>
        </is>
      </c>
      <c r="B300" s="1" t="n">
        <v>45401</v>
      </c>
      <c r="C300" s="1" t="n">
        <v>46194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36100-2023</t>
        </is>
      </c>
      <c r="B301" s="1" t="n">
        <v>45149</v>
      </c>
      <c r="C301" s="1" t="n">
        <v>46194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23926-2023</t>
        </is>
      </c>
      <c r="B302" s="1" t="n">
        <v>45075</v>
      </c>
      <c r="C302" s="1" t="n">
        <v>46194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3344-2025</t>
        </is>
      </c>
      <c r="B303" s="1" t="n">
        <v>45679</v>
      </c>
      <c r="C303" s="1" t="n">
        <v>46194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25717-2022</t>
        </is>
      </c>
      <c r="B304" s="1" t="n">
        <v>44733</v>
      </c>
      <c r="C304" s="1" t="n">
        <v>46194</v>
      </c>
      <c r="D304" t="inlineStr">
        <is>
          <t>KALMAR LÄN</t>
        </is>
      </c>
      <c r="E304" t="inlineStr">
        <is>
          <t>NYBRO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34887-2025</t>
        </is>
      </c>
      <c r="B305" s="1" t="n">
        <v>45849</v>
      </c>
      <c r="C305" s="1" t="n">
        <v>46194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50976-2022</t>
        </is>
      </c>
      <c r="B306" s="1" t="n">
        <v>44867</v>
      </c>
      <c r="C306" s="1" t="n">
        <v>46194</v>
      </c>
      <c r="D306" t="inlineStr">
        <is>
          <t>KALMAR LÄN</t>
        </is>
      </c>
      <c r="E306" t="inlineStr">
        <is>
          <t>NYBRO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59836-2023</t>
        </is>
      </c>
      <c r="B307" s="1" t="n">
        <v>45253</v>
      </c>
      <c r="C307" s="1" t="n">
        <v>46194</v>
      </c>
      <c r="D307" t="inlineStr">
        <is>
          <t>KALMAR LÄN</t>
        </is>
      </c>
      <c r="E307" t="inlineStr">
        <is>
          <t>NYBRO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53681-2022</t>
        </is>
      </c>
      <c r="B308" s="1" t="n">
        <v>44880</v>
      </c>
      <c r="C308" s="1" t="n">
        <v>46194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4180-2025</t>
        </is>
      </c>
      <c r="B309" s="1" t="n">
        <v>45685</v>
      </c>
      <c r="C309" s="1" t="n">
        <v>46194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23818-2023</t>
        </is>
      </c>
      <c r="B310" s="1" t="n">
        <v>45078</v>
      </c>
      <c r="C310" s="1" t="n">
        <v>46194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7308-2023</t>
        </is>
      </c>
      <c r="B311" s="1" t="n">
        <v>44970</v>
      </c>
      <c r="C311" s="1" t="n">
        <v>46194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26863-2023</t>
        </is>
      </c>
      <c r="B312" s="1" t="n">
        <v>45093</v>
      </c>
      <c r="C312" s="1" t="n">
        <v>46194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45113-2023</t>
        </is>
      </c>
      <c r="B313" s="1" t="n">
        <v>45191</v>
      </c>
      <c r="C313" s="1" t="n">
        <v>46194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23191-2025</t>
        </is>
      </c>
      <c r="B314" s="1" t="n">
        <v>45791</v>
      </c>
      <c r="C314" s="1" t="n">
        <v>46194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51651-2024</t>
        </is>
      </c>
      <c r="B315" s="1" t="n">
        <v>45606</v>
      </c>
      <c r="C315" s="1" t="n">
        <v>46194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56215-2022</t>
        </is>
      </c>
      <c r="B316" s="1" t="n">
        <v>44890</v>
      </c>
      <c r="C316" s="1" t="n">
        <v>46194</v>
      </c>
      <c r="D316" t="inlineStr">
        <is>
          <t>KALMAR LÄN</t>
        </is>
      </c>
      <c r="E316" t="inlineStr">
        <is>
          <t>NYBRO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3612-2022</t>
        </is>
      </c>
      <c r="B317" s="1" t="n">
        <v>44586</v>
      </c>
      <c r="C317" s="1" t="n">
        <v>46194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26729-2023</t>
        </is>
      </c>
      <c r="B318" s="1" t="n">
        <v>45093</v>
      </c>
      <c r="C318" s="1" t="n">
        <v>46194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63260-2021</t>
        </is>
      </c>
      <c r="B319" s="1" t="n">
        <v>44505</v>
      </c>
      <c r="C319" s="1" t="n">
        <v>46194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28503-2023</t>
        </is>
      </c>
      <c r="B320" s="1" t="n">
        <v>45103</v>
      </c>
      <c r="C320" s="1" t="n">
        <v>46194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28522-2023</t>
        </is>
      </c>
      <c r="B321" s="1" t="n">
        <v>45103</v>
      </c>
      <c r="C321" s="1" t="n">
        <v>46194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38399-2025</t>
        </is>
      </c>
      <c r="B322" s="1" t="n">
        <v>45883</v>
      </c>
      <c r="C322" s="1" t="n">
        <v>46194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38413-2025</t>
        </is>
      </c>
      <c r="B323" s="1" t="n">
        <v>45883</v>
      </c>
      <c r="C323" s="1" t="n">
        <v>46194</v>
      </c>
      <c r="D323" t="inlineStr">
        <is>
          <t>KALMAR LÄN</t>
        </is>
      </c>
      <c r="E323" t="inlineStr">
        <is>
          <t>NYBRO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11910-2024</t>
        </is>
      </c>
      <c r="B324" s="1" t="n">
        <v>45376</v>
      </c>
      <c r="C324" s="1" t="n">
        <v>46194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21388-2024</t>
        </is>
      </c>
      <c r="B325" s="1" t="n">
        <v>45440</v>
      </c>
      <c r="C325" s="1" t="n">
        <v>46194</v>
      </c>
      <c r="D325" t="inlineStr">
        <is>
          <t>KALMAR LÄN</t>
        </is>
      </c>
      <c r="E325" t="inlineStr">
        <is>
          <t>NYBRO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6195-2025</t>
        </is>
      </c>
      <c r="B326" s="1" t="n">
        <v>45698</v>
      </c>
      <c r="C326" s="1" t="n">
        <v>46194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51449-2024</t>
        </is>
      </c>
      <c r="B327" s="1" t="n">
        <v>45603</v>
      </c>
      <c r="C327" s="1" t="n">
        <v>46194</v>
      </c>
      <c r="D327" t="inlineStr">
        <is>
          <t>KALMAR LÄN</t>
        </is>
      </c>
      <c r="E327" t="inlineStr">
        <is>
          <t>NYBRO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51081-2022</t>
        </is>
      </c>
      <c r="B328" s="1" t="n">
        <v>44868</v>
      </c>
      <c r="C328" s="1" t="n">
        <v>46194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51448-2024</t>
        </is>
      </c>
      <c r="B329" s="1" t="n">
        <v>45603</v>
      </c>
      <c r="C329" s="1" t="n">
        <v>46194</v>
      </c>
      <c r="D329" t="inlineStr">
        <is>
          <t>KALMAR LÄN</t>
        </is>
      </c>
      <c r="E329" t="inlineStr">
        <is>
          <t>NYBRO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38623-2023</t>
        </is>
      </c>
      <c r="B330" s="1" t="n">
        <v>45162</v>
      </c>
      <c r="C330" s="1" t="n">
        <v>46194</v>
      </c>
      <c r="D330" t="inlineStr">
        <is>
          <t>KALMAR LÄN</t>
        </is>
      </c>
      <c r="E330" t="inlineStr">
        <is>
          <t>NYBRO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51305-2024</t>
        </is>
      </c>
      <c r="B331" s="1" t="n">
        <v>45603</v>
      </c>
      <c r="C331" s="1" t="n">
        <v>46194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9581-2023</t>
        </is>
      </c>
      <c r="B332" s="1" t="n">
        <v>44982</v>
      </c>
      <c r="C332" s="1" t="n">
        <v>46194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49912-2022</t>
        </is>
      </c>
      <c r="B333" s="1" t="n">
        <v>44865</v>
      </c>
      <c r="C333" s="1" t="n">
        <v>46194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60033-2022</t>
        </is>
      </c>
      <c r="B334" s="1" t="n">
        <v>44909</v>
      </c>
      <c r="C334" s="1" t="n">
        <v>46194</v>
      </c>
      <c r="D334" t="inlineStr">
        <is>
          <t>KALMAR LÄN</t>
        </is>
      </c>
      <c r="E334" t="inlineStr">
        <is>
          <t>NYBRO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</v>
      </c>
      <c r="C335" s="1" t="n">
        <v>46194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34877-2025</t>
        </is>
      </c>
      <c r="B336" s="1" t="n">
        <v>45849</v>
      </c>
      <c r="C336" s="1" t="n">
        <v>46194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38442-2021</t>
        </is>
      </c>
      <c r="B337" s="1" t="n">
        <v>44407</v>
      </c>
      <c r="C337" s="1" t="n">
        <v>46194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33308-2021</t>
        </is>
      </c>
      <c r="B338" s="1" t="n">
        <v>44376</v>
      </c>
      <c r="C338" s="1" t="n">
        <v>46194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38202-2025</t>
        </is>
      </c>
      <c r="B339" s="1" t="n">
        <v>45882</v>
      </c>
      <c r="C339" s="1" t="n">
        <v>46194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13926-2025</t>
        </is>
      </c>
      <c r="B340" s="1" t="n">
        <v>45737</v>
      </c>
      <c r="C340" s="1" t="n">
        <v>46194</v>
      </c>
      <c r="D340" t="inlineStr">
        <is>
          <t>KALMAR LÄN</t>
        </is>
      </c>
      <c r="E340" t="inlineStr">
        <is>
          <t>NYBRO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27027-2023</t>
        </is>
      </c>
      <c r="B341" s="1" t="n">
        <v>45095</v>
      </c>
      <c r="C341" s="1" t="n">
        <v>46194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26442-2024</t>
        </is>
      </c>
      <c r="B342" s="1" t="n">
        <v>45469</v>
      </c>
      <c r="C342" s="1" t="n">
        <v>46194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5928-2025</t>
        </is>
      </c>
      <c r="B343" s="1" t="n">
        <v>45695</v>
      </c>
      <c r="C343" s="1" t="n">
        <v>46194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28728-2024</t>
        </is>
      </c>
      <c r="B344" s="1" t="n">
        <v>45478</v>
      </c>
      <c r="C344" s="1" t="n">
        <v>46194</v>
      </c>
      <c r="D344" t="inlineStr">
        <is>
          <t>KALMAR LÄN</t>
        </is>
      </c>
      <c r="E344" t="inlineStr">
        <is>
          <t>NYBRO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24941-2023</t>
        </is>
      </c>
      <c r="B345" s="1" t="n">
        <v>45085</v>
      </c>
      <c r="C345" s="1" t="n">
        <v>46194</v>
      </c>
      <c r="D345" t="inlineStr">
        <is>
          <t>KALMAR LÄN</t>
        </is>
      </c>
      <c r="E345" t="inlineStr">
        <is>
          <t>NYBRO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40347-2023</t>
        </is>
      </c>
      <c r="B346" s="1" t="n">
        <v>45169</v>
      </c>
      <c r="C346" s="1" t="n">
        <v>46194</v>
      </c>
      <c r="D346" t="inlineStr">
        <is>
          <t>KALMAR LÄN</t>
        </is>
      </c>
      <c r="E346" t="inlineStr">
        <is>
          <t>NYBRO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22488-2022</t>
        </is>
      </c>
      <c r="B347" s="1" t="n">
        <v>44713</v>
      </c>
      <c r="C347" s="1" t="n">
        <v>46194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1928-2024</t>
        </is>
      </c>
      <c r="B348" s="1" t="n">
        <v>45308</v>
      </c>
      <c r="C348" s="1" t="n">
        <v>46194</v>
      </c>
      <c r="D348" t="inlineStr">
        <is>
          <t>KALMAR LÄN</t>
        </is>
      </c>
      <c r="E348" t="inlineStr">
        <is>
          <t>NYBRO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61807-2024</t>
        </is>
      </c>
      <c r="B349" s="1" t="n">
        <v>45649</v>
      </c>
      <c r="C349" s="1" t="n">
        <v>46194</v>
      </c>
      <c r="D349" t="inlineStr">
        <is>
          <t>KALMAR LÄN</t>
        </is>
      </c>
      <c r="E349" t="inlineStr">
        <is>
          <t>NYBRO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17432-2024</t>
        </is>
      </c>
      <c r="B350" s="1" t="n">
        <v>45415</v>
      </c>
      <c r="C350" s="1" t="n">
        <v>46194</v>
      </c>
      <c r="D350" t="inlineStr">
        <is>
          <t>KALMAR LÄN</t>
        </is>
      </c>
      <c r="E350" t="inlineStr">
        <is>
          <t>NYBRO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61835-2024</t>
        </is>
      </c>
      <c r="B351" s="1" t="n">
        <v>45649</v>
      </c>
      <c r="C351" s="1" t="n">
        <v>46194</v>
      </c>
      <c r="D351" t="inlineStr">
        <is>
          <t>KALMAR LÄN</t>
        </is>
      </c>
      <c r="E351" t="inlineStr">
        <is>
          <t>NYBRO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23255-2023</t>
        </is>
      </c>
      <c r="B352" s="1" t="n">
        <v>45071</v>
      </c>
      <c r="C352" s="1" t="n">
        <v>46194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56069-2023</t>
        </is>
      </c>
      <c r="B353" s="1" t="n">
        <v>45240</v>
      </c>
      <c r="C353" s="1" t="n">
        <v>46194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33035-2022</t>
        </is>
      </c>
      <c r="B354" s="1" t="n">
        <v>44785</v>
      </c>
      <c r="C354" s="1" t="n">
        <v>46194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47270-2024</t>
        </is>
      </c>
      <c r="B355" s="1" t="n">
        <v>45586</v>
      </c>
      <c r="C355" s="1" t="n">
        <v>46194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20952-2024</t>
        </is>
      </c>
      <c r="B356" s="1" t="n">
        <v>45439</v>
      </c>
      <c r="C356" s="1" t="n">
        <v>46194</v>
      </c>
      <c r="D356" t="inlineStr">
        <is>
          <t>KALMAR LÄN</t>
        </is>
      </c>
      <c r="E356" t="inlineStr">
        <is>
          <t>NYBRO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9520-2024</t>
        </is>
      </c>
      <c r="B357" s="1" t="n">
        <v>45359</v>
      </c>
      <c r="C357" s="1" t="n">
        <v>46194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14223-2025</t>
        </is>
      </c>
      <c r="B358" s="1" t="n">
        <v>45740</v>
      </c>
      <c r="C358" s="1" t="n">
        <v>46194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40902-2022</t>
        </is>
      </c>
      <c r="B359" s="1" t="n">
        <v>44825</v>
      </c>
      <c r="C359" s="1" t="n">
        <v>46194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1396-2023</t>
        </is>
      </c>
      <c r="B360" s="1" t="n">
        <v>44936</v>
      </c>
      <c r="C360" s="1" t="n">
        <v>46194</v>
      </c>
      <c r="D360" t="inlineStr">
        <is>
          <t>KALMAR LÄN</t>
        </is>
      </c>
      <c r="E360" t="inlineStr">
        <is>
          <t>NYBRO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22429-2023</t>
        </is>
      </c>
      <c r="B361" s="1" t="n">
        <v>45070</v>
      </c>
      <c r="C361" s="1" t="n">
        <v>46194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10630-2024</t>
        </is>
      </c>
      <c r="B362" s="1" t="n">
        <v>45367</v>
      </c>
      <c r="C362" s="1" t="n">
        <v>46194</v>
      </c>
      <c r="D362" t="inlineStr">
        <is>
          <t>KALMAR LÄN</t>
        </is>
      </c>
      <c r="E362" t="inlineStr">
        <is>
          <t>NYBRO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14299-2023</t>
        </is>
      </c>
      <c r="B363" s="1" t="n">
        <v>45011</v>
      </c>
      <c r="C363" s="1" t="n">
        <v>46194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49096-2023</t>
        </is>
      </c>
      <c r="B364" s="1" t="n">
        <v>45210</v>
      </c>
      <c r="C364" s="1" t="n">
        <v>46194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16862-2024</t>
        </is>
      </c>
      <c r="B365" s="1" t="n">
        <v>45411</v>
      </c>
      <c r="C365" s="1" t="n">
        <v>46194</v>
      </c>
      <c r="D365" t="inlineStr">
        <is>
          <t>KALMAR LÄN</t>
        </is>
      </c>
      <c r="E365" t="inlineStr">
        <is>
          <t>NYBRO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32542-2023</t>
        </is>
      </c>
      <c r="B366" s="1" t="n">
        <v>45110</v>
      </c>
      <c r="C366" s="1" t="n">
        <v>46194</v>
      </c>
      <c r="D366" t="inlineStr">
        <is>
          <t>KALMAR LÄN</t>
        </is>
      </c>
      <c r="E366" t="inlineStr">
        <is>
          <t>NYBRO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44395-2022</t>
        </is>
      </c>
      <c r="B367" s="1" t="n">
        <v>44839</v>
      </c>
      <c r="C367" s="1" t="n">
        <v>46194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48467-2024</t>
        </is>
      </c>
      <c r="B368" s="1" t="n">
        <v>45591</v>
      </c>
      <c r="C368" s="1" t="n">
        <v>46194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58551-2024</t>
        </is>
      </c>
      <c r="B369" s="1" t="n">
        <v>45635</v>
      </c>
      <c r="C369" s="1" t="n">
        <v>46194</v>
      </c>
      <c r="D369" t="inlineStr">
        <is>
          <t>KALMAR LÄN</t>
        </is>
      </c>
      <c r="E369" t="inlineStr">
        <is>
          <t>NYBRO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16338-2023</t>
        </is>
      </c>
      <c r="B370" s="1" t="n">
        <v>45028</v>
      </c>
      <c r="C370" s="1" t="n">
        <v>46194</v>
      </c>
      <c r="D370" t="inlineStr">
        <is>
          <t>KALMAR LÄN</t>
        </is>
      </c>
      <c r="E370" t="inlineStr">
        <is>
          <t>NYBRO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22489-2022</t>
        </is>
      </c>
      <c r="B371" s="1" t="n">
        <v>44713</v>
      </c>
      <c r="C371" s="1" t="n">
        <v>46194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32660-2023</t>
        </is>
      </c>
      <c r="B372" s="1" t="n">
        <v>45121</v>
      </c>
      <c r="C372" s="1" t="n">
        <v>46194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32673-2023</t>
        </is>
      </c>
      <c r="B373" s="1" t="n">
        <v>45121</v>
      </c>
      <c r="C373" s="1" t="n">
        <v>46194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28164-2022</t>
        </is>
      </c>
      <c r="B374" s="1" t="n">
        <v>44746</v>
      </c>
      <c r="C374" s="1" t="n">
        <v>46194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37967-2022</t>
        </is>
      </c>
      <c r="B375" s="1" t="n">
        <v>44811</v>
      </c>
      <c r="C375" s="1" t="n">
        <v>46194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50978-2022</t>
        </is>
      </c>
      <c r="B376" s="1" t="n">
        <v>44867</v>
      </c>
      <c r="C376" s="1" t="n">
        <v>46194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19461-2024</t>
        </is>
      </c>
      <c r="B377" s="1" t="n">
        <v>45429</v>
      </c>
      <c r="C377" s="1" t="n">
        <v>46194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35371-2022</t>
        </is>
      </c>
      <c r="B378" s="1" t="n">
        <v>44798</v>
      </c>
      <c r="C378" s="1" t="n">
        <v>46194</v>
      </c>
      <c r="D378" t="inlineStr">
        <is>
          <t>KALMAR LÄN</t>
        </is>
      </c>
      <c r="E378" t="inlineStr">
        <is>
          <t>NYBRO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1763-2024</t>
        </is>
      </c>
      <c r="B379" s="1" t="n">
        <v>45307</v>
      </c>
      <c r="C379" s="1" t="n">
        <v>46194</v>
      </c>
      <c r="D379" t="inlineStr">
        <is>
          <t>KALMAR LÄN</t>
        </is>
      </c>
      <c r="E379" t="inlineStr">
        <is>
          <t>NYBRO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9519-2024</t>
        </is>
      </c>
      <c r="B380" s="1" t="n">
        <v>45359</v>
      </c>
      <c r="C380" s="1" t="n">
        <v>46194</v>
      </c>
      <c r="D380" t="inlineStr">
        <is>
          <t>KALMAR LÄN</t>
        </is>
      </c>
      <c r="E380" t="inlineStr">
        <is>
          <t>NYBRO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5354-2022</t>
        </is>
      </c>
      <c r="B381" s="1" t="n">
        <v>44594</v>
      </c>
      <c r="C381" s="1" t="n">
        <v>46194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25382-2023</t>
        </is>
      </c>
      <c r="B382" s="1" t="n">
        <v>45089</v>
      </c>
      <c r="C382" s="1" t="n">
        <v>46194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57224-2024</t>
        </is>
      </c>
      <c r="B383" s="1" t="n">
        <v>45629</v>
      </c>
      <c r="C383" s="1" t="n">
        <v>46194</v>
      </c>
      <c r="D383" t="inlineStr">
        <is>
          <t>KALMAR LÄN</t>
        </is>
      </c>
      <c r="E383" t="inlineStr">
        <is>
          <t>NYBRO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816-2023</t>
        </is>
      </c>
      <c r="B384" s="1" t="n">
        <v>44931</v>
      </c>
      <c r="C384" s="1" t="n">
        <v>46194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5405-2024</t>
        </is>
      </c>
      <c r="B385" s="1" t="n">
        <v>45331</v>
      </c>
      <c r="C385" s="1" t="n">
        <v>46194</v>
      </c>
      <c r="D385" t="inlineStr">
        <is>
          <t>KALMAR LÄN</t>
        </is>
      </c>
      <c r="E385" t="inlineStr">
        <is>
          <t>NYBRO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7847-2023</t>
        </is>
      </c>
      <c r="B386" s="1" t="n">
        <v>44973</v>
      </c>
      <c r="C386" s="1" t="n">
        <v>46194</v>
      </c>
      <c r="D386" t="inlineStr">
        <is>
          <t>KALMAR LÄN</t>
        </is>
      </c>
      <c r="E386" t="inlineStr">
        <is>
          <t>NYBRO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7848-2023</t>
        </is>
      </c>
      <c r="B387" s="1" t="n">
        <v>44973</v>
      </c>
      <c r="C387" s="1" t="n">
        <v>46194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8150-2022</t>
        </is>
      </c>
      <c r="B388" s="1" t="n">
        <v>44609</v>
      </c>
      <c r="C388" s="1" t="n">
        <v>46194</v>
      </c>
      <c r="D388" t="inlineStr">
        <is>
          <t>KALMAR LÄN</t>
        </is>
      </c>
      <c r="E388" t="inlineStr">
        <is>
          <t>NYBRO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39034-2025</t>
        </is>
      </c>
      <c r="B389" s="1" t="n">
        <v>45888</v>
      </c>
      <c r="C389" s="1" t="n">
        <v>46194</v>
      </c>
      <c r="D389" t="inlineStr">
        <is>
          <t>KALMAR LÄN</t>
        </is>
      </c>
      <c r="E389" t="inlineStr">
        <is>
          <t>NYBRO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</v>
      </c>
      <c r="C390" s="1" t="n">
        <v>46194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56895-2024</t>
        </is>
      </c>
      <c r="B391" s="1" t="n">
        <v>45628</v>
      </c>
      <c r="C391" s="1" t="n">
        <v>46194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29557-2023</t>
        </is>
      </c>
      <c r="B392" s="1" t="n">
        <v>45106</v>
      </c>
      <c r="C392" s="1" t="n">
        <v>46194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42032-2024</t>
        </is>
      </c>
      <c r="B393" s="1" t="n">
        <v>45561</v>
      </c>
      <c r="C393" s="1" t="n">
        <v>46194</v>
      </c>
      <c r="D393" t="inlineStr">
        <is>
          <t>KALMAR LÄN</t>
        </is>
      </c>
      <c r="E393" t="inlineStr">
        <is>
          <t>NYBRO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42037-2024</t>
        </is>
      </c>
      <c r="B394" s="1" t="n">
        <v>45561</v>
      </c>
      <c r="C394" s="1" t="n">
        <v>46194</v>
      </c>
      <c r="D394" t="inlineStr">
        <is>
          <t>KALMAR LÄN</t>
        </is>
      </c>
      <c r="E394" t="inlineStr">
        <is>
          <t>NYBRO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15828-2023</t>
        </is>
      </c>
      <c r="B395" s="1" t="n">
        <v>45022</v>
      </c>
      <c r="C395" s="1" t="n">
        <v>46194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39458-2023</t>
        </is>
      </c>
      <c r="B396" s="1" t="n">
        <v>45166</v>
      </c>
      <c r="C396" s="1" t="n">
        <v>46194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32048-2022</t>
        </is>
      </c>
      <c r="B397" s="1" t="n">
        <v>44778</v>
      </c>
      <c r="C397" s="1" t="n">
        <v>46194</v>
      </c>
      <c r="D397" t="inlineStr">
        <is>
          <t>KALMAR LÄN</t>
        </is>
      </c>
      <c r="E397" t="inlineStr">
        <is>
          <t>NYBRO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46194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46194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42030-2024</t>
        </is>
      </c>
      <c r="B400" s="1" t="n">
        <v>45561</v>
      </c>
      <c r="C400" s="1" t="n">
        <v>46194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48102-2023</t>
        </is>
      </c>
      <c r="B401" s="1" t="n">
        <v>45205</v>
      </c>
      <c r="C401" s="1" t="n">
        <v>46194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21175-2023</t>
        </is>
      </c>
      <c r="B402" s="1" t="n">
        <v>45057</v>
      </c>
      <c r="C402" s="1" t="n">
        <v>46194</v>
      </c>
      <c r="D402" t="inlineStr">
        <is>
          <t>KALMAR LÄN</t>
        </is>
      </c>
      <c r="E402" t="inlineStr">
        <is>
          <t>NYBRO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21180-2023</t>
        </is>
      </c>
      <c r="B403" s="1" t="n">
        <v>45057</v>
      </c>
      <c r="C403" s="1" t="n">
        <v>46194</v>
      </c>
      <c r="D403" t="inlineStr">
        <is>
          <t>KALMAR LÄN</t>
        </is>
      </c>
      <c r="E403" t="inlineStr">
        <is>
          <t>NYBRO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38446-2021</t>
        </is>
      </c>
      <c r="B404" s="1" t="n">
        <v>44407</v>
      </c>
      <c r="C404" s="1" t="n">
        <v>46194</v>
      </c>
      <c r="D404" t="inlineStr">
        <is>
          <t>KALMAR LÄN</t>
        </is>
      </c>
      <c r="E404" t="inlineStr">
        <is>
          <t>NYBRO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54512-2023</t>
        </is>
      </c>
      <c r="B405" s="1" t="n">
        <v>45233</v>
      </c>
      <c r="C405" s="1" t="n">
        <v>46194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4750-2023</t>
        </is>
      </c>
      <c r="B406" s="1" t="n">
        <v>44957</v>
      </c>
      <c r="C406" s="1" t="n">
        <v>46194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4751-2023</t>
        </is>
      </c>
      <c r="B407" s="1" t="n">
        <v>44957</v>
      </c>
      <c r="C407" s="1" t="n">
        <v>46194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28479-2023</t>
        </is>
      </c>
      <c r="B408" s="1" t="n">
        <v>45103</v>
      </c>
      <c r="C408" s="1" t="n">
        <v>46194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40444-2022</t>
        </is>
      </c>
      <c r="B409" s="1" t="n">
        <v>44819</v>
      </c>
      <c r="C409" s="1" t="n">
        <v>46194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3632-2025</t>
        </is>
      </c>
      <c r="B410" s="1" t="n">
        <v>45681</v>
      </c>
      <c r="C410" s="1" t="n">
        <v>46194</v>
      </c>
      <c r="D410" t="inlineStr">
        <is>
          <t>KALMAR LÄN</t>
        </is>
      </c>
      <c r="E410" t="inlineStr">
        <is>
          <t>NYBRO</t>
        </is>
      </c>
      <c r="F410" t="inlineStr">
        <is>
          <t>Kyrkan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56103-2023</t>
        </is>
      </c>
      <c r="B411" s="1" t="n">
        <v>45240</v>
      </c>
      <c r="C411" s="1" t="n">
        <v>46194</v>
      </c>
      <c r="D411" t="inlineStr">
        <is>
          <t>KALMAR LÄN</t>
        </is>
      </c>
      <c r="E411" t="inlineStr">
        <is>
          <t>NYBRO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58933-2022</t>
        </is>
      </c>
      <c r="B412" s="1" t="n">
        <v>44903</v>
      </c>
      <c r="C412" s="1" t="n">
        <v>46194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6810-2024</t>
        </is>
      </c>
      <c r="B413" s="1" t="n">
        <v>45342</v>
      </c>
      <c r="C413" s="1" t="n">
        <v>46194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28272-2024</t>
        </is>
      </c>
      <c r="B414" s="1" t="n">
        <v>45477</v>
      </c>
      <c r="C414" s="1" t="n">
        <v>46194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31084-2021</t>
        </is>
      </c>
      <c r="B415" s="1" t="n">
        <v>44368</v>
      </c>
      <c r="C415" s="1" t="n">
        <v>46194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16678-2025</t>
        </is>
      </c>
      <c r="B416" s="1" t="n">
        <v>45754</v>
      </c>
      <c r="C416" s="1" t="n">
        <v>46194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49104-2023</t>
        </is>
      </c>
      <c r="B417" s="1" t="n">
        <v>45210</v>
      </c>
      <c r="C417" s="1" t="n">
        <v>46194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68345-2021</t>
        </is>
      </c>
      <c r="B418" s="1" t="n">
        <v>44528</v>
      </c>
      <c r="C418" s="1" t="n">
        <v>46194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27870-2024</t>
        </is>
      </c>
      <c r="B419" s="1" t="n">
        <v>45475</v>
      </c>
      <c r="C419" s="1" t="n">
        <v>46194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16354-2024</t>
        </is>
      </c>
      <c r="B420" s="1" t="n">
        <v>45407</v>
      </c>
      <c r="C420" s="1" t="n">
        <v>46194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54341-2022</t>
        </is>
      </c>
      <c r="B421" s="1" t="n">
        <v>44882</v>
      </c>
      <c r="C421" s="1" t="n">
        <v>46194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12410-2023</t>
        </is>
      </c>
      <c r="B422" s="1" t="n">
        <v>44999</v>
      </c>
      <c r="C422" s="1" t="n">
        <v>46194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22059-2023</t>
        </is>
      </c>
      <c r="B423" s="1" t="n">
        <v>45069</v>
      </c>
      <c r="C423" s="1" t="n">
        <v>46194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38844-2023</t>
        </is>
      </c>
      <c r="B424" s="1" t="n">
        <v>45163</v>
      </c>
      <c r="C424" s="1" t="n">
        <v>46194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11645-2024</t>
        </is>
      </c>
      <c r="B425" s="1" t="n">
        <v>45373</v>
      </c>
      <c r="C425" s="1" t="n">
        <v>46194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10739-2024</t>
        </is>
      </c>
      <c r="B426" s="1" t="n">
        <v>45369</v>
      </c>
      <c r="C426" s="1" t="n">
        <v>46194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40075-2025</t>
        </is>
      </c>
      <c r="B427" s="1" t="n">
        <v>45894</v>
      </c>
      <c r="C427" s="1" t="n">
        <v>46194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40077-2025</t>
        </is>
      </c>
      <c r="B428" s="1" t="n">
        <v>45894</v>
      </c>
      <c r="C428" s="1" t="n">
        <v>46194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8697-2024</t>
        </is>
      </c>
      <c r="B429" s="1" t="n">
        <v>45356</v>
      </c>
      <c r="C429" s="1" t="n">
        <v>46194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40193-2025</t>
        </is>
      </c>
      <c r="B430" s="1" t="n">
        <v>45894</v>
      </c>
      <c r="C430" s="1" t="n">
        <v>46194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7789-2025</t>
        </is>
      </c>
      <c r="B431" s="1" t="n">
        <v>45706</v>
      </c>
      <c r="C431" s="1" t="n">
        <v>46194</v>
      </c>
      <c r="D431" t="inlineStr">
        <is>
          <t>KALMAR LÄN</t>
        </is>
      </c>
      <c r="E431" t="inlineStr">
        <is>
          <t>NYBRO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31948-2023</t>
        </is>
      </c>
      <c r="B432" s="1" t="n">
        <v>45119</v>
      </c>
      <c r="C432" s="1" t="n">
        <v>46194</v>
      </c>
      <c r="D432" t="inlineStr">
        <is>
          <t>KALMAR LÄN</t>
        </is>
      </c>
      <c r="E432" t="inlineStr">
        <is>
          <t>NYBRO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24710-2025</t>
        </is>
      </c>
      <c r="B433" s="1" t="n">
        <v>45798</v>
      </c>
      <c r="C433" s="1" t="n">
        <v>46194</v>
      </c>
      <c r="D433" t="inlineStr">
        <is>
          <t>KALMAR LÄN</t>
        </is>
      </c>
      <c r="E433" t="inlineStr">
        <is>
          <t>NYBRO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35134-2025</t>
        </is>
      </c>
      <c r="B434" s="1" t="n">
        <v>45852</v>
      </c>
      <c r="C434" s="1" t="n">
        <v>46194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3642-2024</t>
        </is>
      </c>
      <c r="B435" s="1" t="n">
        <v>45321</v>
      </c>
      <c r="C435" s="1" t="n">
        <v>46194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29544-2024</t>
        </is>
      </c>
      <c r="B436" s="1" t="n">
        <v>45484</v>
      </c>
      <c r="C436" s="1" t="n">
        <v>46194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16720-2024</t>
        </is>
      </c>
      <c r="B437" s="1" t="n">
        <v>45409</v>
      </c>
      <c r="C437" s="1" t="n">
        <v>46194</v>
      </c>
      <c r="D437" t="inlineStr">
        <is>
          <t>KALMAR LÄN</t>
        </is>
      </c>
      <c r="E437" t="inlineStr">
        <is>
          <t>NYBRO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5686-2025</t>
        </is>
      </c>
      <c r="B438" s="1" t="n">
        <v>45694</v>
      </c>
      <c r="C438" s="1" t="n">
        <v>46194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42814-2025</t>
        </is>
      </c>
      <c r="B439" s="1" t="n">
        <v>45908</v>
      </c>
      <c r="C439" s="1" t="n">
        <v>46194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20391-2026</t>
        </is>
      </c>
      <c r="B440" s="1" t="n">
        <v>46139</v>
      </c>
      <c r="C440" s="1" t="n">
        <v>46194</v>
      </c>
      <c r="D440" t="inlineStr">
        <is>
          <t>KALMAR LÄN</t>
        </is>
      </c>
      <c r="E440" t="inlineStr">
        <is>
          <t>NYBRO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33292-2025</t>
        </is>
      </c>
      <c r="B441" s="1" t="n">
        <v>45840</v>
      </c>
      <c r="C441" s="1" t="n">
        <v>46194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14600-2023</t>
        </is>
      </c>
      <c r="B442" s="1" t="n">
        <v>45013</v>
      </c>
      <c r="C442" s="1" t="n">
        <v>46194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41674-2024</t>
        </is>
      </c>
      <c r="B443" s="1" t="n">
        <v>45560</v>
      </c>
      <c r="C443" s="1" t="n">
        <v>46194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31222-2025</t>
        </is>
      </c>
      <c r="B444" s="1" t="n">
        <v>45832</v>
      </c>
      <c r="C444" s="1" t="n">
        <v>46194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15830-2023</t>
        </is>
      </c>
      <c r="B445" s="1" t="n">
        <v>45022</v>
      </c>
      <c r="C445" s="1" t="n">
        <v>46194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10745-2026</t>
        </is>
      </c>
      <c r="B446" s="1" t="n">
        <v>46078</v>
      </c>
      <c r="C446" s="1" t="n">
        <v>46194</v>
      </c>
      <c r="D446" t="inlineStr">
        <is>
          <t>KALMAR LÄN</t>
        </is>
      </c>
      <c r="E446" t="inlineStr">
        <is>
          <t>NYBRO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36309-2021</t>
        </is>
      </c>
      <c r="B447" s="1" t="n">
        <v>44390</v>
      </c>
      <c r="C447" s="1" t="n">
        <v>46194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27340-2023</t>
        </is>
      </c>
      <c r="B448" s="1" t="n">
        <v>45096</v>
      </c>
      <c r="C448" s="1" t="n">
        <v>46194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43106-2025</t>
        </is>
      </c>
      <c r="B449" s="1" t="n">
        <v>45909</v>
      </c>
      <c r="C449" s="1" t="n">
        <v>46194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3349-2025</t>
        </is>
      </c>
      <c r="B450" s="1" t="n">
        <v>45679</v>
      </c>
      <c r="C450" s="1" t="n">
        <v>46194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30320-2023</t>
        </is>
      </c>
      <c r="B451" s="1" t="n">
        <v>45111</v>
      </c>
      <c r="C451" s="1" t="n">
        <v>46194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36383-2021</t>
        </is>
      </c>
      <c r="B452" s="1" t="n">
        <v>44390</v>
      </c>
      <c r="C452" s="1" t="n">
        <v>46194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9138-2025</t>
        </is>
      </c>
      <c r="B453" s="1" t="n">
        <v>45714</v>
      </c>
      <c r="C453" s="1" t="n">
        <v>46194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61796-2024</t>
        </is>
      </c>
      <c r="B454" s="1" t="n">
        <v>45649</v>
      </c>
      <c r="C454" s="1" t="n">
        <v>46194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61816-2024</t>
        </is>
      </c>
      <c r="B455" s="1" t="n">
        <v>45649</v>
      </c>
      <c r="C455" s="1" t="n">
        <v>46194</v>
      </c>
      <c r="D455" t="inlineStr">
        <is>
          <t>KALMAR LÄN</t>
        </is>
      </c>
      <c r="E455" t="inlineStr">
        <is>
          <t>NYBRO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61839-2024</t>
        </is>
      </c>
      <c r="B456" s="1" t="n">
        <v>45649</v>
      </c>
      <c r="C456" s="1" t="n">
        <v>46194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50783-2023</t>
        </is>
      </c>
      <c r="B457" s="1" t="n">
        <v>45217</v>
      </c>
      <c r="C457" s="1" t="n">
        <v>46194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18427-2025</t>
        </is>
      </c>
      <c r="B458" s="1" t="n">
        <v>45762</v>
      </c>
      <c r="C458" s="1" t="n">
        <v>46194</v>
      </c>
      <c r="D458" t="inlineStr">
        <is>
          <t>KALMAR LÄN</t>
        </is>
      </c>
      <c r="E458" t="inlineStr">
        <is>
          <t>NYBRO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44661-2025</t>
        </is>
      </c>
      <c r="B459" s="1" t="n">
        <v>45917</v>
      </c>
      <c r="C459" s="1" t="n">
        <v>46194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55255-2023</t>
        </is>
      </c>
      <c r="B460" s="1" t="n">
        <v>45231</v>
      </c>
      <c r="C460" s="1" t="n">
        <v>46194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12407-2023</t>
        </is>
      </c>
      <c r="B461" s="1" t="n">
        <v>44999</v>
      </c>
      <c r="C461" s="1" t="n">
        <v>46194</v>
      </c>
      <c r="D461" t="inlineStr">
        <is>
          <t>KALMAR LÄN</t>
        </is>
      </c>
      <c r="E461" t="inlineStr">
        <is>
          <t>NYBRO</t>
        </is>
      </c>
      <c r="G461" t="n">
        <v>16.5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980-2025</t>
        </is>
      </c>
      <c r="B462" s="1" t="n">
        <v>45666</v>
      </c>
      <c r="C462" s="1" t="n">
        <v>46194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42711-2023</t>
        </is>
      </c>
      <c r="B463" s="1" t="n">
        <v>45181</v>
      </c>
      <c r="C463" s="1" t="n">
        <v>46194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22435-2023</t>
        </is>
      </c>
      <c r="B464" s="1" t="n">
        <v>45070</v>
      </c>
      <c r="C464" s="1" t="n">
        <v>46194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31410-2021</t>
        </is>
      </c>
      <c r="B465" s="1" t="n">
        <v>44369</v>
      </c>
      <c r="C465" s="1" t="n">
        <v>46194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7424-2022</t>
        </is>
      </c>
      <c r="B466" s="1" t="n">
        <v>44606</v>
      </c>
      <c r="C466" s="1" t="n">
        <v>46194</v>
      </c>
      <c r="D466" t="inlineStr">
        <is>
          <t>KALMAR LÄN</t>
        </is>
      </c>
      <c r="E466" t="inlineStr">
        <is>
          <t>NYBRO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50586-2024</t>
        </is>
      </c>
      <c r="B467" s="1" t="n">
        <v>45601</v>
      </c>
      <c r="C467" s="1" t="n">
        <v>46194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22974-2024</t>
        </is>
      </c>
      <c r="B468" s="1" t="n">
        <v>45449</v>
      </c>
      <c r="C468" s="1" t="n">
        <v>46194</v>
      </c>
      <c r="D468" t="inlineStr">
        <is>
          <t>KALMAR LÄN</t>
        </is>
      </c>
      <c r="E468" t="inlineStr">
        <is>
          <t>NYBRO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38170-2024</t>
        </is>
      </c>
      <c r="B469" s="1" t="n">
        <v>45545</v>
      </c>
      <c r="C469" s="1" t="n">
        <v>46194</v>
      </c>
      <c r="D469" t="inlineStr">
        <is>
          <t>KALMAR LÄN</t>
        </is>
      </c>
      <c r="E469" t="inlineStr">
        <is>
          <t>NYBRO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27966-2024</t>
        </is>
      </c>
      <c r="B470" s="1" t="n">
        <v>45476</v>
      </c>
      <c r="C470" s="1" t="n">
        <v>46194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35752-2021</t>
        </is>
      </c>
      <c r="B471" s="1" t="n">
        <v>44386</v>
      </c>
      <c r="C471" s="1" t="n">
        <v>46194</v>
      </c>
      <c r="D471" t="inlineStr">
        <is>
          <t>KALMAR LÄN</t>
        </is>
      </c>
      <c r="E471" t="inlineStr">
        <is>
          <t>NYBRO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30173-2024</t>
        </is>
      </c>
      <c r="B472" s="1" t="n">
        <v>45489</v>
      </c>
      <c r="C472" s="1" t="n">
        <v>46194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39535-2022</t>
        </is>
      </c>
      <c r="B473" s="1" t="n">
        <v>44818</v>
      </c>
      <c r="C473" s="1" t="n">
        <v>46194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45911-2025</t>
        </is>
      </c>
      <c r="B474" s="1" t="n">
        <v>45923</v>
      </c>
      <c r="C474" s="1" t="n">
        <v>46194</v>
      </c>
      <c r="D474" t="inlineStr">
        <is>
          <t>KALMAR LÄN</t>
        </is>
      </c>
      <c r="E474" t="inlineStr">
        <is>
          <t>NYBRO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10758-2024</t>
        </is>
      </c>
      <c r="B475" s="1" t="n">
        <v>45369</v>
      </c>
      <c r="C475" s="1" t="n">
        <v>46194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18288-2025</t>
        </is>
      </c>
      <c r="B476" s="1" t="n">
        <v>45762</v>
      </c>
      <c r="C476" s="1" t="n">
        <v>46194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7326-2026</t>
        </is>
      </c>
      <c r="B477" s="1" t="n">
        <v>46058</v>
      </c>
      <c r="C477" s="1" t="n">
        <v>46194</v>
      </c>
      <c r="D477" t="inlineStr">
        <is>
          <t>KALMAR LÄN</t>
        </is>
      </c>
      <c r="E477" t="inlineStr">
        <is>
          <t>NYBRO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2884-2023</t>
        </is>
      </c>
      <c r="B478" s="1" t="n">
        <v>44945</v>
      </c>
      <c r="C478" s="1" t="n">
        <v>46194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59689-2021</t>
        </is>
      </c>
      <c r="B479" s="1" t="n">
        <v>44494</v>
      </c>
      <c r="C479" s="1" t="n">
        <v>46194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12785-2025</t>
        </is>
      </c>
      <c r="B480" s="1" t="n">
        <v>45733</v>
      </c>
      <c r="C480" s="1" t="n">
        <v>46194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</v>
      </c>
      <c r="C481" s="1" t="n">
        <v>46194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</v>
      </c>
      <c r="C482" s="1" t="n">
        <v>46194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47335-2024</t>
        </is>
      </c>
      <c r="B483" s="1" t="n">
        <v>45587</v>
      </c>
      <c r="C483" s="1" t="n">
        <v>46194</v>
      </c>
      <c r="D483" t="inlineStr">
        <is>
          <t>KALMAR LÄN</t>
        </is>
      </c>
      <c r="E483" t="inlineStr">
        <is>
          <t>NYBRO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10895-2023</t>
        </is>
      </c>
      <c r="B484" s="1" t="n">
        <v>44991</v>
      </c>
      <c r="C484" s="1" t="n">
        <v>46194</v>
      </c>
      <c r="D484" t="inlineStr">
        <is>
          <t>KALMAR LÄN</t>
        </is>
      </c>
      <c r="E484" t="inlineStr">
        <is>
          <t>NYBRO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40131-2024</t>
        </is>
      </c>
      <c r="B485" s="1" t="n">
        <v>45554</v>
      </c>
      <c r="C485" s="1" t="n">
        <v>46194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686-2025</t>
        </is>
      </c>
      <c r="B486" s="1" t="n">
        <v>45665</v>
      </c>
      <c r="C486" s="1" t="n">
        <v>46194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38814-2022</t>
        </is>
      </c>
      <c r="B487" s="1" t="n">
        <v>44816</v>
      </c>
      <c r="C487" s="1" t="n">
        <v>46194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7830-2025</t>
        </is>
      </c>
      <c r="B488" s="1" t="n">
        <v>45706</v>
      </c>
      <c r="C488" s="1" t="n">
        <v>46194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43984-2024</t>
        </is>
      </c>
      <c r="B489" s="1" t="n">
        <v>45572</v>
      </c>
      <c r="C489" s="1" t="n">
        <v>46194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53649-2023</t>
        </is>
      </c>
      <c r="B490" s="1" t="n">
        <v>45230</v>
      </c>
      <c r="C490" s="1" t="n">
        <v>46194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11014-2024</t>
        </is>
      </c>
      <c r="B491" s="1" t="n">
        <v>45370</v>
      </c>
      <c r="C491" s="1" t="n">
        <v>46194</v>
      </c>
      <c r="D491" t="inlineStr">
        <is>
          <t>KALMAR LÄN</t>
        </is>
      </c>
      <c r="E491" t="inlineStr">
        <is>
          <t>NYBRO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53999-2022</t>
        </is>
      </c>
      <c r="B492" s="1" t="n">
        <v>44881</v>
      </c>
      <c r="C492" s="1" t="n">
        <v>46194</v>
      </c>
      <c r="D492" t="inlineStr">
        <is>
          <t>KALMAR LÄN</t>
        </is>
      </c>
      <c r="E492" t="inlineStr">
        <is>
          <t>NYBRO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45412-2022</t>
        </is>
      </c>
      <c r="B493" s="1" t="n">
        <v>44844</v>
      </c>
      <c r="C493" s="1" t="n">
        <v>46194</v>
      </c>
      <c r="D493" t="inlineStr">
        <is>
          <t>KALMAR LÄN</t>
        </is>
      </c>
      <c r="E493" t="inlineStr">
        <is>
          <t>NYBRO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57716-2023</t>
        </is>
      </c>
      <c r="B494" s="1" t="n">
        <v>45246</v>
      </c>
      <c r="C494" s="1" t="n">
        <v>46194</v>
      </c>
      <c r="D494" t="inlineStr">
        <is>
          <t>KALMAR LÄN</t>
        </is>
      </c>
      <c r="E494" t="inlineStr">
        <is>
          <t>NYBRO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9005-2024</t>
        </is>
      </c>
      <c r="B495" s="1" t="n">
        <v>45357</v>
      </c>
      <c r="C495" s="1" t="n">
        <v>46194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10631-2024</t>
        </is>
      </c>
      <c r="B496" s="1" t="n">
        <v>45367</v>
      </c>
      <c r="C496" s="1" t="n">
        <v>46194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31870-2024</t>
        </is>
      </c>
      <c r="B497" s="1" t="n">
        <v>45509</v>
      </c>
      <c r="C497" s="1" t="n">
        <v>46194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46543-2023</t>
        </is>
      </c>
      <c r="B498" s="1" t="n">
        <v>45189</v>
      </c>
      <c r="C498" s="1" t="n">
        <v>46194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2184-2025</t>
        </is>
      </c>
      <c r="B499" s="1" t="n">
        <v>45673</v>
      </c>
      <c r="C499" s="1" t="n">
        <v>46194</v>
      </c>
      <c r="D499" t="inlineStr">
        <is>
          <t>KALMAR LÄN</t>
        </is>
      </c>
      <c r="E499" t="inlineStr">
        <is>
          <t>NYBRO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1079-2024</t>
        </is>
      </c>
      <c r="B500" s="1" t="n">
        <v>45301</v>
      </c>
      <c r="C500" s="1" t="n">
        <v>46194</v>
      </c>
      <c r="D500" t="inlineStr">
        <is>
          <t>KALMAR LÄN</t>
        </is>
      </c>
      <c r="E500" t="inlineStr">
        <is>
          <t>NYBRO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56972-2024</t>
        </is>
      </c>
      <c r="B501" s="1" t="n">
        <v>45625</v>
      </c>
      <c r="C501" s="1" t="n">
        <v>46194</v>
      </c>
      <c r="D501" t="inlineStr">
        <is>
          <t>KALMAR LÄN</t>
        </is>
      </c>
      <c r="E501" t="inlineStr">
        <is>
          <t>NYBRO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39986-2021</t>
        </is>
      </c>
      <c r="B502" s="1" t="n">
        <v>44418</v>
      </c>
      <c r="C502" s="1" t="n">
        <v>46194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30076-2024</t>
        </is>
      </c>
      <c r="B503" s="1" t="n">
        <v>45489</v>
      </c>
      <c r="C503" s="1" t="n">
        <v>46194</v>
      </c>
      <c r="D503" t="inlineStr">
        <is>
          <t>KALMAR LÄN</t>
        </is>
      </c>
      <c r="E503" t="inlineStr">
        <is>
          <t>NYBRO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11968-2025</t>
        </is>
      </c>
      <c r="B504" s="1" t="n">
        <v>45728</v>
      </c>
      <c r="C504" s="1" t="n">
        <v>46194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22042-2025</t>
        </is>
      </c>
      <c r="B505" s="1" t="n">
        <v>45785</v>
      </c>
      <c r="C505" s="1" t="n">
        <v>46194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20621-2022</t>
        </is>
      </c>
      <c r="B506" s="1" t="n">
        <v>44700</v>
      </c>
      <c r="C506" s="1" t="n">
        <v>46194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22302-2025</t>
        </is>
      </c>
      <c r="B507" s="1" t="n">
        <v>45786</v>
      </c>
      <c r="C507" s="1" t="n">
        <v>46194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22873-2023</t>
        </is>
      </c>
      <c r="B508" s="1" t="n">
        <v>45072</v>
      </c>
      <c r="C508" s="1" t="n">
        <v>46194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15510-2024</t>
        </is>
      </c>
      <c r="B509" s="1" t="n">
        <v>45401</v>
      </c>
      <c r="C509" s="1" t="n">
        <v>46194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36374-2024</t>
        </is>
      </c>
      <c r="B510" s="1" t="n">
        <v>45534</v>
      </c>
      <c r="C510" s="1" t="n">
        <v>46194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56143-2022</t>
        </is>
      </c>
      <c r="B511" s="1" t="n">
        <v>44889</v>
      </c>
      <c r="C511" s="1" t="n">
        <v>46194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48160-2025</t>
        </is>
      </c>
      <c r="B512" s="1" t="n">
        <v>45933</v>
      </c>
      <c r="C512" s="1" t="n">
        <v>46194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34021-2023</t>
        </is>
      </c>
      <c r="B513" s="1" t="n">
        <v>45135</v>
      </c>
      <c r="C513" s="1" t="n">
        <v>46194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20112-2023</t>
        </is>
      </c>
      <c r="B514" s="1" t="n">
        <v>45055</v>
      </c>
      <c r="C514" s="1" t="n">
        <v>46194</v>
      </c>
      <c r="D514" t="inlineStr">
        <is>
          <t>KALMAR LÄN</t>
        </is>
      </c>
      <c r="E514" t="inlineStr">
        <is>
          <t>NYBRO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23485-2025</t>
        </is>
      </c>
      <c r="B515" s="1" t="n">
        <v>45792</v>
      </c>
      <c r="C515" s="1" t="n">
        <v>46194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30442-2023</t>
        </is>
      </c>
      <c r="B516" s="1" t="n">
        <v>45111</v>
      </c>
      <c r="C516" s="1" t="n">
        <v>46194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23479-2025</t>
        </is>
      </c>
      <c r="B517" s="1" t="n">
        <v>45792</v>
      </c>
      <c r="C517" s="1" t="n">
        <v>46194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49390-2025</t>
        </is>
      </c>
      <c r="B518" s="1" t="n">
        <v>45938</v>
      </c>
      <c r="C518" s="1" t="n">
        <v>46194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18219-2025</t>
        </is>
      </c>
      <c r="B519" s="1" t="n">
        <v>45761</v>
      </c>
      <c r="C519" s="1" t="n">
        <v>46194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49338-2025</t>
        </is>
      </c>
      <c r="B520" s="1" t="n">
        <v>45938</v>
      </c>
      <c r="C520" s="1" t="n">
        <v>46194</v>
      </c>
      <c r="D520" t="inlineStr">
        <is>
          <t>KALMAR LÄN</t>
        </is>
      </c>
      <c r="E520" t="inlineStr">
        <is>
          <t>NYBRO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18831-2024</t>
        </is>
      </c>
      <c r="B521" s="1" t="n">
        <v>45426</v>
      </c>
      <c r="C521" s="1" t="n">
        <v>46194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26565-2026</t>
        </is>
      </c>
      <c r="B522" s="1" t="n">
        <v>46183</v>
      </c>
      <c r="C522" s="1" t="n">
        <v>46194</v>
      </c>
      <c r="D522" t="inlineStr">
        <is>
          <t>KALMAR LÄN</t>
        </is>
      </c>
      <c r="E522" t="inlineStr">
        <is>
          <t>NYBRO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49739-2025</t>
        </is>
      </c>
      <c r="B523" s="1" t="n">
        <v>45940</v>
      </c>
      <c r="C523" s="1" t="n">
        <v>46194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6857-2025</t>
        </is>
      </c>
      <c r="B524" s="1" t="n">
        <v>45701</v>
      </c>
      <c r="C524" s="1" t="n">
        <v>46194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50202-2025</t>
        </is>
      </c>
      <c r="B525" s="1" t="n">
        <v>45943</v>
      </c>
      <c r="C525" s="1" t="n">
        <v>46194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18586-2025</t>
        </is>
      </c>
      <c r="B526" s="1" t="n">
        <v>45763</v>
      </c>
      <c r="C526" s="1" t="n">
        <v>46194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18092-2025</t>
        </is>
      </c>
      <c r="B527" s="1" t="n">
        <v>45761</v>
      </c>
      <c r="C527" s="1" t="n">
        <v>46194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42955-2021</t>
        </is>
      </c>
      <c r="B528" s="1" t="n">
        <v>44431</v>
      </c>
      <c r="C528" s="1" t="n">
        <v>46194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42965-2021</t>
        </is>
      </c>
      <c r="B529" s="1" t="n">
        <v>44431</v>
      </c>
      <c r="C529" s="1" t="n">
        <v>46194</v>
      </c>
      <c r="D529" t="inlineStr">
        <is>
          <t>KALMAR LÄN</t>
        </is>
      </c>
      <c r="E529" t="inlineStr">
        <is>
          <t>NYBRO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1535-2025</t>
        </is>
      </c>
      <c r="B530" s="1" t="n">
        <v>45670</v>
      </c>
      <c r="C530" s="1" t="n">
        <v>46194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20642-2026</t>
        </is>
      </c>
      <c r="B531" s="1" t="n">
        <v>46141</v>
      </c>
      <c r="C531" s="1" t="n">
        <v>46194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50477-2025</t>
        </is>
      </c>
      <c r="B532" s="1" t="n">
        <v>45945</v>
      </c>
      <c r="C532" s="1" t="n">
        <v>46194</v>
      </c>
      <c r="D532" t="inlineStr">
        <is>
          <t>KALMAR LÄN</t>
        </is>
      </c>
      <c r="E532" t="inlineStr">
        <is>
          <t>NYBRO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52382-2022</t>
        </is>
      </c>
      <c r="B533" s="1" t="n">
        <v>44874</v>
      </c>
      <c r="C533" s="1" t="n">
        <v>46194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26303-2026</t>
        </is>
      </c>
      <c r="B534" s="1" t="n">
        <v>46181</v>
      </c>
      <c r="C534" s="1" t="n">
        <v>46194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14586-2023</t>
        </is>
      </c>
      <c r="B535" s="1" t="n">
        <v>45013</v>
      </c>
      <c r="C535" s="1" t="n">
        <v>46194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25838-2023</t>
        </is>
      </c>
      <c r="B536" s="1" t="n">
        <v>45090</v>
      </c>
      <c r="C536" s="1" t="n">
        <v>46194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50964-2025</t>
        </is>
      </c>
      <c r="B537" s="1" t="n">
        <v>45946</v>
      </c>
      <c r="C537" s="1" t="n">
        <v>46194</v>
      </c>
      <c r="D537" t="inlineStr">
        <is>
          <t>KALMAR LÄN</t>
        </is>
      </c>
      <c r="E537" t="inlineStr">
        <is>
          <t>NYBRO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50965-2025</t>
        </is>
      </c>
      <c r="B538" s="1" t="n">
        <v>45946</v>
      </c>
      <c r="C538" s="1" t="n">
        <v>46194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55289-2022</t>
        </is>
      </c>
      <c r="B539" s="1" t="n">
        <v>44882</v>
      </c>
      <c r="C539" s="1" t="n">
        <v>46194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19943-2022</t>
        </is>
      </c>
      <c r="B540" s="1" t="n">
        <v>44697</v>
      </c>
      <c r="C540" s="1" t="n">
        <v>46194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20643-2026</t>
        </is>
      </c>
      <c r="B541" s="1" t="n">
        <v>46141</v>
      </c>
      <c r="C541" s="1" t="n">
        <v>46194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50723-2023</t>
        </is>
      </c>
      <c r="B542" s="1" t="n">
        <v>45210</v>
      </c>
      <c r="C542" s="1" t="n">
        <v>46194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443-2024</t>
        </is>
      </c>
      <c r="B543" s="1" t="n">
        <v>45296</v>
      </c>
      <c r="C543" s="1" t="n">
        <v>46194</v>
      </c>
      <c r="D543" t="inlineStr">
        <is>
          <t>KALMAR LÄN</t>
        </is>
      </c>
      <c r="E543" t="inlineStr">
        <is>
          <t>NYBRO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14061-2024</t>
        </is>
      </c>
      <c r="B544" s="1" t="n">
        <v>45392</v>
      </c>
      <c r="C544" s="1" t="n">
        <v>46194</v>
      </c>
      <c r="D544" t="inlineStr">
        <is>
          <t>KALMAR LÄN</t>
        </is>
      </c>
      <c r="E544" t="inlineStr">
        <is>
          <t>NYBRO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34362-2024</t>
        </is>
      </c>
      <c r="B545" s="1" t="n">
        <v>45525</v>
      </c>
      <c r="C545" s="1" t="n">
        <v>46194</v>
      </c>
      <c r="D545" t="inlineStr">
        <is>
          <t>KALMAR LÄN</t>
        </is>
      </c>
      <c r="E545" t="inlineStr">
        <is>
          <t>NYBRO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41060-2022</t>
        </is>
      </c>
      <c r="B546" s="1" t="n">
        <v>44825</v>
      </c>
      <c r="C546" s="1" t="n">
        <v>46194</v>
      </c>
      <c r="D546" t="inlineStr">
        <is>
          <t>KALMAR LÄN</t>
        </is>
      </c>
      <c r="E546" t="inlineStr">
        <is>
          <t>NYBRO</t>
        </is>
      </c>
      <c r="G546" t="n">
        <v>18.6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6811-2024</t>
        </is>
      </c>
      <c r="B547" s="1" t="n">
        <v>45342</v>
      </c>
      <c r="C547" s="1" t="n">
        <v>46194</v>
      </c>
      <c r="D547" t="inlineStr">
        <is>
          <t>KALMAR LÄN</t>
        </is>
      </c>
      <c r="E547" t="inlineStr">
        <is>
          <t>NYBRO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27101-2023</t>
        </is>
      </c>
      <c r="B548" s="1" t="n">
        <v>45096</v>
      </c>
      <c r="C548" s="1" t="n">
        <v>46194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28636-2023</t>
        </is>
      </c>
      <c r="B549" s="1" t="n">
        <v>45103</v>
      </c>
      <c r="C549" s="1" t="n">
        <v>46194</v>
      </c>
      <c r="D549" t="inlineStr">
        <is>
          <t>KALMAR LÄN</t>
        </is>
      </c>
      <c r="E549" t="inlineStr">
        <is>
          <t>NYBRO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44920-2024</t>
        </is>
      </c>
      <c r="B550" s="1" t="n">
        <v>45575</v>
      </c>
      <c r="C550" s="1" t="n">
        <v>46194</v>
      </c>
      <c r="D550" t="inlineStr">
        <is>
          <t>KALMAR LÄN</t>
        </is>
      </c>
      <c r="E550" t="inlineStr">
        <is>
          <t>NYBRO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53046-2025</t>
        </is>
      </c>
      <c r="B551" s="1" t="n">
        <v>45958</v>
      </c>
      <c r="C551" s="1" t="n">
        <v>46194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53066-2025</t>
        </is>
      </c>
      <c r="B552" s="1" t="n">
        <v>45958</v>
      </c>
      <c r="C552" s="1" t="n">
        <v>46194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53068-2025</t>
        </is>
      </c>
      <c r="B553" s="1" t="n">
        <v>45958</v>
      </c>
      <c r="C553" s="1" t="n">
        <v>46194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53071-2025</t>
        </is>
      </c>
      <c r="B554" s="1" t="n">
        <v>45958</v>
      </c>
      <c r="C554" s="1" t="n">
        <v>46194</v>
      </c>
      <c r="D554" t="inlineStr">
        <is>
          <t>KALMAR LÄN</t>
        </is>
      </c>
      <c r="E554" t="inlineStr">
        <is>
          <t>NYBRO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20646-2026</t>
        </is>
      </c>
      <c r="B555" s="1" t="n">
        <v>46141</v>
      </c>
      <c r="C555" s="1" t="n">
        <v>46194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37461-2023</t>
        </is>
      </c>
      <c r="B556" s="1" t="n">
        <v>45156</v>
      </c>
      <c r="C556" s="1" t="n">
        <v>46194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2529-2024</t>
        </is>
      </c>
      <c r="B557" s="1" t="n">
        <v>45313</v>
      </c>
      <c r="C557" s="1" t="n">
        <v>46194</v>
      </c>
      <c r="D557" t="inlineStr">
        <is>
          <t>KALMAR LÄN</t>
        </is>
      </c>
      <c r="E557" t="inlineStr">
        <is>
          <t>NYBRO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41958-2024</t>
        </is>
      </c>
      <c r="B558" s="1" t="n">
        <v>45561</v>
      </c>
      <c r="C558" s="1" t="n">
        <v>46194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17969-2025</t>
        </is>
      </c>
      <c r="B559" s="1" t="n">
        <v>45761</v>
      </c>
      <c r="C559" s="1" t="n">
        <v>46194</v>
      </c>
      <c r="D559" t="inlineStr">
        <is>
          <t>KALMAR LÄN</t>
        </is>
      </c>
      <c r="E559" t="inlineStr">
        <is>
          <t>NYBRO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14534-2024</t>
        </is>
      </c>
      <c r="B560" s="1" t="n">
        <v>45394</v>
      </c>
      <c r="C560" s="1" t="n">
        <v>46194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10654-2024</t>
        </is>
      </c>
      <c r="B561" s="1" t="n">
        <v>45368</v>
      </c>
      <c r="C561" s="1" t="n">
        <v>46194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10737-2024</t>
        </is>
      </c>
      <c r="B562" s="1" t="n">
        <v>45369</v>
      </c>
      <c r="C562" s="1" t="n">
        <v>46194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31799-2023</t>
        </is>
      </c>
      <c r="B563" s="1" t="n">
        <v>45118</v>
      </c>
      <c r="C563" s="1" t="n">
        <v>46194</v>
      </c>
      <c r="D563" t="inlineStr">
        <is>
          <t>KALMAR LÄN</t>
        </is>
      </c>
      <c r="E563" t="inlineStr">
        <is>
          <t>NYBRO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32681-2023</t>
        </is>
      </c>
      <c r="B564" s="1" t="n">
        <v>45121</v>
      </c>
      <c r="C564" s="1" t="n">
        <v>46194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64453-2023</t>
        </is>
      </c>
      <c r="B565" s="1" t="n">
        <v>45280</v>
      </c>
      <c r="C565" s="1" t="n">
        <v>46194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27320-2025</t>
        </is>
      </c>
      <c r="B566" s="1" t="n">
        <v>45812</v>
      </c>
      <c r="C566" s="1" t="n">
        <v>46194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32757-2023</t>
        </is>
      </c>
      <c r="B567" s="1" t="n">
        <v>45123</v>
      </c>
      <c r="C567" s="1" t="n">
        <v>46194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27150-2025</t>
        </is>
      </c>
      <c r="B568" s="1" t="n">
        <v>45812</v>
      </c>
      <c r="C568" s="1" t="n">
        <v>46194</v>
      </c>
      <c r="D568" t="inlineStr">
        <is>
          <t>KALMAR LÄN</t>
        </is>
      </c>
      <c r="E568" t="inlineStr">
        <is>
          <t>NYBRO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31612-2023</t>
        </is>
      </c>
      <c r="B569" s="1" t="n">
        <v>45117</v>
      </c>
      <c r="C569" s="1" t="n">
        <v>46194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24689-2023</t>
        </is>
      </c>
      <c r="B570" s="1" t="n">
        <v>45084</v>
      </c>
      <c r="C570" s="1" t="n">
        <v>46194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41846-2024</t>
        </is>
      </c>
      <c r="B571" s="1" t="n">
        <v>45561</v>
      </c>
      <c r="C571" s="1" t="n">
        <v>46194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58761-2021</t>
        </is>
      </c>
      <c r="B572" s="1" t="n">
        <v>44489</v>
      </c>
      <c r="C572" s="1" t="n">
        <v>46194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24111-2023</t>
        </is>
      </c>
      <c r="B573" s="1" t="n">
        <v>45079</v>
      </c>
      <c r="C573" s="1" t="n">
        <v>46194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49051-2021</t>
        </is>
      </c>
      <c r="B574" s="1" t="n">
        <v>44453</v>
      </c>
      <c r="C574" s="1" t="n">
        <v>46194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29924-2023</t>
        </is>
      </c>
      <c r="B575" s="1" t="n">
        <v>45107</v>
      </c>
      <c r="C575" s="1" t="n">
        <v>46194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52367-2021</t>
        </is>
      </c>
      <c r="B576" s="1" t="n">
        <v>44465</v>
      </c>
      <c r="C576" s="1" t="n">
        <v>46194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28362-2025</t>
        </is>
      </c>
      <c r="B577" s="1" t="n">
        <v>45818</v>
      </c>
      <c r="C577" s="1" t="n">
        <v>46194</v>
      </c>
      <c r="D577" t="inlineStr">
        <is>
          <t>KALMAR LÄN</t>
        </is>
      </c>
      <c r="E577" t="inlineStr">
        <is>
          <t>NYBRO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4172-2023</t>
        </is>
      </c>
      <c r="B578" s="1" t="n">
        <v>44953</v>
      </c>
      <c r="C578" s="1" t="n">
        <v>46194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29368-2025</t>
        </is>
      </c>
      <c r="B579" s="1" t="n">
        <v>45824</v>
      </c>
      <c r="C579" s="1" t="n">
        <v>46194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29059-2025</t>
        </is>
      </c>
      <c r="B580" s="1" t="n">
        <v>45821</v>
      </c>
      <c r="C580" s="1" t="n">
        <v>46194</v>
      </c>
      <c r="D580" t="inlineStr">
        <is>
          <t>KALMAR LÄN</t>
        </is>
      </c>
      <c r="E580" t="inlineStr">
        <is>
          <t>NYBRO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29320-2025</t>
        </is>
      </c>
      <c r="B581" s="1" t="n">
        <v>45824</v>
      </c>
      <c r="C581" s="1" t="n">
        <v>46194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37462-2023</t>
        </is>
      </c>
      <c r="B582" s="1" t="n">
        <v>45156</v>
      </c>
      <c r="C582" s="1" t="n">
        <v>46194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29586-2025</t>
        </is>
      </c>
      <c r="B583" s="1" t="n">
        <v>45825</v>
      </c>
      <c r="C583" s="1" t="n">
        <v>46194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27138-2026</t>
        </is>
      </c>
      <c r="B584" s="1" t="n">
        <v>46184</v>
      </c>
      <c r="C584" s="1" t="n">
        <v>46194</v>
      </c>
      <c r="D584" t="inlineStr">
        <is>
          <t>KALMAR LÄN</t>
        </is>
      </c>
      <c r="E584" t="inlineStr">
        <is>
          <t>NYBRO</t>
        </is>
      </c>
      <c r="G584" t="n">
        <v>15.9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19363-2024</t>
        </is>
      </c>
      <c r="B585" s="1" t="n">
        <v>45429</v>
      </c>
      <c r="C585" s="1" t="n">
        <v>46194</v>
      </c>
      <c r="D585" t="inlineStr">
        <is>
          <t>KALMAR LÄN</t>
        </is>
      </c>
      <c r="E585" t="inlineStr">
        <is>
          <t>NYBRO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56686-2025</t>
        </is>
      </c>
      <c r="B586" s="1" t="n">
        <v>45975</v>
      </c>
      <c r="C586" s="1" t="n">
        <v>46194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1729-2023</t>
        </is>
      </c>
      <c r="B587" s="1" t="n">
        <v>44938</v>
      </c>
      <c r="C587" s="1" t="n">
        <v>46194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31747-2025</t>
        </is>
      </c>
      <c r="B588" s="1" t="n">
        <v>45834</v>
      </c>
      <c r="C588" s="1" t="n">
        <v>46194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7956-2023</t>
        </is>
      </c>
      <c r="B589" s="1" t="n">
        <v>44973</v>
      </c>
      <c r="C589" s="1" t="n">
        <v>46194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31707-2025</t>
        </is>
      </c>
      <c r="B590" s="1" t="n">
        <v>45834</v>
      </c>
      <c r="C590" s="1" t="n">
        <v>46194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31753-2025</t>
        </is>
      </c>
      <c r="B591" s="1" t="n">
        <v>45834</v>
      </c>
      <c r="C591" s="1" t="n">
        <v>46194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56602-2025</t>
        </is>
      </c>
      <c r="B592" s="1" t="n">
        <v>45975</v>
      </c>
      <c r="C592" s="1" t="n">
        <v>46194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31540-2025</t>
        </is>
      </c>
      <c r="B593" s="1" t="n">
        <v>45833</v>
      </c>
      <c r="C593" s="1" t="n">
        <v>46194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31763-2025</t>
        </is>
      </c>
      <c r="B594" s="1" t="n">
        <v>45834</v>
      </c>
      <c r="C594" s="1" t="n">
        <v>46194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57476-2025</t>
        </is>
      </c>
      <c r="B595" s="1" t="n">
        <v>45980</v>
      </c>
      <c r="C595" s="1" t="n">
        <v>46194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57474-2025</t>
        </is>
      </c>
      <c r="B596" s="1" t="n">
        <v>45980</v>
      </c>
      <c r="C596" s="1" t="n">
        <v>46194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57490-2025</t>
        </is>
      </c>
      <c r="B597" s="1" t="n">
        <v>45980</v>
      </c>
      <c r="C597" s="1" t="n">
        <v>46194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15200-2025</t>
        </is>
      </c>
      <c r="B598" s="1" t="n">
        <v>45744</v>
      </c>
      <c r="C598" s="1" t="n">
        <v>46194</v>
      </c>
      <c r="D598" t="inlineStr">
        <is>
          <t>KALMAR LÄN</t>
        </is>
      </c>
      <c r="E598" t="inlineStr">
        <is>
          <t>NYBRO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60622-2023</t>
        </is>
      </c>
      <c r="B599" s="1" t="n">
        <v>45260</v>
      </c>
      <c r="C599" s="1" t="n">
        <v>46194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32344-2025</t>
        </is>
      </c>
      <c r="B600" s="1" t="n">
        <v>45837</v>
      </c>
      <c r="C600" s="1" t="n">
        <v>46194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32347-2025</t>
        </is>
      </c>
      <c r="B601" s="1" t="n">
        <v>45837</v>
      </c>
      <c r="C601" s="1" t="n">
        <v>46194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54252-2024</t>
        </is>
      </c>
      <c r="B602" s="1" t="n">
        <v>45616</v>
      </c>
      <c r="C602" s="1" t="n">
        <v>46194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28149-2023</t>
        </is>
      </c>
      <c r="B603" s="1" t="n">
        <v>45096</v>
      </c>
      <c r="C603" s="1" t="n">
        <v>46194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27513-2024</t>
        </is>
      </c>
      <c r="B604" s="1" t="n">
        <v>45474</v>
      </c>
      <c r="C604" s="1" t="n">
        <v>46194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40335-2023</t>
        </is>
      </c>
      <c r="B605" s="1" t="n">
        <v>45169</v>
      </c>
      <c r="C605" s="1" t="n">
        <v>46194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2580-2022</t>
        </is>
      </c>
      <c r="B606" s="1" t="n">
        <v>44580</v>
      </c>
      <c r="C606" s="1" t="n">
        <v>46194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58680-2025</t>
        </is>
      </c>
      <c r="B607" s="1" t="n">
        <v>45986</v>
      </c>
      <c r="C607" s="1" t="n">
        <v>46194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54249-2024</t>
        </is>
      </c>
      <c r="B608" s="1" t="n">
        <v>45616</v>
      </c>
      <c r="C608" s="1" t="n">
        <v>46194</v>
      </c>
      <c r="D608" t="inlineStr">
        <is>
          <t>KALMAR LÄN</t>
        </is>
      </c>
      <c r="E608" t="inlineStr">
        <is>
          <t>NYBRO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27115-2026</t>
        </is>
      </c>
      <c r="B609" s="1" t="n">
        <v>46184</v>
      </c>
      <c r="C609" s="1" t="n">
        <v>46194</v>
      </c>
      <c r="D609" t="inlineStr">
        <is>
          <t>KALMAR LÄN</t>
        </is>
      </c>
      <c r="E609" t="inlineStr">
        <is>
          <t>NYBRO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58482-2025</t>
        </is>
      </c>
      <c r="B610" s="1" t="n">
        <v>45985</v>
      </c>
      <c r="C610" s="1" t="n">
        <v>46194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24188-2023</t>
        </is>
      </c>
      <c r="B611" s="1" t="n">
        <v>45079</v>
      </c>
      <c r="C611" s="1" t="n">
        <v>46194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34350-2025</t>
        </is>
      </c>
      <c r="B612" s="1" t="n">
        <v>45846</v>
      </c>
      <c r="C612" s="1" t="n">
        <v>46194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27930-2025</t>
        </is>
      </c>
      <c r="B613" s="1" t="n">
        <v>45817</v>
      </c>
      <c r="C613" s="1" t="n">
        <v>46194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58673-2025</t>
        </is>
      </c>
      <c r="B614" s="1" t="n">
        <v>45986</v>
      </c>
      <c r="C614" s="1" t="n">
        <v>46194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3428-2024</t>
        </is>
      </c>
      <c r="B615" s="1" t="n">
        <v>45320</v>
      </c>
      <c r="C615" s="1" t="n">
        <v>46194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34346-2025</t>
        </is>
      </c>
      <c r="B616" s="1" t="n">
        <v>45846</v>
      </c>
      <c r="C616" s="1" t="n">
        <v>46194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54245-2024</t>
        </is>
      </c>
      <c r="B617" s="1" t="n">
        <v>45616</v>
      </c>
      <c r="C617" s="1" t="n">
        <v>46194</v>
      </c>
      <c r="D617" t="inlineStr">
        <is>
          <t>KALMAR LÄN</t>
        </is>
      </c>
      <c r="E617" t="inlineStr">
        <is>
          <t>NYBRO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58988-2025</t>
        </is>
      </c>
      <c r="B618" s="1" t="n">
        <v>45987</v>
      </c>
      <c r="C618" s="1" t="n">
        <v>46194</v>
      </c>
      <c r="D618" t="inlineStr">
        <is>
          <t>KALMAR LÄN</t>
        </is>
      </c>
      <c r="E618" t="inlineStr">
        <is>
          <t>NYBRO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31060-2023</t>
        </is>
      </c>
      <c r="B619" s="1" t="n">
        <v>45113</v>
      </c>
      <c r="C619" s="1" t="n">
        <v>46194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35147-2025</t>
        </is>
      </c>
      <c r="B620" s="1" t="n">
        <v>45852</v>
      </c>
      <c r="C620" s="1" t="n">
        <v>46194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35522-2025</t>
        </is>
      </c>
      <c r="B621" s="1" t="n">
        <v>45856</v>
      </c>
      <c r="C621" s="1" t="n">
        <v>46194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33472-2023</t>
        </is>
      </c>
      <c r="B622" s="1" t="n">
        <v>45131</v>
      </c>
      <c r="C622" s="1" t="n">
        <v>46194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35521-2025</t>
        </is>
      </c>
      <c r="B623" s="1" t="n">
        <v>45856</v>
      </c>
      <c r="C623" s="1" t="n">
        <v>46194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18587-2025</t>
        </is>
      </c>
      <c r="B624" s="1" t="n">
        <v>45763</v>
      </c>
      <c r="C624" s="1" t="n">
        <v>46194</v>
      </c>
      <c r="D624" t="inlineStr">
        <is>
          <t>KALMAR LÄN</t>
        </is>
      </c>
      <c r="E624" t="inlineStr">
        <is>
          <t>NYBRO</t>
        </is>
      </c>
      <c r="G624" t="n">
        <v>30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27673-2026</t>
        </is>
      </c>
      <c r="B625" s="1" t="n">
        <v>46190</v>
      </c>
      <c r="C625" s="1" t="n">
        <v>46194</v>
      </c>
      <c r="D625" t="inlineStr">
        <is>
          <t>KALMAR LÄN</t>
        </is>
      </c>
      <c r="E625" t="inlineStr">
        <is>
          <t>NYBRO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27683-2026</t>
        </is>
      </c>
      <c r="B626" s="1" t="n">
        <v>46190</v>
      </c>
      <c r="C626" s="1" t="n">
        <v>46194</v>
      </c>
      <c r="D626" t="inlineStr">
        <is>
          <t>KALMAR LÄN</t>
        </is>
      </c>
      <c r="E626" t="inlineStr">
        <is>
          <t>NYBRO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2958-2024</t>
        </is>
      </c>
      <c r="B627" s="1" t="n">
        <v>45315</v>
      </c>
      <c r="C627" s="1" t="n">
        <v>46194</v>
      </c>
      <c r="D627" t="inlineStr">
        <is>
          <t>KALMAR LÄN</t>
        </is>
      </c>
      <c r="E627" t="inlineStr">
        <is>
          <t>NYBRO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15116-2023</t>
        </is>
      </c>
      <c r="B628" s="1" t="n">
        <v>45016</v>
      </c>
      <c r="C628" s="1" t="n">
        <v>46194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41974-2024</t>
        </is>
      </c>
      <c r="B629" s="1" t="n">
        <v>45561</v>
      </c>
      <c r="C629" s="1" t="n">
        <v>46194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28363-2025</t>
        </is>
      </c>
      <c r="B630" s="1" t="n">
        <v>45818</v>
      </c>
      <c r="C630" s="1" t="n">
        <v>46194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36023-2025</t>
        </is>
      </c>
      <c r="B631" s="1" t="n">
        <v>45863</v>
      </c>
      <c r="C631" s="1" t="n">
        <v>46194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54255-2024</t>
        </is>
      </c>
      <c r="B632" s="1" t="n">
        <v>45616</v>
      </c>
      <c r="C632" s="1" t="n">
        <v>46194</v>
      </c>
      <c r="D632" t="inlineStr">
        <is>
          <t>KALMAR LÄN</t>
        </is>
      </c>
      <c r="E632" t="inlineStr">
        <is>
          <t>NYBRO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494-2022</t>
        </is>
      </c>
      <c r="B633" s="1" t="n">
        <v>44566</v>
      </c>
      <c r="C633" s="1" t="n">
        <v>46194</v>
      </c>
      <c r="D633" t="inlineStr">
        <is>
          <t>KALMAR LÄN</t>
        </is>
      </c>
      <c r="E633" t="inlineStr">
        <is>
          <t>NYBRO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26426-2023</t>
        </is>
      </c>
      <c r="B634" s="1" t="n">
        <v>45092</v>
      </c>
      <c r="C634" s="1" t="n">
        <v>46194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46282-2023</t>
        </is>
      </c>
      <c r="B635" s="1" t="n">
        <v>45197</v>
      </c>
      <c r="C635" s="1" t="n">
        <v>46194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60758-2025</t>
        </is>
      </c>
      <c r="B636" s="1" t="n">
        <v>45999</v>
      </c>
      <c r="C636" s="1" t="n">
        <v>46194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61074-2025</t>
        </is>
      </c>
      <c r="B637" s="1" t="n">
        <v>46000</v>
      </c>
      <c r="C637" s="1" t="n">
        <v>46194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17605-2023</t>
        </is>
      </c>
      <c r="B638" s="1" t="n">
        <v>45035</v>
      </c>
      <c r="C638" s="1" t="n">
        <v>46194</v>
      </c>
      <c r="D638" t="inlineStr">
        <is>
          <t>KALMAR LÄN</t>
        </is>
      </c>
      <c r="E638" t="inlineStr">
        <is>
          <t>NYBRO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42740-2022</t>
        </is>
      </c>
      <c r="B639" s="1" t="n">
        <v>44832</v>
      </c>
      <c r="C639" s="1" t="n">
        <v>46194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50905-2023</t>
        </is>
      </c>
      <c r="B640" s="1" t="n">
        <v>45218</v>
      </c>
      <c r="C640" s="1" t="n">
        <v>46194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6306-2024</t>
        </is>
      </c>
      <c r="B641" s="1" t="n">
        <v>45338</v>
      </c>
      <c r="C641" s="1" t="n">
        <v>46194</v>
      </c>
      <c r="D641" t="inlineStr">
        <is>
          <t>KALMAR LÄN</t>
        </is>
      </c>
      <c r="E641" t="inlineStr">
        <is>
          <t>NYBRO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41679-2024</t>
        </is>
      </c>
      <c r="B642" s="1" t="n">
        <v>45560</v>
      </c>
      <c r="C642" s="1" t="n">
        <v>46194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13445-2022</t>
        </is>
      </c>
      <c r="B643" s="1" t="n">
        <v>44645</v>
      </c>
      <c r="C643" s="1" t="n">
        <v>46194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37559-2025</t>
        </is>
      </c>
      <c r="B644" s="1" t="n">
        <v>45880</v>
      </c>
      <c r="C644" s="1" t="n">
        <v>46194</v>
      </c>
      <c r="D644" t="inlineStr">
        <is>
          <t>KALMAR LÄN</t>
        </is>
      </c>
      <c r="E644" t="inlineStr">
        <is>
          <t>NYBRO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682-2025</t>
        </is>
      </c>
      <c r="B645" s="1" t="n">
        <v>45664</v>
      </c>
      <c r="C645" s="1" t="n">
        <v>46194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63335-2025</t>
        </is>
      </c>
      <c r="B646" s="1" t="n">
        <v>46010</v>
      </c>
      <c r="C646" s="1" t="n">
        <v>46194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17157-2022</t>
        </is>
      </c>
      <c r="B647" s="1" t="n">
        <v>44677</v>
      </c>
      <c r="C647" s="1" t="n">
        <v>46194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29289-2023</t>
        </is>
      </c>
      <c r="B648" s="1" t="n">
        <v>45098</v>
      </c>
      <c r="C648" s="1" t="n">
        <v>46194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37556-2025</t>
        </is>
      </c>
      <c r="B649" s="1" t="n">
        <v>45880</v>
      </c>
      <c r="C649" s="1" t="n">
        <v>46194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11621-2024</t>
        </is>
      </c>
      <c r="B650" s="1" t="n">
        <v>45373</v>
      </c>
      <c r="C650" s="1" t="n">
        <v>46194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21613-2023</t>
        </is>
      </c>
      <c r="B651" s="1" t="n">
        <v>45063</v>
      </c>
      <c r="C651" s="1" t="n">
        <v>46194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37845-2025</t>
        </is>
      </c>
      <c r="B652" s="1" t="n">
        <v>45881</v>
      </c>
      <c r="C652" s="1" t="n">
        <v>46194</v>
      </c>
      <c r="D652" t="inlineStr">
        <is>
          <t>KALMAR LÄN</t>
        </is>
      </c>
      <c r="E652" t="inlineStr">
        <is>
          <t>NYBRO</t>
        </is>
      </c>
      <c r="F652" t="inlineStr">
        <is>
          <t>Kommuner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38203-2025</t>
        </is>
      </c>
      <c r="B653" s="1" t="n">
        <v>45882</v>
      </c>
      <c r="C653" s="1" t="n">
        <v>46194</v>
      </c>
      <c r="D653" t="inlineStr">
        <is>
          <t>KALMAR LÄN</t>
        </is>
      </c>
      <c r="E653" t="inlineStr">
        <is>
          <t>NYBRO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24452-2023</t>
        </is>
      </c>
      <c r="B654" s="1" t="n">
        <v>45082</v>
      </c>
      <c r="C654" s="1" t="n">
        <v>46194</v>
      </c>
      <c r="D654" t="inlineStr">
        <is>
          <t>KALMAR LÄN</t>
        </is>
      </c>
      <c r="E654" t="inlineStr">
        <is>
          <t>NYBRO</t>
        </is>
      </c>
      <c r="F654" t="inlineStr">
        <is>
          <t>Kommuner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45074-2023</t>
        </is>
      </c>
      <c r="B655" s="1" t="n">
        <v>45191</v>
      </c>
      <c r="C655" s="1" t="n">
        <v>46194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14983-2022</t>
        </is>
      </c>
      <c r="B656" s="1" t="n">
        <v>44657</v>
      </c>
      <c r="C656" s="1" t="n">
        <v>46194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5355-2022</t>
        </is>
      </c>
      <c r="B657" s="1" t="n">
        <v>44594</v>
      </c>
      <c r="C657" s="1" t="n">
        <v>46194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19522-2023</t>
        </is>
      </c>
      <c r="B658" s="1" t="n">
        <v>45049</v>
      </c>
      <c r="C658" s="1" t="n">
        <v>46194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10289-2022</t>
        </is>
      </c>
      <c r="B659" s="1" t="n">
        <v>44622</v>
      </c>
      <c r="C659" s="1" t="n">
        <v>46194</v>
      </c>
      <c r="D659" t="inlineStr">
        <is>
          <t>KALMAR LÄN</t>
        </is>
      </c>
      <c r="E659" t="inlineStr">
        <is>
          <t>NYBRO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61237-2025</t>
        </is>
      </c>
      <c r="B660" s="1" t="n">
        <v>46000</v>
      </c>
      <c r="C660" s="1" t="n">
        <v>46194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59207-2024</t>
        </is>
      </c>
      <c r="B661" s="1" t="n">
        <v>45637</v>
      </c>
      <c r="C661" s="1" t="n">
        <v>46194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22877-2023</t>
        </is>
      </c>
      <c r="B662" s="1" t="n">
        <v>45072</v>
      </c>
      <c r="C662" s="1" t="n">
        <v>46194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18323-2025</t>
        </is>
      </c>
      <c r="B663" s="1" t="n">
        <v>45762</v>
      </c>
      <c r="C663" s="1" t="n">
        <v>46194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31791-2023</t>
        </is>
      </c>
      <c r="B664" s="1" t="n">
        <v>45118</v>
      </c>
      <c r="C664" s="1" t="n">
        <v>46194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14057-2024</t>
        </is>
      </c>
      <c r="B665" s="1" t="n">
        <v>45392</v>
      </c>
      <c r="C665" s="1" t="n">
        <v>46194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675-2026</t>
        </is>
      </c>
      <c r="B666" s="1" t="n">
        <v>46029</v>
      </c>
      <c r="C666" s="1" t="n">
        <v>46194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678-2026</t>
        </is>
      </c>
      <c r="B667" s="1" t="n">
        <v>46029</v>
      </c>
      <c r="C667" s="1" t="n">
        <v>46194</v>
      </c>
      <c r="D667" t="inlineStr">
        <is>
          <t>KALMAR LÄN</t>
        </is>
      </c>
      <c r="E667" t="inlineStr">
        <is>
          <t>NYBRO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46024-2023</t>
        </is>
      </c>
      <c r="B668" s="1" t="n">
        <v>45196</v>
      </c>
      <c r="C668" s="1" t="n">
        <v>46194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43118-2022</t>
        </is>
      </c>
      <c r="B669" s="1" t="n">
        <v>44833</v>
      </c>
      <c r="C669" s="1" t="n">
        <v>46194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1574-2026</t>
        </is>
      </c>
      <c r="B670" s="1" t="n">
        <v>46034</v>
      </c>
      <c r="C670" s="1" t="n">
        <v>46194</v>
      </c>
      <c r="D670" t="inlineStr">
        <is>
          <t>KALMAR LÄN</t>
        </is>
      </c>
      <c r="E670" t="inlineStr">
        <is>
          <t>NYBRO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18884-2022</t>
        </is>
      </c>
      <c r="B671" s="1" t="n">
        <v>44690</v>
      </c>
      <c r="C671" s="1" t="n">
        <v>46194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18072-2022</t>
        </is>
      </c>
      <c r="B672" s="1" t="n">
        <v>44684</v>
      </c>
      <c r="C672" s="1" t="n">
        <v>46194</v>
      </c>
      <c r="D672" t="inlineStr">
        <is>
          <t>KALMAR LÄN</t>
        </is>
      </c>
      <c r="E672" t="inlineStr">
        <is>
          <t>NYBRO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42817-2023</t>
        </is>
      </c>
      <c r="B673" s="1" t="n">
        <v>45182</v>
      </c>
      <c r="C673" s="1" t="n">
        <v>46194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42277-2023</t>
        </is>
      </c>
      <c r="B674" s="1" t="n">
        <v>45175</v>
      </c>
      <c r="C674" s="1" t="n">
        <v>46194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26859-2023</t>
        </is>
      </c>
      <c r="B675" s="1" t="n">
        <v>45093</v>
      </c>
      <c r="C675" s="1" t="n">
        <v>46194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57809-2023</t>
        </is>
      </c>
      <c r="B676" s="1" t="n">
        <v>45244</v>
      </c>
      <c r="C676" s="1" t="n">
        <v>46194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14371-2025</t>
        </is>
      </c>
      <c r="B677" s="1" t="n">
        <v>45741</v>
      </c>
      <c r="C677" s="1" t="n">
        <v>46194</v>
      </c>
      <c r="D677" t="inlineStr">
        <is>
          <t>KALMAR LÄN</t>
        </is>
      </c>
      <c r="E677" t="inlineStr">
        <is>
          <t>NYBRO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17226-2025</t>
        </is>
      </c>
      <c r="B678" s="1" t="n">
        <v>45756</v>
      </c>
      <c r="C678" s="1" t="n">
        <v>46194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49340-2023</t>
        </is>
      </c>
      <c r="B679" s="1" t="n">
        <v>45211</v>
      </c>
      <c r="C679" s="1" t="n">
        <v>46194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43731-2023</t>
        </is>
      </c>
      <c r="B680" s="1" t="n">
        <v>45187</v>
      </c>
      <c r="C680" s="1" t="n">
        <v>46194</v>
      </c>
      <c r="D680" t="inlineStr">
        <is>
          <t>KALMAR LÄN</t>
        </is>
      </c>
      <c r="E680" t="inlineStr">
        <is>
          <t>NYBRO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31081-2021</t>
        </is>
      </c>
      <c r="B681" s="1" t="n">
        <v>44368</v>
      </c>
      <c r="C681" s="1" t="n">
        <v>46194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16268-2024</t>
        </is>
      </c>
      <c r="B682" s="1" t="n">
        <v>45407</v>
      </c>
      <c r="C682" s="1" t="n">
        <v>46194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55723-2023</t>
        </is>
      </c>
      <c r="B683" s="1" t="n">
        <v>45239</v>
      </c>
      <c r="C683" s="1" t="n">
        <v>46194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27419-2022</t>
        </is>
      </c>
      <c r="B684" s="1" t="n">
        <v>44742</v>
      </c>
      <c r="C684" s="1" t="n">
        <v>46194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59940-2022</t>
        </is>
      </c>
      <c r="B685" s="1" t="n">
        <v>44909</v>
      </c>
      <c r="C685" s="1" t="n">
        <v>46194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41531-2023</t>
        </is>
      </c>
      <c r="B686" s="1" t="n">
        <v>45175</v>
      </c>
      <c r="C686" s="1" t="n">
        <v>46194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46684-2023</t>
        </is>
      </c>
      <c r="B687" s="1" t="n">
        <v>45198</v>
      </c>
      <c r="C687" s="1" t="n">
        <v>46194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49405-2023</t>
        </is>
      </c>
      <c r="B688" s="1" t="n">
        <v>45211</v>
      </c>
      <c r="C688" s="1" t="n">
        <v>46194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28795-2022</t>
        </is>
      </c>
      <c r="B689" s="1" t="n">
        <v>44749</v>
      </c>
      <c r="C689" s="1" t="n">
        <v>46194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23607-2022</t>
        </is>
      </c>
      <c r="B690" s="1" t="n">
        <v>44721</v>
      </c>
      <c r="C690" s="1" t="n">
        <v>46194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27610-2022</t>
        </is>
      </c>
      <c r="B691" s="1" t="n">
        <v>44743</v>
      </c>
      <c r="C691" s="1" t="n">
        <v>46194</v>
      </c>
      <c r="D691" t="inlineStr">
        <is>
          <t>KALMAR LÄN</t>
        </is>
      </c>
      <c r="E691" t="inlineStr">
        <is>
          <t>NYBRO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41632-2023</t>
        </is>
      </c>
      <c r="B692" s="1" t="n">
        <v>45175</v>
      </c>
      <c r="C692" s="1" t="n">
        <v>46194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5909-2026</t>
        </is>
      </c>
      <c r="B693" s="1" t="n">
        <v>46052</v>
      </c>
      <c r="C693" s="1" t="n">
        <v>46194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5907-2026</t>
        </is>
      </c>
      <c r="B694" s="1" t="n">
        <v>46052</v>
      </c>
      <c r="C694" s="1" t="n">
        <v>46194</v>
      </c>
      <c r="D694" t="inlineStr">
        <is>
          <t>KALMAR LÄN</t>
        </is>
      </c>
      <c r="E694" t="inlineStr">
        <is>
          <t>NYBRO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5728-2026</t>
        </is>
      </c>
      <c r="B695" s="1" t="n">
        <v>46051</v>
      </c>
      <c r="C695" s="1" t="n">
        <v>46194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17409-2024</t>
        </is>
      </c>
      <c r="B696" s="1" t="n">
        <v>45414</v>
      </c>
      <c r="C696" s="1" t="n">
        <v>46194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17229-2025</t>
        </is>
      </c>
      <c r="B697" s="1" t="n">
        <v>45756</v>
      </c>
      <c r="C697" s="1" t="n">
        <v>46194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15100-2025</t>
        </is>
      </c>
      <c r="B698" s="1" t="n">
        <v>45744</v>
      </c>
      <c r="C698" s="1" t="n">
        <v>46194</v>
      </c>
      <c r="D698" t="inlineStr">
        <is>
          <t>KALMAR LÄN</t>
        </is>
      </c>
      <c r="E698" t="inlineStr">
        <is>
          <t>NYBRO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60039-2022</t>
        </is>
      </c>
      <c r="B699" s="1" t="n">
        <v>44909</v>
      </c>
      <c r="C699" s="1" t="n">
        <v>46194</v>
      </c>
      <c r="D699" t="inlineStr">
        <is>
          <t>KALMAR LÄN</t>
        </is>
      </c>
      <c r="E699" t="inlineStr">
        <is>
          <t>NYBRO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57823-2023</t>
        </is>
      </c>
      <c r="B700" s="1" t="n">
        <v>45244</v>
      </c>
      <c r="C700" s="1" t="n">
        <v>46194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44801-2022</t>
        </is>
      </c>
      <c r="B701" s="1" t="n">
        <v>44841</v>
      </c>
      <c r="C701" s="1" t="n">
        <v>46194</v>
      </c>
      <c r="D701" t="inlineStr">
        <is>
          <t>KALMAR LÄN</t>
        </is>
      </c>
      <c r="E701" t="inlineStr">
        <is>
          <t>NYBRO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20536-2025</t>
        </is>
      </c>
      <c r="B702" s="1" t="n">
        <v>45775</v>
      </c>
      <c r="C702" s="1" t="n">
        <v>46194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36247-2022</t>
        </is>
      </c>
      <c r="B703" s="1" t="n">
        <v>44803</v>
      </c>
      <c r="C703" s="1" t="n">
        <v>46194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19451-2022</t>
        </is>
      </c>
      <c r="B704" s="1" t="n">
        <v>44693</v>
      </c>
      <c r="C704" s="1" t="n">
        <v>46194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22744-2024</t>
        </is>
      </c>
      <c r="B705" s="1" t="n">
        <v>45448</v>
      </c>
      <c r="C705" s="1" t="n">
        <v>46194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7036-2026</t>
        </is>
      </c>
      <c r="B706" s="1" t="n">
        <v>46057</v>
      </c>
      <c r="C706" s="1" t="n">
        <v>46194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26715-2022</t>
        </is>
      </c>
      <c r="B707" s="1" t="n">
        <v>44739</v>
      </c>
      <c r="C707" s="1" t="n">
        <v>46194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7037-2026</t>
        </is>
      </c>
      <c r="B708" s="1" t="n">
        <v>46057</v>
      </c>
      <c r="C708" s="1" t="n">
        <v>46194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28145-2022</t>
        </is>
      </c>
      <c r="B709" s="1" t="n">
        <v>44746</v>
      </c>
      <c r="C709" s="1" t="n">
        <v>46194</v>
      </c>
      <c r="D709" t="inlineStr">
        <is>
          <t>KALMAR LÄN</t>
        </is>
      </c>
      <c r="E709" t="inlineStr">
        <is>
          <t>NYBRO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59545-2023</t>
        </is>
      </c>
      <c r="B710" s="1" t="n">
        <v>45254</v>
      </c>
      <c r="C710" s="1" t="n">
        <v>46194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5242-2024</t>
        </is>
      </c>
      <c r="B711" s="1" t="n">
        <v>45330</v>
      </c>
      <c r="C711" s="1" t="n">
        <v>46194</v>
      </c>
      <c r="D711" t="inlineStr">
        <is>
          <t>KALMAR LÄN</t>
        </is>
      </c>
      <c r="E711" t="inlineStr">
        <is>
          <t>NYBRO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61060-2021</t>
        </is>
      </c>
      <c r="B712" s="1" t="n">
        <v>44497</v>
      </c>
      <c r="C712" s="1" t="n">
        <v>46194</v>
      </c>
      <c r="D712" t="inlineStr">
        <is>
          <t>KALMAR LÄN</t>
        </is>
      </c>
      <c r="E712" t="inlineStr">
        <is>
          <t>NYBRO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8100-2023</t>
        </is>
      </c>
      <c r="B713" s="1" t="n">
        <v>44974</v>
      </c>
      <c r="C713" s="1" t="n">
        <v>46194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10457-2024</t>
        </is>
      </c>
      <c r="B714" s="1" t="n">
        <v>45366</v>
      </c>
      <c r="C714" s="1" t="n">
        <v>46194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8382-2026</t>
        </is>
      </c>
      <c r="B715" s="1" t="n">
        <v>46064</v>
      </c>
      <c r="C715" s="1" t="n">
        <v>46194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8384-2026</t>
        </is>
      </c>
      <c r="B716" s="1" t="n">
        <v>46064</v>
      </c>
      <c r="C716" s="1" t="n">
        <v>46194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50662-2023</t>
        </is>
      </c>
      <c r="B717" s="1" t="n">
        <v>45217</v>
      </c>
      <c r="C717" s="1" t="n">
        <v>46194</v>
      </c>
      <c r="D717" t="inlineStr">
        <is>
          <t>KALMAR LÄN</t>
        </is>
      </c>
      <c r="E717" t="inlineStr">
        <is>
          <t>NYBRO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61780-2022</t>
        </is>
      </c>
      <c r="B718" s="1" t="n">
        <v>44917</v>
      </c>
      <c r="C718" s="1" t="n">
        <v>46194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31107-2021</t>
        </is>
      </c>
      <c r="B719" s="1" t="n">
        <v>44368</v>
      </c>
      <c r="C719" s="1" t="n">
        <v>46194</v>
      </c>
      <c r="D719" t="inlineStr">
        <is>
          <t>KALMAR LÄN</t>
        </is>
      </c>
      <c r="E719" t="inlineStr">
        <is>
          <t>NYBRO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9001-2026</t>
        </is>
      </c>
      <c r="B720" s="1" t="n">
        <v>46069</v>
      </c>
      <c r="C720" s="1" t="n">
        <v>46194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9009-2026</t>
        </is>
      </c>
      <c r="B721" s="1" t="n">
        <v>46069</v>
      </c>
      <c r="C721" s="1" t="n">
        <v>46194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5257-2023</t>
        </is>
      </c>
      <c r="B722" s="1" t="n">
        <v>44959</v>
      </c>
      <c r="C722" s="1" t="n">
        <v>46194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8883-2026</t>
        </is>
      </c>
      <c r="B723" s="1" t="n">
        <v>46067</v>
      </c>
      <c r="C723" s="1" t="n">
        <v>46194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63111-2023</t>
        </is>
      </c>
      <c r="B724" s="1" t="n">
        <v>45273</v>
      </c>
      <c r="C724" s="1" t="n">
        <v>46194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39771-2022</t>
        </is>
      </c>
      <c r="B725" s="1" t="n">
        <v>44819</v>
      </c>
      <c r="C725" s="1" t="n">
        <v>46194</v>
      </c>
      <c r="D725" t="inlineStr">
        <is>
          <t>KALMAR LÄN</t>
        </is>
      </c>
      <c r="E725" t="inlineStr">
        <is>
          <t>NYBRO</t>
        </is>
      </c>
      <c r="F725" t="inlineStr">
        <is>
          <t>Kommuner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9005-2026</t>
        </is>
      </c>
      <c r="B726" s="1" t="n">
        <v>46069</v>
      </c>
      <c r="C726" s="1" t="n">
        <v>46194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9010-2026</t>
        </is>
      </c>
      <c r="B727" s="1" t="n">
        <v>46069</v>
      </c>
      <c r="C727" s="1" t="n">
        <v>46194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866-2024</t>
        </is>
      </c>
      <c r="B728" s="1" t="n">
        <v>45301</v>
      </c>
      <c r="C728" s="1" t="n">
        <v>46194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867-2024</t>
        </is>
      </c>
      <c r="B729" s="1" t="n">
        <v>45301</v>
      </c>
      <c r="C729" s="1" t="n">
        <v>46194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18592-2025</t>
        </is>
      </c>
      <c r="B730" s="1" t="n">
        <v>45763</v>
      </c>
      <c r="C730" s="1" t="n">
        <v>46194</v>
      </c>
      <c r="D730" t="inlineStr">
        <is>
          <t>KALMAR LÄN</t>
        </is>
      </c>
      <c r="E730" t="inlineStr">
        <is>
          <t>NYBRO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4402-2024</t>
        </is>
      </c>
      <c r="B731" s="1" t="n">
        <v>45327</v>
      </c>
      <c r="C731" s="1" t="n">
        <v>46194</v>
      </c>
      <c r="D731" t="inlineStr">
        <is>
          <t>KALMAR LÄN</t>
        </is>
      </c>
      <c r="E731" t="inlineStr">
        <is>
          <t>NYBRO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9728-2026</t>
        </is>
      </c>
      <c r="B732" s="1" t="n">
        <v>46072</v>
      </c>
      <c r="C732" s="1" t="n">
        <v>46194</v>
      </c>
      <c r="D732" t="inlineStr">
        <is>
          <t>KALMAR LÄN</t>
        </is>
      </c>
      <c r="E732" t="inlineStr">
        <is>
          <t>NYBRO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9690-2026</t>
        </is>
      </c>
      <c r="B733" s="1" t="n">
        <v>46072</v>
      </c>
      <c r="C733" s="1" t="n">
        <v>46194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9584-2026</t>
        </is>
      </c>
      <c r="B734" s="1" t="n">
        <v>46071</v>
      </c>
      <c r="C734" s="1" t="n">
        <v>46194</v>
      </c>
      <c r="D734" t="inlineStr">
        <is>
          <t>KALMAR LÄN</t>
        </is>
      </c>
      <c r="E734" t="inlineStr">
        <is>
          <t>NYBRO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15109-2025</t>
        </is>
      </c>
      <c r="B735" s="1" t="n">
        <v>45744</v>
      </c>
      <c r="C735" s="1" t="n">
        <v>46194</v>
      </c>
      <c r="D735" t="inlineStr">
        <is>
          <t>KALMAR LÄN</t>
        </is>
      </c>
      <c r="E735" t="inlineStr">
        <is>
          <t>NYBRO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26422-2023</t>
        </is>
      </c>
      <c r="B736" s="1" t="n">
        <v>45092</v>
      </c>
      <c r="C736" s="1" t="n">
        <v>46194</v>
      </c>
      <c r="D736" t="inlineStr">
        <is>
          <t>KALMAR LÄN</t>
        </is>
      </c>
      <c r="E736" t="inlineStr">
        <is>
          <t>NYBRO</t>
        </is>
      </c>
      <c r="F736" t="inlineStr">
        <is>
          <t>Kommuner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9679-2026</t>
        </is>
      </c>
      <c r="B737" s="1" t="n">
        <v>46072</v>
      </c>
      <c r="C737" s="1" t="n">
        <v>46194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7481-2024</t>
        </is>
      </c>
      <c r="B738" s="1" t="n">
        <v>45346</v>
      </c>
      <c r="C738" s="1" t="n">
        <v>46194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11966-2025</t>
        </is>
      </c>
      <c r="B739" s="1" t="n">
        <v>45728</v>
      </c>
      <c r="C739" s="1" t="n">
        <v>46194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9929-2026</t>
        </is>
      </c>
      <c r="B740" s="1" t="n">
        <v>46073</v>
      </c>
      <c r="C740" s="1" t="n">
        <v>46194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63945-2023</t>
        </is>
      </c>
      <c r="B741" s="1" t="n">
        <v>45278</v>
      </c>
      <c r="C741" s="1" t="n">
        <v>46194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25816-2023</t>
        </is>
      </c>
      <c r="B742" s="1" t="n">
        <v>45090</v>
      </c>
      <c r="C742" s="1" t="n">
        <v>46194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52752-2024</t>
        </is>
      </c>
      <c r="B743" s="1" t="n">
        <v>45610</v>
      </c>
      <c r="C743" s="1" t="n">
        <v>46194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29847-2022</t>
        </is>
      </c>
      <c r="B744" s="1" t="n">
        <v>44756</v>
      </c>
      <c r="C744" s="1" t="n">
        <v>46194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26129-2023</t>
        </is>
      </c>
      <c r="B745" s="1" t="n">
        <v>45091</v>
      </c>
      <c r="C745" s="1" t="n">
        <v>46194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51082-2022</t>
        </is>
      </c>
      <c r="B746" s="1" t="n">
        <v>44868</v>
      </c>
      <c r="C746" s="1" t="n">
        <v>46194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10742-2026</t>
        </is>
      </c>
      <c r="B747" s="1" t="n">
        <v>46078</v>
      </c>
      <c r="C747" s="1" t="n">
        <v>46194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46194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29543-2024</t>
        </is>
      </c>
      <c r="B749" s="1" t="n">
        <v>45484</v>
      </c>
      <c r="C749" s="1" t="n">
        <v>46194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11450-2026</t>
        </is>
      </c>
      <c r="B750" s="1" t="n">
        <v>46083</v>
      </c>
      <c r="C750" s="1" t="n">
        <v>46194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49929-2022</t>
        </is>
      </c>
      <c r="B751" s="1" t="n">
        <v>44865</v>
      </c>
      <c r="C751" s="1" t="n">
        <v>46194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11449-2026</t>
        </is>
      </c>
      <c r="B752" s="1" t="n">
        <v>46083</v>
      </c>
      <c r="C752" s="1" t="n">
        <v>46194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9942-2023</t>
        </is>
      </c>
      <c r="B753" s="1" t="n">
        <v>44985</v>
      </c>
      <c r="C753" s="1" t="n">
        <v>46194</v>
      </c>
      <c r="D753" t="inlineStr">
        <is>
          <t>KALMAR LÄN</t>
        </is>
      </c>
      <c r="E753" t="inlineStr">
        <is>
          <t>NYBRO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25547-2024</t>
        </is>
      </c>
      <c r="B754" s="1" t="n">
        <v>45463</v>
      </c>
      <c r="C754" s="1" t="n">
        <v>46194</v>
      </c>
      <c r="D754" t="inlineStr">
        <is>
          <t>KALMAR LÄN</t>
        </is>
      </c>
      <c r="E754" t="inlineStr">
        <is>
          <t>NYBRO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36366-2024</t>
        </is>
      </c>
      <c r="B755" s="1" t="n">
        <v>45534</v>
      </c>
      <c r="C755" s="1" t="n">
        <v>46194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12236-2026</t>
        </is>
      </c>
      <c r="B756" s="1" t="n">
        <v>46087</v>
      </c>
      <c r="C756" s="1" t="n">
        <v>46194</v>
      </c>
      <c r="D756" t="inlineStr">
        <is>
          <t>KALMAR LÄN</t>
        </is>
      </c>
      <c r="E756" t="inlineStr">
        <is>
          <t>NYBRO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14544-2024</t>
        </is>
      </c>
      <c r="B757" s="1" t="n">
        <v>45394</v>
      </c>
      <c r="C757" s="1" t="n">
        <v>46194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25798-2023</t>
        </is>
      </c>
      <c r="B758" s="1" t="n">
        <v>45090</v>
      </c>
      <c r="C758" s="1" t="n">
        <v>46194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6895-2024</t>
        </is>
      </c>
      <c r="B759" s="1" t="n">
        <v>45342</v>
      </c>
      <c r="C759" s="1" t="n">
        <v>46194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12044-2026</t>
        </is>
      </c>
      <c r="B760" s="1" t="n">
        <v>46086</v>
      </c>
      <c r="C760" s="1" t="n">
        <v>46194</v>
      </c>
      <c r="D760" t="inlineStr">
        <is>
          <t>KALMAR LÄN</t>
        </is>
      </c>
      <c r="E760" t="inlineStr">
        <is>
          <t>NYBRO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15332-2024</t>
        </is>
      </c>
      <c r="B761" s="1" t="n">
        <v>45400</v>
      </c>
      <c r="C761" s="1" t="n">
        <v>46194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39624-2024</t>
        </is>
      </c>
      <c r="B762" s="1" t="n">
        <v>45552</v>
      </c>
      <c r="C762" s="1" t="n">
        <v>46194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34559-2021</t>
        </is>
      </c>
      <c r="B763" s="1" t="n">
        <v>44382</v>
      </c>
      <c r="C763" s="1" t="n">
        <v>46194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60030-2022</t>
        </is>
      </c>
      <c r="B764" s="1" t="n">
        <v>44909</v>
      </c>
      <c r="C764" s="1" t="n">
        <v>46194</v>
      </c>
      <c r="D764" t="inlineStr">
        <is>
          <t>KALMAR LÄN</t>
        </is>
      </c>
      <c r="E764" t="inlineStr">
        <is>
          <t>NYBRO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8000-2023</t>
        </is>
      </c>
      <c r="B765" s="1" t="n">
        <v>44973</v>
      </c>
      <c r="C765" s="1" t="n">
        <v>46194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13166-2026</t>
        </is>
      </c>
      <c r="B766" s="1" t="n">
        <v>46093</v>
      </c>
      <c r="C766" s="1" t="n">
        <v>46194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13179-2026</t>
        </is>
      </c>
      <c r="B767" s="1" t="n">
        <v>46093</v>
      </c>
      <c r="C767" s="1" t="n">
        <v>46194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12884-2026</t>
        </is>
      </c>
      <c r="B768" s="1" t="n">
        <v>46092</v>
      </c>
      <c r="C768" s="1" t="n">
        <v>46194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12910-2026</t>
        </is>
      </c>
      <c r="B769" s="1" t="n">
        <v>46092</v>
      </c>
      <c r="C769" s="1" t="n">
        <v>46194</v>
      </c>
      <c r="D769" t="inlineStr">
        <is>
          <t>KALMAR LÄN</t>
        </is>
      </c>
      <c r="E769" t="inlineStr">
        <is>
          <t>NYBRO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59052-2022</t>
        </is>
      </c>
      <c r="B770" s="1" t="n">
        <v>44904</v>
      </c>
      <c r="C770" s="1" t="n">
        <v>46194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41161-2023</t>
        </is>
      </c>
      <c r="B771" s="1" t="n">
        <v>45174</v>
      </c>
      <c r="C771" s="1" t="n">
        <v>46194</v>
      </c>
      <c r="D771" t="inlineStr">
        <is>
          <t>KALMAR LÄN</t>
        </is>
      </c>
      <c r="E771" t="inlineStr">
        <is>
          <t>NYBRO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5803-2024</t>
        </is>
      </c>
      <c r="B772" s="1" t="n">
        <v>45335</v>
      </c>
      <c r="C772" s="1" t="n">
        <v>46194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11155-2023</t>
        </is>
      </c>
      <c r="B773" s="1" t="n">
        <v>44992</v>
      </c>
      <c r="C773" s="1" t="n">
        <v>46194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52133-2021</t>
        </is>
      </c>
      <c r="B774" s="1" t="n">
        <v>44462</v>
      </c>
      <c r="C774" s="1" t="n">
        <v>46194</v>
      </c>
      <c r="D774" t="inlineStr">
        <is>
          <t>KALMAR LÄN</t>
        </is>
      </c>
      <c r="E774" t="inlineStr">
        <is>
          <t>NYBRO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52135-2021</t>
        </is>
      </c>
      <c r="B775" s="1" t="n">
        <v>44463</v>
      </c>
      <c r="C775" s="1" t="n">
        <v>46194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2380-2022</t>
        </is>
      </c>
      <c r="B776" s="1" t="n">
        <v>44579</v>
      </c>
      <c r="C776" s="1" t="n">
        <v>46194</v>
      </c>
      <c r="D776" t="inlineStr">
        <is>
          <t>KALMAR LÄN</t>
        </is>
      </c>
      <c r="E776" t="inlineStr">
        <is>
          <t>NYBRO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14834-2026</t>
        </is>
      </c>
      <c r="B777" s="1" t="n">
        <v>46104</v>
      </c>
      <c r="C777" s="1" t="n">
        <v>46194</v>
      </c>
      <c r="D777" t="inlineStr">
        <is>
          <t>KALMAR LÄN</t>
        </is>
      </c>
      <c r="E777" t="inlineStr">
        <is>
          <t>NYBRO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15436-2026</t>
        </is>
      </c>
      <c r="B778" s="1" t="n">
        <v>46106</v>
      </c>
      <c r="C778" s="1" t="n">
        <v>46194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15432-2026</t>
        </is>
      </c>
      <c r="B779" s="1" t="n">
        <v>46106</v>
      </c>
      <c r="C779" s="1" t="n">
        <v>46194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22093-2026</t>
        </is>
      </c>
      <c r="B780" s="1" t="n">
        <v>46153</v>
      </c>
      <c r="C780" s="1" t="n">
        <v>46194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22087-2026</t>
        </is>
      </c>
      <c r="B781" s="1" t="n">
        <v>46153</v>
      </c>
      <c r="C781" s="1" t="n">
        <v>46194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22575-2026</t>
        </is>
      </c>
      <c r="B782" s="1" t="n">
        <v>46155</v>
      </c>
      <c r="C782" s="1" t="n">
        <v>46194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16844-2026</t>
        </is>
      </c>
      <c r="B783" s="1" t="n">
        <v>46113</v>
      </c>
      <c r="C783" s="1" t="n">
        <v>46194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16604-2026</t>
        </is>
      </c>
      <c r="B784" s="1" t="n">
        <v>46112</v>
      </c>
      <c r="C784" s="1" t="n">
        <v>46194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16651-2026</t>
        </is>
      </c>
      <c r="B785" s="1" t="n">
        <v>46112</v>
      </c>
      <c r="C785" s="1" t="n">
        <v>46194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22576-2026</t>
        </is>
      </c>
      <c r="B786" s="1" t="n">
        <v>46155</v>
      </c>
      <c r="C786" s="1" t="n">
        <v>46194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16631-2026</t>
        </is>
      </c>
      <c r="B787" s="1" t="n">
        <v>46112</v>
      </c>
      <c r="C787" s="1" t="n">
        <v>46194</v>
      </c>
      <c r="D787" t="inlineStr">
        <is>
          <t>KALMAR LÄN</t>
        </is>
      </c>
      <c r="E787" t="inlineStr">
        <is>
          <t>NYBRO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16634-2026</t>
        </is>
      </c>
      <c r="B788" s="1" t="n">
        <v>46112</v>
      </c>
      <c r="C788" s="1" t="n">
        <v>46194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16584-2026</t>
        </is>
      </c>
      <c r="B789" s="1" t="n">
        <v>46112</v>
      </c>
      <c r="C789" s="1" t="n">
        <v>46194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22872-2026</t>
        </is>
      </c>
      <c r="B790" s="1" t="n">
        <v>46160</v>
      </c>
      <c r="C790" s="1" t="n">
        <v>46194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17607-2026</t>
        </is>
      </c>
      <c r="B791" s="1" t="n">
        <v>46121</v>
      </c>
      <c r="C791" s="1" t="n">
        <v>46194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17432-2026</t>
        </is>
      </c>
      <c r="B792" s="1" t="n">
        <v>46120</v>
      </c>
      <c r="C792" s="1" t="n">
        <v>46194</v>
      </c>
      <c r="D792" t="inlineStr">
        <is>
          <t>KALMAR LÄN</t>
        </is>
      </c>
      <c r="E792" t="inlineStr">
        <is>
          <t>NYBRO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17957-2026</t>
        </is>
      </c>
      <c r="B793" s="1" t="n">
        <v>46122</v>
      </c>
      <c r="C793" s="1" t="n">
        <v>46194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17871-2026</t>
        </is>
      </c>
      <c r="B794" s="1" t="n">
        <v>46122</v>
      </c>
      <c r="C794" s="1" t="n">
        <v>46194</v>
      </c>
      <c r="D794" t="inlineStr">
        <is>
          <t>KALMAR LÄN</t>
        </is>
      </c>
      <c r="E794" t="inlineStr">
        <is>
          <t>NYBRO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23964-2026</t>
        </is>
      </c>
      <c r="B795" s="1" t="n">
        <v>46167</v>
      </c>
      <c r="C795" s="1" t="n">
        <v>46194</v>
      </c>
      <c r="D795" t="inlineStr">
        <is>
          <t>KALMAR LÄN</t>
        </is>
      </c>
      <c r="E795" t="inlineStr">
        <is>
          <t>NYBRO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18110-2026</t>
        </is>
      </c>
      <c r="B796" s="1" t="n">
        <v>46125</v>
      </c>
      <c r="C796" s="1" t="n">
        <v>46194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18090-2026</t>
        </is>
      </c>
      <c r="B797" s="1" t="n">
        <v>46125</v>
      </c>
      <c r="C797" s="1" t="n">
        <v>46194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18465-2026</t>
        </is>
      </c>
      <c r="B798" s="1" t="n">
        <v>46127</v>
      </c>
      <c r="C798" s="1" t="n">
        <v>46194</v>
      </c>
      <c r="D798" t="inlineStr">
        <is>
          <t>KALMAR LÄN</t>
        </is>
      </c>
      <c r="E798" t="inlineStr">
        <is>
          <t>NYBRO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18515-2026</t>
        </is>
      </c>
      <c r="B799" s="1" t="n">
        <v>46127</v>
      </c>
      <c r="C799" s="1" t="n">
        <v>46194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24040-2026</t>
        </is>
      </c>
      <c r="B800" s="1" t="n">
        <v>46168</v>
      </c>
      <c r="C800" s="1" t="n">
        <v>46194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24614-2026</t>
        </is>
      </c>
      <c r="B801" s="1" t="n">
        <v>46169</v>
      </c>
      <c r="C801" s="1" t="n">
        <v>46194</v>
      </c>
      <c r="D801" t="inlineStr">
        <is>
          <t>KALMAR LÄN</t>
        </is>
      </c>
      <c r="E801" t="inlineStr">
        <is>
          <t>NYBRO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19577-2026</t>
        </is>
      </c>
      <c r="B802" s="1" t="n">
        <v>46134</v>
      </c>
      <c r="C802" s="1" t="n">
        <v>46194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19457-2026</t>
        </is>
      </c>
      <c r="B803" s="1" t="n">
        <v>46133</v>
      </c>
      <c r="C803" s="1" t="n">
        <v>46194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19515-2026</t>
        </is>
      </c>
      <c r="B804" s="1" t="n">
        <v>46134</v>
      </c>
      <c r="C804" s="1" t="n">
        <v>46194</v>
      </c>
      <c r="D804" t="inlineStr">
        <is>
          <t>KALMAR LÄN</t>
        </is>
      </c>
      <c r="E804" t="inlineStr">
        <is>
          <t>NYBRO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19570-2026</t>
        </is>
      </c>
      <c r="B805" s="1" t="n">
        <v>46134</v>
      </c>
      <c r="C805" s="1" t="n">
        <v>46194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19567-2026</t>
        </is>
      </c>
      <c r="B806" s="1" t="n">
        <v>46134</v>
      </c>
      <c r="C806" s="1" t="n">
        <v>46194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25131-2026</t>
        </is>
      </c>
      <c r="B807" s="1" t="n">
        <v>46175</v>
      </c>
      <c r="C807" s="1" t="n">
        <v>46194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25143-2026</t>
        </is>
      </c>
      <c r="B808" s="1" t="n">
        <v>46175</v>
      </c>
      <c r="C808" s="1" t="n">
        <v>46194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19474-2026</t>
        </is>
      </c>
      <c r="B809" s="1" t="n">
        <v>46133</v>
      </c>
      <c r="C809" s="1" t="n">
        <v>46194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31076-2021</t>
        </is>
      </c>
      <c r="B810" s="1" t="n">
        <v>44368</v>
      </c>
      <c r="C810" s="1" t="n">
        <v>46194</v>
      </c>
      <c r="D810" t="inlineStr">
        <is>
          <t>KALMAR LÄN</t>
        </is>
      </c>
      <c r="E810" t="inlineStr">
        <is>
          <t>NYBRO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28676-2024</t>
        </is>
      </c>
      <c r="B811" s="1" t="n">
        <v>45478</v>
      </c>
      <c r="C811" s="1" t="n">
        <v>46194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54616-2025</t>
        </is>
      </c>
      <c r="B812" s="1" t="n">
        <v>45966</v>
      </c>
      <c r="C812" s="1" t="n">
        <v>46194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10005-2024</t>
        </is>
      </c>
      <c r="B813" s="1" t="n">
        <v>45363</v>
      </c>
      <c r="C813" s="1" t="n">
        <v>46194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43909-2025</t>
        </is>
      </c>
      <c r="B814" s="1" t="n">
        <v>45914</v>
      </c>
      <c r="C814" s="1" t="n">
        <v>46194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47616-2025</t>
        </is>
      </c>
      <c r="B815" s="1" t="n">
        <v>45930</v>
      </c>
      <c r="C815" s="1" t="n">
        <v>46194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28756-2025</t>
        </is>
      </c>
      <c r="B816" s="1" t="n">
        <v>45820</v>
      </c>
      <c r="C816" s="1" t="n">
        <v>46194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33317-2025</t>
        </is>
      </c>
      <c r="B817" s="1" t="n">
        <v>45841</v>
      </c>
      <c r="C817" s="1" t="n">
        <v>46194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54848-2025</t>
        </is>
      </c>
      <c r="B818" s="1" t="n">
        <v>45966</v>
      </c>
      <c r="C818" s="1" t="n">
        <v>46194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7423-2025</t>
        </is>
      </c>
      <c r="B819" s="1" t="n">
        <v>45705</v>
      </c>
      <c r="C819" s="1" t="n">
        <v>46194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51588-2025</t>
        </is>
      </c>
      <c r="B820" s="1" t="n">
        <v>45951</v>
      </c>
      <c r="C820" s="1" t="n">
        <v>46194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28683-2024</t>
        </is>
      </c>
      <c r="B821" s="1" t="n">
        <v>45478</v>
      </c>
      <c r="C821" s="1" t="n">
        <v>46194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25717-2026</t>
        </is>
      </c>
      <c r="B822" s="1" t="n">
        <v>46178</v>
      </c>
      <c r="C822" s="1" t="n">
        <v>46194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45497-2024</t>
        </is>
      </c>
      <c r="B823" s="1" t="n">
        <v>45577</v>
      </c>
      <c r="C823" s="1" t="n">
        <v>46194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57489-2025</t>
        </is>
      </c>
      <c r="B824" s="1" t="n">
        <v>45980</v>
      </c>
      <c r="C824" s="1" t="n">
        <v>46194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47627-2025</t>
        </is>
      </c>
      <c r="B825" s="1" t="n">
        <v>45931</v>
      </c>
      <c r="C825" s="1" t="n">
        <v>46194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14085-2024</t>
        </is>
      </c>
      <c r="B826" s="1" t="n">
        <v>45392</v>
      </c>
      <c r="C826" s="1" t="n">
        <v>46194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35635-2025</t>
        </is>
      </c>
      <c r="B827" s="1" t="n">
        <v>45859</v>
      </c>
      <c r="C827" s="1" t="n">
        <v>46194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25714-2026</t>
        </is>
      </c>
      <c r="B828" s="1" t="n">
        <v>46178</v>
      </c>
      <c r="C828" s="1" t="n">
        <v>46194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25510-2026</t>
        </is>
      </c>
      <c r="B829" s="1" t="n">
        <v>46177</v>
      </c>
      <c r="C829" s="1" t="n">
        <v>46194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56574-2025</t>
        </is>
      </c>
      <c r="B830" s="1" t="n">
        <v>45975</v>
      </c>
      <c r="C830" s="1" t="n">
        <v>46194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60706-2024</t>
        </is>
      </c>
      <c r="B831" s="1" t="n">
        <v>45644</v>
      </c>
      <c r="C831" s="1" t="n">
        <v>46194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39354-2024</t>
        </is>
      </c>
      <c r="B832" s="1" t="n">
        <v>45551</v>
      </c>
      <c r="C832" s="1" t="n">
        <v>46194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25598-2026</t>
        </is>
      </c>
      <c r="B833" s="1" t="n">
        <v>46177</v>
      </c>
      <c r="C833" s="1" t="n">
        <v>46194</v>
      </c>
      <c r="D833" t="inlineStr">
        <is>
          <t>KALMAR LÄN</t>
        </is>
      </c>
      <c r="E833" t="inlineStr">
        <is>
          <t>NYBRO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47632-2025</t>
        </is>
      </c>
      <c r="B834" s="1" t="n">
        <v>45931</v>
      </c>
      <c r="C834" s="1" t="n">
        <v>46194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35931-2025</t>
        </is>
      </c>
      <c r="B835" s="1" t="n">
        <v>45862</v>
      </c>
      <c r="C835" s="1" t="n">
        <v>46194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9106-2025</t>
        </is>
      </c>
      <c r="B836" s="1" t="n">
        <v>45713</v>
      </c>
      <c r="C836" s="1" t="n">
        <v>46194</v>
      </c>
      <c r="D836" t="inlineStr">
        <is>
          <t>KALMAR LÄN</t>
        </is>
      </c>
      <c r="E836" t="inlineStr">
        <is>
          <t>NYBRO</t>
        </is>
      </c>
      <c r="G836" t="n">
        <v>13.2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38780-2025</t>
        </is>
      </c>
      <c r="B837" s="1" t="n">
        <v>45887</v>
      </c>
      <c r="C837" s="1" t="n">
        <v>46194</v>
      </c>
      <c r="D837" t="inlineStr">
        <is>
          <t>KALMAR LÄN</t>
        </is>
      </c>
      <c r="E837" t="inlineStr">
        <is>
          <t>NYBRO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4405-2024</t>
        </is>
      </c>
      <c r="B838" s="1" t="n">
        <v>45327</v>
      </c>
      <c r="C838" s="1" t="n">
        <v>46194</v>
      </c>
      <c r="D838" t="inlineStr">
        <is>
          <t>KALMAR LÄN</t>
        </is>
      </c>
      <c r="E838" t="inlineStr">
        <is>
          <t>NYBRO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5906-2026</t>
        </is>
      </c>
      <c r="B839" s="1" t="n">
        <v>46052</v>
      </c>
      <c r="C839" s="1" t="n">
        <v>46194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26208-2026</t>
        </is>
      </c>
      <c r="B840" s="1" t="n">
        <v>46182</v>
      </c>
      <c r="C840" s="1" t="n">
        <v>46194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23577-2023</t>
        </is>
      </c>
      <c r="B841" s="1" t="n">
        <v>45077</v>
      </c>
      <c r="C841" s="1" t="n">
        <v>46194</v>
      </c>
      <c r="D841" t="inlineStr">
        <is>
          <t>KALMAR LÄN</t>
        </is>
      </c>
      <c r="E841" t="inlineStr">
        <is>
          <t>NYBRO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50753-2025</t>
        </is>
      </c>
      <c r="B842" s="1" t="n">
        <v>45946</v>
      </c>
      <c r="C842" s="1" t="n">
        <v>46194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36162-2024</t>
        </is>
      </c>
      <c r="B843" s="1" t="n">
        <v>45534</v>
      </c>
      <c r="C843" s="1" t="n">
        <v>46194</v>
      </c>
      <c r="D843" t="inlineStr">
        <is>
          <t>KALMAR LÄN</t>
        </is>
      </c>
      <c r="E843" t="inlineStr">
        <is>
          <t>NYBRO</t>
        </is>
      </c>
      <c r="G843" t="n">
        <v>13.2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43982-2024</t>
        </is>
      </c>
      <c r="B844" s="1" t="n">
        <v>45572</v>
      </c>
      <c r="C844" s="1" t="n">
        <v>46194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2026-06-21T00:45:26Z</dcterms:created>
  <dcterms:modified xmlns:dcterms="http://purl.org/dc/terms/" xmlns:xsi="http://www.w3.org/2001/XMLSchema-instance" xsi:type="dcterms:W3CDTF">2026-06-21T00:45:27Z</dcterms:modified>
</cp:coreProperties>
</file>