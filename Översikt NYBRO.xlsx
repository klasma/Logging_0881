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46312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46312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46312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46312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46312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46312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46312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46312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46312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46312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46312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46312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22080-2026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46312</v>
      </c>
      <c r="F21" t="inlineStr">
        <is>
          <t>KALMAR LÄN</t>
        </is>
      </c>
      <c r="G21" t="inlineStr">
        <is>
          <t>NYBRO</t>
        </is>
      </c>
      <c r="H21" t="inlineStr">
        <is>
          <t>Sveaskog</t>
        </is>
      </c>
      <c r="I21" t="n">
        <v>2.1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Göktyta
Sparvuggla
Talltita
Spillkråka</t>
        </is>
      </c>
      <c r="W21">
        <f>HYPERLINK("https://klasma.github.io/Logging_0881/artfynd/A 22080-2026 artfynd.xlsx", "A 22080-2026")</f>
        <v/>
      </c>
      <c r="X21">
        <f>HYPERLINK("https://klasma.github.io/Logging_0881/kartor/A 22080-2026 karta.png", "A 22080-2026")</f>
        <v/>
      </c>
      <c r="Y21">
        <f>HYPERLINK("https://klasma.github.io/Logging_0881/kartor_geotiff/A 22080-2026 georefererad karta.tif", "A 22080-2026")</f>
        <v/>
      </c>
      <c r="AA21">
        <f>HYPERLINK("https://klasma.github.io/Logging_0881/klagomål/A 22080-2026 FSC-klagomål.docx", "A 22080-2026")</f>
        <v/>
      </c>
      <c r="AB21">
        <f>HYPERLINK("https://klasma.github.io/Logging_0881/klagomålsmail/A 22080-2026 FSC-klagomål mail.docx", "A 22080-2026")</f>
        <v/>
      </c>
      <c r="AC21">
        <f>HYPERLINK("https://klasma.github.io/Logging_0881/tillsyn/A 22080-2026 tillsynsbegäran.docx", "A 22080-2026")</f>
        <v/>
      </c>
      <c r="AD21">
        <f>HYPERLINK("https://klasma.github.io/Logging_0881/tillsynsmail/A 22080-2026 tillsynsbegäran mail.docx", "A 22080-2026")</f>
        <v/>
      </c>
      <c r="AE21">
        <f>HYPERLINK("https://klasma.github.io/Logging_0881/fåglar/A 22080-2026 prioriterade fågelarter.docx", "A 22080-2026")</f>
        <v/>
      </c>
    </row>
    <row r="22" ht="15" customHeight="1">
      <c r="A22" t="inlineStr">
        <is>
          <t>A 23739-2026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46164</v>
      </c>
      <c r="E22" s="1" t="n">
        <v>46312</v>
      </c>
      <c r="F22" t="inlineStr">
        <is>
          <t>KALMAR LÄN</t>
        </is>
      </c>
      <c r="G22" t="inlineStr">
        <is>
          <t>NYBRO</t>
        </is>
      </c>
      <c r="I22" t="n">
        <v>2.2</v>
      </c>
      <c r="J22" t="n">
        <v>3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Sandödla
Ekoxe
Myskbock
Vanlig groda</t>
        </is>
      </c>
      <c r="W22">
        <f>HYPERLINK("https://klasma.github.io/Logging_0881/artfynd/A 23739-2026 artfynd.xlsx", "A 23739-2026")</f>
        <v/>
      </c>
      <c r="X22">
        <f>HYPERLINK("https://klasma.github.io/Logging_0881/kartor/A 23739-2026 karta.png", "A 23739-2026")</f>
        <v/>
      </c>
      <c r="Y22">
        <f>HYPERLINK("https://klasma.github.io/Logging_0881/kartor_geotiff/A 23739-2026 georefererad karta.tif", "A 23739-2026")</f>
        <v/>
      </c>
      <c r="AA22">
        <f>HYPERLINK("https://klasma.github.io/Logging_0881/klagomål/A 23739-2026 FSC-klagomål.docx", "A 23739-2026")</f>
        <v/>
      </c>
      <c r="AB22">
        <f>HYPERLINK("https://klasma.github.io/Logging_0881/klagomålsmail/A 23739-2026 FSC-klagomål mail.docx", "A 23739-2026")</f>
        <v/>
      </c>
      <c r="AC22">
        <f>HYPERLINK("https://klasma.github.io/Logging_0881/tillsyn/A 23739-2026 tillsynsbegäran.docx", "A 23739-2026")</f>
        <v/>
      </c>
      <c r="AD22">
        <f>HYPERLINK("https://klasma.github.io/Logging_0881/tillsynsmail/A 23739-2026 tillsynsbegäran mail.docx", "A 23739-2026")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46312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46312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46312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46312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26695-2023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46312</v>
      </c>
      <c r="F27" t="inlineStr">
        <is>
          <t>KALMAR LÄN</t>
        </is>
      </c>
      <c r="G27" t="inlineStr">
        <is>
          <t>NYBRO</t>
        </is>
      </c>
      <c r="I27" t="n">
        <v>1.4</v>
      </c>
      <c r="J27" t="n">
        <v>3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Talltita
Vågbandad barkbock
Kungsfågel</t>
        </is>
      </c>
      <c r="W27">
        <f>HYPERLINK("https://klasma.github.io/Logging_0881/artfynd/A 26695-2023 artfynd.xlsx", "A 26695-2023")</f>
        <v/>
      </c>
      <c r="X27">
        <f>HYPERLINK("https://klasma.github.io/Logging_0881/kartor/A 26695-2023 karta.png", "A 26695-2023")</f>
        <v/>
      </c>
      <c r="Y27">
        <f>HYPERLINK("https://klasma.github.io/Logging_0881/kartor_geotiff/A 26695-2023 georefererad karta.tif", "A 26695-2023")</f>
        <v/>
      </c>
      <c r="AA27">
        <f>HYPERLINK("https://klasma.github.io/Logging_0881/klagomål/A 26695-2023 FSC-klagomål.docx", "A 26695-2023")</f>
        <v/>
      </c>
      <c r="AB27">
        <f>HYPERLINK("https://klasma.github.io/Logging_0881/klagomålsmail/A 26695-2023 FSC-klagomål mail.docx", "A 26695-2023")</f>
        <v/>
      </c>
      <c r="AC27">
        <f>HYPERLINK("https://klasma.github.io/Logging_0881/tillsyn/A 26695-2023 tillsynsbegäran.docx", "A 26695-2023")</f>
        <v/>
      </c>
      <c r="AD27">
        <f>HYPERLINK("https://klasma.github.io/Logging_0881/tillsynsmail/A 26695-2023 tillsynsbegäran mail.docx", "A 26695-2023")</f>
        <v/>
      </c>
      <c r="AE27">
        <f>HYPERLINK("https://klasma.github.io/Logging_0881/fåglar/A 26695-2023 prioriterade fågelarter.docx", "A 26695-2023")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46312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46312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46312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46312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8303-2024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46312</v>
      </c>
      <c r="F32" t="inlineStr">
        <is>
          <t>KALMAR LÄN</t>
        </is>
      </c>
      <c r="G32" t="inlineStr">
        <is>
          <t>NYBRO</t>
        </is>
      </c>
      <c r="I32" t="n">
        <v>1.9</v>
      </c>
      <c r="J32" t="n">
        <v>0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4</v>
      </c>
      <c r="U32" t="n">
        <v>1</v>
      </c>
      <c r="V32" s="2" t="inlineStr">
        <is>
          <t>Slåttergubbe
Spindelört
Spindelörtskinnbagge</t>
        </is>
      </c>
      <c r="W32">
        <f>HYPERLINK("https://klasma.github.io/Logging_0881/artfynd/A 8303-2024 artfynd.xlsx", "A 8303-2024")</f>
        <v/>
      </c>
      <c r="X32">
        <f>HYPERLINK("https://klasma.github.io/Logging_0881/kartor/A 8303-2024 karta.png", "A 8303-2024")</f>
        <v/>
      </c>
      <c r="Y32">
        <f>HYPERLINK("https://klasma.github.io/Logging_0881/kartor_geotiff/A 8303-2024 georefererad karta.tif", "A 8303-2024")</f>
        <v/>
      </c>
      <c r="AA32">
        <f>HYPERLINK("https://klasma.github.io/Logging_0881/klagomål/A 8303-2024 FSC-klagomål.docx", "A 8303-2024")</f>
        <v/>
      </c>
      <c r="AB32">
        <f>HYPERLINK("https://klasma.github.io/Logging_0881/klagomålsmail/A 8303-2024 FSC-klagomål mail.docx", "A 8303-2024")</f>
        <v/>
      </c>
      <c r="AC32">
        <f>HYPERLINK("https://klasma.github.io/Logging_0881/tillsyn/A 8303-2024 tillsynsbegäran.docx", "A 8303-2024")</f>
        <v/>
      </c>
      <c r="AD32">
        <f>HYPERLINK("https://klasma.github.io/Logging_0881/tillsynsmail/A 8303-2024 tillsynsbegäran mail.docx", "A 8303-2024")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46312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46312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46312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3053-2024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45316</v>
      </c>
      <c r="E36" s="1" t="n">
        <v>46312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Mindre bastardsvärmare
Klubbsprötad bastardsvärmare
Slåtterfibbla</t>
        </is>
      </c>
      <c r="W36">
        <f>HYPERLINK("https://klasma.github.io/Logging_0881/artfynd/A 3053-2024 artfynd.xlsx", "A 3053-2024")</f>
        <v/>
      </c>
      <c r="X36">
        <f>HYPERLINK("https://klasma.github.io/Logging_0881/kartor/A 3053-2024 karta.png", "A 3053-2024")</f>
        <v/>
      </c>
      <c r="Y36">
        <f>HYPERLINK("https://klasma.github.io/Logging_0881/kartor_geotiff/A 3053-2024 georefererad karta.tif", "A 3053-2024")</f>
        <v/>
      </c>
      <c r="AA36">
        <f>HYPERLINK("https://klasma.github.io/Logging_0881/klagomål/A 3053-2024 FSC-klagomål.docx", "A 3053-2024")</f>
        <v/>
      </c>
      <c r="AB36">
        <f>HYPERLINK("https://klasma.github.io/Logging_0881/klagomålsmail/A 3053-2024 FSC-klagomål mail.docx", "A 3053-2024")</f>
        <v/>
      </c>
      <c r="AC36">
        <f>HYPERLINK("https://klasma.github.io/Logging_0881/tillsyn/A 3053-2024 tillsynsbegäran.docx", "A 3053-2024")</f>
        <v/>
      </c>
      <c r="AD36">
        <f>HYPERLINK("https://klasma.github.io/Logging_0881/tillsynsmail/A 3053-2024 tillsynsbegäran mail.docx", "A 3053-2024")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46312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46312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46312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46312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46312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46312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46312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30121-2023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46312</v>
      </c>
      <c r="F44" t="inlineStr">
        <is>
          <t>KALMAR LÄN</t>
        </is>
      </c>
      <c r="G44" t="inlineStr">
        <is>
          <t>NYBRO</t>
        </is>
      </c>
      <c r="H44" t="inlineStr">
        <is>
          <t>Kommuner</t>
        </is>
      </c>
      <c r="I44" t="n">
        <v>4.9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Vanlig flatbagge
Grönsiska</t>
        </is>
      </c>
      <c r="W44">
        <f>HYPERLINK("https://klasma.github.io/Logging_0881/artfynd/A 30121-2023 artfynd.xlsx", "A 30121-2023")</f>
        <v/>
      </c>
      <c r="X44">
        <f>HYPERLINK("https://klasma.github.io/Logging_0881/kartor/A 30121-2023 karta.png", "A 30121-2023")</f>
        <v/>
      </c>
      <c r="Y44">
        <f>HYPERLINK("https://klasma.github.io/Logging_0881/kartor_geotiff/A 30121-2023 georefererad karta.tif", "A 30121-2023")</f>
        <v/>
      </c>
      <c r="AA44">
        <f>HYPERLINK("https://klasma.github.io/Logging_0881/klagomål/A 30121-2023 FSC-klagomål.docx", "A 30121-2023")</f>
        <v/>
      </c>
      <c r="AB44">
        <f>HYPERLINK("https://klasma.github.io/Logging_0881/klagomålsmail/A 30121-2023 FSC-klagomål mail.docx", "A 30121-2023")</f>
        <v/>
      </c>
      <c r="AC44">
        <f>HYPERLINK("https://klasma.github.io/Logging_0881/tillsyn/A 30121-2023 tillsynsbegäran.docx", "A 30121-2023")</f>
        <v/>
      </c>
      <c r="AD44">
        <f>HYPERLINK("https://klasma.github.io/Logging_0881/tillsynsmail/A 30121-2023 tillsynsbegäran mail.docx", "A 30121-2023")</f>
        <v/>
      </c>
    </row>
    <row r="45" ht="15" customHeight="1">
      <c r="A45" t="inlineStr">
        <is>
          <t>A 51784-2023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45222</v>
      </c>
      <c r="E45" s="1" t="n">
        <v>46312</v>
      </c>
      <c r="F45" t="inlineStr">
        <is>
          <t>KALMAR LÄN</t>
        </is>
      </c>
      <c r="G45" t="inlineStr">
        <is>
          <t>NYBRO</t>
        </is>
      </c>
      <c r="I45" t="n">
        <v>1.2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Solvända
Tvåblad</t>
        </is>
      </c>
      <c r="W45">
        <f>HYPERLINK("https://klasma.github.io/Logging_0881/artfynd/A 51784-2023 artfynd.xlsx", "A 51784-2023")</f>
        <v/>
      </c>
      <c r="X45">
        <f>HYPERLINK("https://klasma.github.io/Logging_0881/kartor/A 51784-2023 karta.png", "A 51784-2023")</f>
        <v/>
      </c>
      <c r="Y45">
        <f>HYPERLINK("https://klasma.github.io/Logging_0881/kartor_geotiff/A 51784-2023 georefererad karta.tif", "A 51784-2023")</f>
        <v/>
      </c>
      <c r="AA45">
        <f>HYPERLINK("https://klasma.github.io/Logging_0881/klagomål/A 51784-2023 FSC-klagomål.docx", "A 51784-2023")</f>
        <v/>
      </c>
      <c r="AB45">
        <f>HYPERLINK("https://klasma.github.io/Logging_0881/klagomålsmail/A 51784-2023 FSC-klagomål mail.docx", "A 51784-2023")</f>
        <v/>
      </c>
      <c r="AC45">
        <f>HYPERLINK("https://klasma.github.io/Logging_0881/tillsyn/A 51784-2023 tillsynsbegäran.docx", "A 51784-2023")</f>
        <v/>
      </c>
      <c r="AD45">
        <f>HYPERLINK("https://klasma.github.io/Logging_0881/tillsynsmail/A 51784-2023 tillsynsbegäran mail.docx", "A 51784-2023")</f>
        <v/>
      </c>
    </row>
    <row r="46" ht="15" customHeight="1">
      <c r="A46" t="inlineStr">
        <is>
          <t>A 44064-2023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46312</v>
      </c>
      <c r="F46" t="inlineStr">
        <is>
          <t>KALMAR LÄN</t>
        </is>
      </c>
      <c r="G46" t="inlineStr">
        <is>
          <t>NYBRO</t>
        </is>
      </c>
      <c r="I46" t="n">
        <v>1.8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Rostfläck
Sotlav</t>
        </is>
      </c>
      <c r="W46">
        <f>HYPERLINK("https://klasma.github.io/Logging_0881/artfynd/A 44064-2023 artfynd.xlsx", "A 44064-2023")</f>
        <v/>
      </c>
      <c r="X46">
        <f>HYPERLINK("https://klasma.github.io/Logging_0881/kartor/A 44064-2023 karta.png", "A 44064-2023")</f>
        <v/>
      </c>
      <c r="Y46">
        <f>HYPERLINK("https://klasma.github.io/Logging_0881/kartor_geotiff/A 44064-2023 georefererad karta.tif", "A 44064-2023")</f>
        <v/>
      </c>
      <c r="AA46">
        <f>HYPERLINK("https://klasma.github.io/Logging_0881/klagomål/A 44064-2023 FSC-klagomål.docx", "A 44064-2023")</f>
        <v/>
      </c>
      <c r="AB46">
        <f>HYPERLINK("https://klasma.github.io/Logging_0881/klagomålsmail/A 44064-2023 FSC-klagomål mail.docx", "A 44064-2023")</f>
        <v/>
      </c>
      <c r="AC46">
        <f>HYPERLINK("https://klasma.github.io/Logging_0881/tillsyn/A 44064-2023 tillsynsbegäran.docx", "A 44064-2023")</f>
        <v/>
      </c>
      <c r="AD46">
        <f>HYPERLINK("https://klasma.github.io/Logging_0881/tillsynsmail/A 44064-2023 tillsynsbegäran mail.docx", "A 44064-2023")</f>
        <v/>
      </c>
    </row>
    <row r="47" ht="15" customHeight="1">
      <c r="A47" t="inlineStr">
        <is>
          <t>A 22316-2024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46312</v>
      </c>
      <c r="F47" t="inlineStr">
        <is>
          <t>KALMAR LÄN</t>
        </is>
      </c>
      <c r="G47" t="inlineStr">
        <is>
          <t>NYBRO</t>
        </is>
      </c>
      <c r="H47" t="inlineStr">
        <is>
          <t>Sveaskog</t>
        </is>
      </c>
      <c r="I47" t="n">
        <v>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Dvärgpipistrell</t>
        </is>
      </c>
      <c r="W47">
        <f>HYPERLINK("https://klasma.github.io/Logging_0881/artfynd/A 22316-2024 artfynd.xlsx", "A 22316-2024")</f>
        <v/>
      </c>
      <c r="X47">
        <f>HYPERLINK("https://klasma.github.io/Logging_0881/kartor/A 22316-2024 karta.png", "A 22316-2024")</f>
        <v/>
      </c>
      <c r="Y47">
        <f>HYPERLINK("https://klasma.github.io/Logging_0881/kartor_geotiff/A 22316-2024 georefererad karta.tif", "A 22316-2024")</f>
        <v/>
      </c>
      <c r="AA47">
        <f>HYPERLINK("https://klasma.github.io/Logging_0881/klagomål/A 22316-2024 FSC-klagomål.docx", "A 22316-2024")</f>
        <v/>
      </c>
      <c r="AB47">
        <f>HYPERLINK("https://klasma.github.io/Logging_0881/klagomålsmail/A 22316-2024 FSC-klagomål mail.docx", "A 22316-2024")</f>
        <v/>
      </c>
      <c r="AC47">
        <f>HYPERLINK("https://klasma.github.io/Logging_0881/tillsyn/A 22316-2024 tillsynsbegäran.docx", "A 22316-2024")</f>
        <v/>
      </c>
      <c r="AD47">
        <f>HYPERLINK("https://klasma.github.io/Logging_0881/tillsynsmail/A 22316-2024 tillsynsbegäran mail.docx", "A 22316-2024")</f>
        <v/>
      </c>
    </row>
    <row r="48" ht="15" customHeight="1">
      <c r="A48" t="inlineStr">
        <is>
          <t>A 33067-2022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46312</v>
      </c>
      <c r="F48" t="inlineStr">
        <is>
          <t>KALMAR LÄN</t>
        </is>
      </c>
      <c r="G48" t="inlineStr">
        <is>
          <t>NYBRO</t>
        </is>
      </c>
      <c r="I48" t="n">
        <v>14.1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Sommarfibbla
Tjäder</t>
        </is>
      </c>
      <c r="W48">
        <f>HYPERLINK("https://klasma.github.io/Logging_0881/artfynd/A 33067-2022 artfynd.xlsx", "A 33067-2022")</f>
        <v/>
      </c>
      <c r="X48">
        <f>HYPERLINK("https://klasma.github.io/Logging_0881/kartor/A 33067-2022 karta.png", "A 33067-2022")</f>
        <v/>
      </c>
      <c r="Y48">
        <f>HYPERLINK("https://klasma.github.io/Logging_0881/kartor_geotiff/A 33067-2022 georefererad karta.tif", "A 33067-2022")</f>
        <v/>
      </c>
      <c r="AA48">
        <f>HYPERLINK("https://klasma.github.io/Logging_0881/klagomål/A 33067-2022 FSC-klagomål.docx", "A 33067-2022")</f>
        <v/>
      </c>
      <c r="AB48">
        <f>HYPERLINK("https://klasma.github.io/Logging_0881/klagomålsmail/A 33067-2022 FSC-klagomål mail.docx", "A 33067-2022")</f>
        <v/>
      </c>
      <c r="AC48">
        <f>HYPERLINK("https://klasma.github.io/Logging_0881/tillsyn/A 33067-2022 tillsynsbegäran.docx", "A 33067-2022")</f>
        <v/>
      </c>
      <c r="AD48">
        <f>HYPERLINK("https://klasma.github.io/Logging_0881/tillsynsmail/A 33067-2022 tillsynsbegäran mail.docx", "A 33067-2022")</f>
        <v/>
      </c>
      <c r="AE48">
        <f>HYPERLINK("https://klasma.github.io/Logging_0881/fåglar/A 33067-2022 prioriterade fågelarter.docx", "A 33067-2022")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46312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46312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46312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23106-2023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46312</v>
      </c>
      <c r="F52" t="inlineStr">
        <is>
          <t>KALMAR LÄN</t>
        </is>
      </c>
      <c r="G52" t="inlineStr">
        <is>
          <t>NYBRO</t>
        </is>
      </c>
      <c r="I52" t="n">
        <v>9.6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Fjällig taggsvamp s.str.
Grovticka</t>
        </is>
      </c>
      <c r="W52">
        <f>HYPERLINK("https://klasma.github.io/Logging_0881/artfynd/A 23106-2023 artfynd.xlsx", "A 23106-2023")</f>
        <v/>
      </c>
      <c r="X52">
        <f>HYPERLINK("https://klasma.github.io/Logging_0881/kartor/A 23106-2023 karta.png", "A 23106-2023")</f>
        <v/>
      </c>
      <c r="Y52">
        <f>HYPERLINK("https://klasma.github.io/Logging_0881/kartor_geotiff/A 23106-2023 georefererad karta.tif", "A 23106-2023")</f>
        <v/>
      </c>
      <c r="AA52">
        <f>HYPERLINK("https://klasma.github.io/Logging_0881/klagomål/A 23106-2023 FSC-klagomål.docx", "A 23106-2023")</f>
        <v/>
      </c>
      <c r="AB52">
        <f>HYPERLINK("https://klasma.github.io/Logging_0881/klagomålsmail/A 23106-2023 FSC-klagomål mail.docx", "A 23106-2023")</f>
        <v/>
      </c>
      <c r="AC52">
        <f>HYPERLINK("https://klasma.github.io/Logging_0881/tillsyn/A 23106-2023 tillsynsbegäran.docx", "A 23106-2023")</f>
        <v/>
      </c>
      <c r="AD52">
        <f>HYPERLINK("https://klasma.github.io/Logging_0881/tillsynsmail/A 23106-2023 tillsynsbegäran mail.docx", "A 23106-2023")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46312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46312</v>
      </c>
      <c r="F54" t="inlineStr">
        <is>
          <t>KALMAR LÄN</t>
        </is>
      </c>
      <c r="G54" t="inlineStr">
        <is>
          <t>NYBRO</t>
        </is>
      </c>
      <c r="I54" t="n">
        <v>2.6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Nordfladdermus
Större brunfladdermus</t>
        </is>
      </c>
      <c r="W54">
        <f>HYPERLINK("https://klasma.github.io/Logging_0881/artfynd/A 51406-2022 artfynd.xlsx", "A 51406-2022")</f>
        <v/>
      </c>
      <c r="X54">
        <f>HYPERLINK("https://klasma.github.io/Logging_0881/kartor/A 51406-2022 karta.png", "A 51406-2022")</f>
        <v/>
      </c>
      <c r="Y54">
        <f>HYPERLINK("https://klasma.github.io/Logging_0881/kartor_geotiff/A 51406-2022 georefererad karta.tif", "A 51406-2022")</f>
        <v/>
      </c>
      <c r="AA54">
        <f>HYPERLINK("https://klasma.github.io/Logging_0881/klagomål/A 51406-2022 FSC-klagomål.docx", "A 51406-2022")</f>
        <v/>
      </c>
      <c r="AB54">
        <f>HYPERLINK("https://klasma.github.io/Logging_0881/klagomålsmail/A 51406-2022 FSC-klagomål mail.docx", "A 51406-2022")</f>
        <v/>
      </c>
      <c r="AC54">
        <f>HYPERLINK("https://klasma.github.io/Logging_0881/tillsyn/A 51406-2022 tillsynsbegäran.docx", "A 51406-2022")</f>
        <v/>
      </c>
      <c r="AD54">
        <f>HYPERLINK("https://klasma.github.io/Logging_0881/tillsynsmail/A 51406-2022 tillsynsbegäran mail.docx", "A 51406-2022")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46312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61771-2022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46312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10.4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Talltita
Kungsfågel</t>
        </is>
      </c>
      <c r="W56">
        <f>HYPERLINK("https://klasma.github.io/Logging_0881/artfynd/A 61771-2022 artfynd.xlsx", "A 61771-2022")</f>
        <v/>
      </c>
      <c r="X56">
        <f>HYPERLINK("https://klasma.github.io/Logging_0881/kartor/A 61771-2022 karta.png", "A 61771-2022")</f>
        <v/>
      </c>
      <c r="Y56">
        <f>HYPERLINK("https://klasma.github.io/Logging_0881/kartor_geotiff/A 61771-2022 georefererad karta.tif", "A 61771-2022")</f>
        <v/>
      </c>
      <c r="AA56">
        <f>HYPERLINK("https://klasma.github.io/Logging_0881/klagomål/A 61771-2022 FSC-klagomål.docx", "A 61771-2022")</f>
        <v/>
      </c>
      <c r="AB56">
        <f>HYPERLINK("https://klasma.github.io/Logging_0881/klagomålsmail/A 61771-2022 FSC-klagomål mail.docx", "A 61771-2022")</f>
        <v/>
      </c>
      <c r="AC56">
        <f>HYPERLINK("https://klasma.github.io/Logging_0881/tillsyn/A 61771-2022 tillsynsbegäran.docx", "A 61771-2022")</f>
        <v/>
      </c>
      <c r="AD56">
        <f>HYPERLINK("https://klasma.github.io/Logging_0881/tillsynsmail/A 61771-2022 tillsynsbegäran mail.docx", "A 61771-2022")</f>
        <v/>
      </c>
      <c r="AE56">
        <f>HYPERLINK("https://klasma.github.io/Logging_0881/fåglar/A 61771-2022 prioriterade fågelarter.docx", "A 61771-2022")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46312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41164-2023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46312</v>
      </c>
      <c r="F58" t="inlineStr">
        <is>
          <t>KALMAR LÄN</t>
        </is>
      </c>
      <c r="G58" t="inlineStr">
        <is>
          <t>NYBRO</t>
        </is>
      </c>
      <c r="I58" t="n">
        <v>1.2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Tallticka</t>
        </is>
      </c>
      <c r="W58">
        <f>HYPERLINK("https://klasma.github.io/Logging_0881/artfynd/A 41164-2023 artfynd.xlsx", "A 41164-2023")</f>
        <v/>
      </c>
      <c r="X58">
        <f>HYPERLINK("https://klasma.github.io/Logging_0881/kartor/A 41164-2023 karta.png", "A 41164-2023")</f>
        <v/>
      </c>
      <c r="Y58">
        <f>HYPERLINK("https://klasma.github.io/Logging_0881/kartor_geotiff/A 41164-2023 georefererad karta.tif", "A 41164-2023")</f>
        <v/>
      </c>
      <c r="AA58">
        <f>HYPERLINK("https://klasma.github.io/Logging_0881/klagomål/A 41164-2023 FSC-klagomål.docx", "A 41164-2023")</f>
        <v/>
      </c>
      <c r="AB58">
        <f>HYPERLINK("https://klasma.github.io/Logging_0881/klagomålsmail/A 41164-2023 FSC-klagomål mail.docx", "A 41164-2023")</f>
        <v/>
      </c>
      <c r="AC58">
        <f>HYPERLINK("https://klasma.github.io/Logging_0881/tillsyn/A 41164-2023 tillsynsbegäran.docx", "A 41164-2023")</f>
        <v/>
      </c>
      <c r="AD58">
        <f>HYPERLINK("https://klasma.github.io/Logging_0881/tillsynsmail/A 41164-2023 tillsynsbegäran mail.docx", "A 41164-2023")</f>
        <v/>
      </c>
      <c r="AE58">
        <f>HYPERLINK("https://klasma.github.io/Logging_0881/fåglar/A 41164-2023 prioriterade fågelarter.docx", "A 41164-2023")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46312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Mattlummer
Nattskärra</t>
        </is>
      </c>
      <c r="W59">
        <f>HYPERLINK("https://klasma.github.io/Logging_0881/artfynd/A 28880-2023 artfynd.xlsx", "A 28880-2023")</f>
        <v/>
      </c>
      <c r="X59">
        <f>HYPERLINK("https://klasma.github.io/Logging_0881/kartor/A 28880-2023 karta.png", "A 28880-2023")</f>
        <v/>
      </c>
      <c r="Y59">
        <f>HYPERLINK("https://klasma.github.io/Logging_0881/kartor_geotiff/A 28880-2023 georefererad karta.tif", "A 28880-2023")</f>
        <v/>
      </c>
      <c r="AA59">
        <f>HYPERLINK("https://klasma.github.io/Logging_0881/klagomål/A 28880-2023 FSC-klagomål.docx", "A 28880-2023")</f>
        <v/>
      </c>
      <c r="AB59">
        <f>HYPERLINK("https://klasma.github.io/Logging_0881/klagomålsmail/A 28880-2023 FSC-klagomål mail.docx", "A 28880-2023")</f>
        <v/>
      </c>
      <c r="AC59">
        <f>HYPERLINK("https://klasma.github.io/Logging_0881/tillsyn/A 28880-2023 tillsynsbegäran.docx", "A 28880-2023")</f>
        <v/>
      </c>
      <c r="AD59">
        <f>HYPERLINK("https://klasma.github.io/Logging_0881/tillsynsmail/A 28880-2023 tillsynsbegäran mail.docx", "A 28880-2023")</f>
        <v/>
      </c>
      <c r="AE59">
        <f>HYPERLINK("https://klasma.github.io/Logging_0881/fåglar/A 28880-2023 prioriterade fågelarter.docx", "A 28880-2023")</f>
        <v/>
      </c>
    </row>
    <row r="60" ht="15" customHeight="1">
      <c r="A60" t="inlineStr">
        <is>
          <t>A 9153-2023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44980</v>
      </c>
      <c r="E60" s="1" t="n">
        <v>46312</v>
      </c>
      <c r="F60" t="inlineStr">
        <is>
          <t>KALMAR LÄN</t>
        </is>
      </c>
      <c r="G60" t="inlineStr">
        <is>
          <t>NYBRO</t>
        </is>
      </c>
      <c r="I60" t="n">
        <v>2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Sandödla
Mindre hackspett</t>
        </is>
      </c>
      <c r="W60">
        <f>HYPERLINK("https://klasma.github.io/Logging_0881/artfynd/A 9153-2023 artfynd.xlsx", "A 9153-2023")</f>
        <v/>
      </c>
      <c r="X60">
        <f>HYPERLINK("https://klasma.github.io/Logging_0881/kartor/A 9153-2023 karta.png", "A 9153-2023")</f>
        <v/>
      </c>
      <c r="Y60">
        <f>HYPERLINK("https://klasma.github.io/Logging_0881/kartor_geotiff/A 9153-2023 georefererad karta.tif", "A 9153-2023")</f>
        <v/>
      </c>
      <c r="AA60">
        <f>HYPERLINK("https://klasma.github.io/Logging_0881/klagomål/A 9153-2023 FSC-klagomål.docx", "A 9153-2023")</f>
        <v/>
      </c>
      <c r="AB60">
        <f>HYPERLINK("https://klasma.github.io/Logging_0881/klagomålsmail/A 9153-2023 FSC-klagomål mail.docx", "A 9153-2023")</f>
        <v/>
      </c>
      <c r="AC60">
        <f>HYPERLINK("https://klasma.github.io/Logging_0881/tillsyn/A 9153-2023 tillsynsbegäran.docx", "A 9153-2023")</f>
        <v/>
      </c>
      <c r="AD60">
        <f>HYPERLINK("https://klasma.github.io/Logging_0881/tillsynsmail/A 9153-2023 tillsynsbegäran mail.docx", "A 9153-2023")</f>
        <v/>
      </c>
      <c r="AE60">
        <f>HYPERLINK("https://klasma.github.io/Logging_0881/fåglar/A 9153-2023 prioriterade fågelarter.docx", "A 9153-2023")</f>
        <v/>
      </c>
    </row>
    <row r="61" ht="15" customHeight="1">
      <c r="A61" t="inlineStr">
        <is>
          <t>A 26699-2023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46312</v>
      </c>
      <c r="F61" t="inlineStr">
        <is>
          <t>KALMAR LÄN</t>
        </is>
      </c>
      <c r="G61" t="inlineStr">
        <is>
          <t>NYBRO</t>
        </is>
      </c>
      <c r="I61" t="n">
        <v>2.1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Grönhjon
Vågbandad barkbock</t>
        </is>
      </c>
      <c r="W61">
        <f>HYPERLINK("https://klasma.github.io/Logging_0881/artfynd/A 26699-2023 artfynd.xlsx", "A 26699-2023")</f>
        <v/>
      </c>
      <c r="X61">
        <f>HYPERLINK("https://klasma.github.io/Logging_0881/kartor/A 26699-2023 karta.png", "A 26699-2023")</f>
        <v/>
      </c>
      <c r="Y61">
        <f>HYPERLINK("https://klasma.github.io/Logging_0881/kartor_geotiff/A 26699-2023 georefererad karta.tif", "A 26699-2023")</f>
        <v/>
      </c>
      <c r="AA61">
        <f>HYPERLINK("https://klasma.github.io/Logging_0881/klagomål/A 26699-2023 FSC-klagomål.docx", "A 26699-2023")</f>
        <v/>
      </c>
      <c r="AB61">
        <f>HYPERLINK("https://klasma.github.io/Logging_0881/klagomålsmail/A 26699-2023 FSC-klagomål mail.docx", "A 26699-2023")</f>
        <v/>
      </c>
      <c r="AC61">
        <f>HYPERLINK("https://klasma.github.io/Logging_0881/tillsyn/A 26699-2023 tillsynsbegäran.docx", "A 26699-2023")</f>
        <v/>
      </c>
      <c r="AD61">
        <f>HYPERLINK("https://klasma.github.io/Logging_0881/tillsynsmail/A 26699-2023 tillsynsbegäran mail.docx", "A 26699-2023")</f>
        <v/>
      </c>
    </row>
    <row r="62" ht="15" customHeight="1">
      <c r="A62" t="inlineStr">
        <is>
          <t>A 22683-2024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46312</v>
      </c>
      <c r="F62" t="inlineStr">
        <is>
          <t>KALMAR LÄN</t>
        </is>
      </c>
      <c r="G62" t="inlineStr">
        <is>
          <t>NYBRO</t>
        </is>
      </c>
      <c r="I62" t="n">
        <v>6.7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Purpurknipprot
Skogsknipprot</t>
        </is>
      </c>
      <c r="W62">
        <f>HYPERLINK("https://klasma.github.io/Logging_0881/artfynd/A 22683-2024 artfynd.xlsx", "A 22683-2024")</f>
        <v/>
      </c>
      <c r="X62">
        <f>HYPERLINK("https://klasma.github.io/Logging_0881/kartor/A 22683-2024 karta.png", "A 22683-2024")</f>
        <v/>
      </c>
      <c r="Y62">
        <f>HYPERLINK("https://klasma.github.io/Logging_0881/kartor_geotiff/A 22683-2024 georefererad karta.tif", "A 22683-2024")</f>
        <v/>
      </c>
      <c r="AA62">
        <f>HYPERLINK("https://klasma.github.io/Logging_0881/klagomål/A 22683-2024 FSC-klagomål.docx", "A 22683-2024")</f>
        <v/>
      </c>
      <c r="AB62">
        <f>HYPERLINK("https://klasma.github.io/Logging_0881/klagomålsmail/A 22683-2024 FSC-klagomål mail.docx", "A 22683-2024")</f>
        <v/>
      </c>
      <c r="AC62">
        <f>HYPERLINK("https://klasma.github.io/Logging_0881/tillsyn/A 22683-2024 tillsynsbegäran.docx", "A 22683-2024")</f>
        <v/>
      </c>
      <c r="AD62">
        <f>HYPERLINK("https://klasma.github.io/Logging_0881/tillsynsmail/A 22683-2024 tillsynsbegäran mail.docx", "A 22683-2024")</f>
        <v/>
      </c>
    </row>
    <row r="63" ht="15" customHeight="1">
      <c r="A63" t="inlineStr">
        <is>
          <t>A 28131-2025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46312</v>
      </c>
      <c r="F63" t="inlineStr">
        <is>
          <t>KALMAR LÄN</t>
        </is>
      </c>
      <c r="G63" t="inlineStr">
        <is>
          <t>NYBRO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Blåmossa
Spillkråka</t>
        </is>
      </c>
      <c r="W63">
        <f>HYPERLINK("https://klasma.github.io/Logging_0881/artfynd/A 28131-2025 artfynd.xlsx", "A 28131-2025")</f>
        <v/>
      </c>
      <c r="X63">
        <f>HYPERLINK("https://klasma.github.io/Logging_0881/kartor/A 28131-2025 karta.png", "A 28131-2025")</f>
        <v/>
      </c>
      <c r="Y63">
        <f>HYPERLINK("https://klasma.github.io/Logging_0881/kartor_geotiff/A 28131-2025 georefererad karta.tif", "A 28131-2025")</f>
        <v/>
      </c>
      <c r="AA63">
        <f>HYPERLINK("https://klasma.github.io/Logging_0881/klagomål/A 28131-2025 FSC-klagomål.docx", "A 28131-2025")</f>
        <v/>
      </c>
      <c r="AB63">
        <f>HYPERLINK("https://klasma.github.io/Logging_0881/klagomålsmail/A 28131-2025 FSC-klagomål mail.docx", "A 28131-2025")</f>
        <v/>
      </c>
      <c r="AC63">
        <f>HYPERLINK("https://klasma.github.io/Logging_0881/tillsyn/A 28131-2025 tillsynsbegäran.docx", "A 28131-2025")</f>
        <v/>
      </c>
      <c r="AD63">
        <f>HYPERLINK("https://klasma.github.io/Logging_0881/tillsynsmail/A 28131-2025 tillsynsbegäran mail.docx", "A 28131-2025")</f>
        <v/>
      </c>
      <c r="AE63">
        <f>HYPERLINK("https://klasma.github.io/Logging_0881/fåglar/A 28131-2025 prioriterade fågelarter.docx", "A 28131-2025")</f>
        <v/>
      </c>
    </row>
    <row r="64" ht="15" customHeight="1">
      <c r="A64" t="inlineStr">
        <is>
          <t>A 35002-2025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45850</v>
      </c>
      <c r="E64" s="1" t="n">
        <v>46312</v>
      </c>
      <c r="F64" t="inlineStr">
        <is>
          <t>KALMAR LÄN</t>
        </is>
      </c>
      <c r="G64" t="inlineStr">
        <is>
          <t>NYBRO</t>
        </is>
      </c>
      <c r="I64" t="n">
        <v>1.9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Knärot
Blomkålssvamp</t>
        </is>
      </c>
      <c r="W64">
        <f>HYPERLINK("https://klasma.github.io/Logging_0881/artfynd/A 35002-2025 artfynd.xlsx", "A 35002-2025")</f>
        <v/>
      </c>
      <c r="X64">
        <f>HYPERLINK("https://klasma.github.io/Logging_0881/kartor/A 35002-2025 karta.png", "A 35002-2025")</f>
        <v/>
      </c>
      <c r="Y64">
        <f>HYPERLINK("https://klasma.github.io/Logging_0881/kartor_geotiff/A 35002-2025 georefererad karta.tif", "A 35002-2025")</f>
        <v/>
      </c>
      <c r="Z64">
        <f>HYPERLINK("https://klasma.github.io/Logging_0881/knärot/A 35002-2025 karta knärot.png", "A 35002-2025")</f>
        <v/>
      </c>
      <c r="AA64">
        <f>HYPERLINK("https://klasma.github.io/Logging_0881/klagomål/A 35002-2025 FSC-klagomål.docx", "A 35002-2025")</f>
        <v/>
      </c>
      <c r="AB64">
        <f>HYPERLINK("https://klasma.github.io/Logging_0881/klagomålsmail/A 35002-2025 FSC-klagomål mail.docx", "A 35002-2025")</f>
        <v/>
      </c>
      <c r="AC64">
        <f>HYPERLINK("https://klasma.github.io/Logging_0881/tillsyn/A 35002-2025 tillsynsbegäran.docx", "A 35002-2025")</f>
        <v/>
      </c>
      <c r="AD64">
        <f>HYPERLINK("https://klasma.github.io/Logging_0881/tillsynsmail/A 35002-2025 tillsynsbegäran mail.docx", "A 35002-2025")</f>
        <v/>
      </c>
    </row>
    <row r="65" ht="15" customHeight="1">
      <c r="A65" t="inlineStr">
        <is>
          <t>S 5868-2022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44853</v>
      </c>
      <c r="E65" s="1" t="n">
        <v>46312</v>
      </c>
      <c r="F65" t="inlineStr">
        <is>
          <t>KALMAR LÄN</t>
        </is>
      </c>
      <c r="G65" t="inlineStr">
        <is>
          <t>NYBRO</t>
        </is>
      </c>
      <c r="I65" t="n">
        <v>19.2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Almlav
Fällmossa</t>
        </is>
      </c>
      <c r="W65">
        <f>HYPERLINK("https://klasma.github.io/Logging_0881/artfynd/S 5868-2022 artfynd.xlsx", "S 5868-2022")</f>
        <v/>
      </c>
      <c r="X65">
        <f>HYPERLINK("https://klasma.github.io/Logging_0881/kartor/S 5868-2022 karta.png", "S 5868-2022")</f>
        <v/>
      </c>
      <c r="Y65">
        <f>HYPERLINK("https://klasma.github.io/Logging_0881/kartor_geotiff/S 5868-2022 georefererad karta.tif", "S 5868-2022")</f>
        <v/>
      </c>
      <c r="AA65">
        <f>HYPERLINK("https://klasma.github.io/Logging_0881/klagomål/S 5868-2022 FSC-klagomål.docx", "S 5868-2022")</f>
        <v/>
      </c>
      <c r="AB65">
        <f>HYPERLINK("https://klasma.github.io/Logging_0881/klagomålsmail/S 5868-2022 FSC-klagomål mail.docx", "S 5868-2022")</f>
        <v/>
      </c>
      <c r="AC65">
        <f>HYPERLINK("https://klasma.github.io/Logging_0881/tillsyn/S 5868-2022 tillsynsbegäran.docx", "S 5868-2022")</f>
        <v/>
      </c>
      <c r="AD65">
        <f>HYPERLINK("https://klasma.github.io/Logging_0881/tillsynsmail/S 5868-2022 tillsynsbegäran mail.docx", "S 5868-2022")</f>
        <v/>
      </c>
    </row>
    <row r="66" ht="15" customHeight="1">
      <c r="A66" t="inlineStr">
        <is>
          <t>S 418-2024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45335</v>
      </c>
      <c r="E66" s="1" t="n">
        <v>46312</v>
      </c>
      <c r="F66" t="inlineStr">
        <is>
          <t>KALMAR LÄN</t>
        </is>
      </c>
      <c r="G66" t="inlineStr">
        <is>
          <t>NYBRO</t>
        </is>
      </c>
      <c r="I66" t="n">
        <v>9.199999999999999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1</v>
      </c>
      <c r="V66" s="2" t="inlineStr">
        <is>
          <t>Ask
Lopplummer (aggregat)</t>
        </is>
      </c>
      <c r="W66">
        <f>HYPERLINK("https://klasma.github.io/Logging_0881/artfynd/S 418-2024 artfynd.xlsx", "S 418-2024")</f>
        <v/>
      </c>
      <c r="X66">
        <f>HYPERLINK("https://klasma.github.io/Logging_0881/kartor/S 418-2024 karta.png", "S 418-2024")</f>
        <v/>
      </c>
      <c r="Y66">
        <f>HYPERLINK("https://klasma.github.io/Logging_0881/kartor_geotiff/S 418-2024 georefererad karta.tif", "S 418-2024")</f>
        <v/>
      </c>
      <c r="AA66">
        <f>HYPERLINK("https://klasma.github.io/Logging_0881/klagomål/S 418-2024 FSC-klagomål.docx", "S 418-2024")</f>
        <v/>
      </c>
      <c r="AB66">
        <f>HYPERLINK("https://klasma.github.io/Logging_0881/klagomålsmail/S 418-2024 FSC-klagomål mail.docx", "S 418-2024")</f>
        <v/>
      </c>
      <c r="AC66">
        <f>HYPERLINK("https://klasma.github.io/Logging_0881/tillsyn/S 418-2024 tillsynsbegäran.docx", "S 418-2024")</f>
        <v/>
      </c>
      <c r="AD66">
        <f>HYPERLINK("https://klasma.github.io/Logging_0881/tillsynsmail/S 418-2024 tillsynsbegäran mail.docx", "S 418-2024")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46312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46312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46312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46312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46312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46312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46312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48980-2024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46312</v>
      </c>
      <c r="F74" t="inlineStr">
        <is>
          <t>KALMAR LÄN</t>
        </is>
      </c>
      <c r="G74" t="inlineStr">
        <is>
          <t>NYBRO</t>
        </is>
      </c>
      <c r="I74" t="n">
        <v>41.9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Hjärtstilla</t>
        </is>
      </c>
      <c r="W74">
        <f>HYPERLINK("https://klasma.github.io/Logging_0881/artfynd/A 48980-2024 artfynd.xlsx", "A 48980-2024")</f>
        <v/>
      </c>
      <c r="X74">
        <f>HYPERLINK("https://klasma.github.io/Logging_0881/kartor/A 48980-2024 karta.png", "A 48980-2024")</f>
        <v/>
      </c>
      <c r="Y74">
        <f>HYPERLINK("https://klasma.github.io/Logging_0881/kartor_geotiff/A 48980-2024 georefererad karta.tif", "A 48980-2024")</f>
        <v/>
      </c>
      <c r="AA74">
        <f>HYPERLINK("https://klasma.github.io/Logging_0881/klagomål/A 48980-2024 FSC-klagomål.docx", "A 48980-2024")</f>
        <v/>
      </c>
      <c r="AB74">
        <f>HYPERLINK("https://klasma.github.io/Logging_0881/klagomålsmail/A 48980-2024 FSC-klagomål mail.docx", "A 48980-2024")</f>
        <v/>
      </c>
      <c r="AC74">
        <f>HYPERLINK("https://klasma.github.io/Logging_0881/tillsyn/A 48980-2024 tillsynsbegäran.docx", "A 48980-2024")</f>
        <v/>
      </c>
      <c r="AD74">
        <f>HYPERLINK("https://klasma.github.io/Logging_0881/tillsynsmail/A 48980-2024 tillsynsbegäran mail.docx", "A 48980-2024")</f>
        <v/>
      </c>
    </row>
    <row r="75" ht="15" customHeight="1">
      <c r="A75" t="inlineStr">
        <is>
          <t>A 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44966</v>
      </c>
      <c r="E75" s="1" t="n">
        <v>46312</v>
      </c>
      <c r="F75" t="inlineStr">
        <is>
          <t>KALMAR LÄN</t>
        </is>
      </c>
      <c r="G75" t="inlineStr">
        <is>
          <t>NYBRO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Etternässla</t>
        </is>
      </c>
      <c r="W75">
        <f>HYPERLINK("https://klasma.github.io/Logging_0881/artfynd/A 6676-2023 artfynd.xlsx", "A 6676-2023")</f>
        <v/>
      </c>
      <c r="X75">
        <f>HYPERLINK("https://klasma.github.io/Logging_0881/kartor/A 6676-2023 karta.png", "A 6676-2023")</f>
        <v/>
      </c>
      <c r="Y75">
        <f>HYPERLINK("https://klasma.github.io/Logging_0881/kartor_geotiff/A 6676-2023 georefererad karta.tif", "A 6676-2023")</f>
        <v/>
      </c>
      <c r="AA75">
        <f>HYPERLINK("https://klasma.github.io/Logging_0881/klagomål/A 6676-2023 FSC-klagomål.docx", "A 6676-2023")</f>
        <v/>
      </c>
      <c r="AB75">
        <f>HYPERLINK("https://klasma.github.io/Logging_0881/klagomålsmail/A 6676-2023 FSC-klagomål mail.docx", "A 6676-2023")</f>
        <v/>
      </c>
      <c r="AC75">
        <f>HYPERLINK("https://klasma.github.io/Logging_0881/tillsyn/A 6676-2023 tillsynsbegäran.docx", "A 6676-2023")</f>
        <v/>
      </c>
      <c r="AD75">
        <f>HYPERLINK("https://klasma.github.io/Logging_0881/tillsynsmail/A 6676-2023 tillsynsbegäran mail.docx", "A 6676-2023")</f>
        <v/>
      </c>
    </row>
    <row r="76" ht="15" customHeight="1">
      <c r="A76" t="inlineStr">
        <is>
          <t>A 30510-2023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46312</v>
      </c>
      <c r="F76" t="inlineStr">
        <is>
          <t>KALMAR LÄN</t>
        </is>
      </c>
      <c r="G76" t="inlineStr">
        <is>
          <t>NYBRO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HYPERLINK("https://klasma.github.io/Logging_0881/artfynd/A 30510-2023 artfynd.xlsx", "A 30510-2023")</f>
        <v/>
      </c>
      <c r="X76">
        <f>HYPERLINK("https://klasma.github.io/Logging_0881/kartor/A 30510-2023 karta.png", "A 30510-2023")</f>
        <v/>
      </c>
      <c r="Y76">
        <f>HYPERLINK("https://klasma.github.io/Logging_0881/kartor_geotiff/A 30510-2023 georefererad karta.tif", "A 30510-2023")</f>
        <v/>
      </c>
      <c r="AA76">
        <f>HYPERLINK("https://klasma.github.io/Logging_0881/klagomål/A 30510-2023 FSC-klagomål.docx", "A 30510-2023")</f>
        <v/>
      </c>
      <c r="AB76">
        <f>HYPERLINK("https://klasma.github.io/Logging_0881/klagomålsmail/A 30510-2023 FSC-klagomål mail.docx", "A 30510-2023")</f>
        <v/>
      </c>
      <c r="AC76">
        <f>HYPERLINK("https://klasma.github.io/Logging_0881/tillsyn/A 30510-2023 tillsynsbegäran.docx", "A 30510-2023")</f>
        <v/>
      </c>
      <c r="AD76">
        <f>HYPERLINK("https://klasma.github.io/Logging_0881/tillsynsmail/A 30510-2023 tillsynsbegäran mail.docx", "A 30510-2023")</f>
        <v/>
      </c>
      <c r="AE76">
        <f>HYPERLINK("https://klasma.github.io/Logging_0881/fåglar/A 30510-2023 prioriterade fågelarter.docx", "A 30510-2023")</f>
        <v/>
      </c>
    </row>
    <row r="77" ht="15" customHeight="1">
      <c r="A77" t="inlineStr">
        <is>
          <t>A 61790-2022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46312</v>
      </c>
      <c r="F77" t="inlineStr">
        <is>
          <t>KALMAR LÄN</t>
        </is>
      </c>
      <c r="G77" t="inlineStr">
        <is>
          <t>NYBRO</t>
        </is>
      </c>
      <c r="H77" t="inlineStr">
        <is>
          <t>Kommuner</t>
        </is>
      </c>
      <c r="I77" t="n">
        <v>3.7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Grönpyrola</t>
        </is>
      </c>
      <c r="W77">
        <f>HYPERLINK("https://klasma.github.io/Logging_0881/artfynd/A 61790-2022 artfynd.xlsx", "A 61790-2022")</f>
        <v/>
      </c>
      <c r="X77">
        <f>HYPERLINK("https://klasma.github.io/Logging_0881/kartor/A 61790-2022 karta.png", "A 61790-2022")</f>
        <v/>
      </c>
      <c r="Y77">
        <f>HYPERLINK("https://klasma.github.io/Logging_0881/kartor_geotiff/A 61790-2022 georefererad karta.tif", "A 61790-2022")</f>
        <v/>
      </c>
      <c r="AA77">
        <f>HYPERLINK("https://klasma.github.io/Logging_0881/klagomål/A 61790-2022 FSC-klagomål.docx", "A 61790-2022")</f>
        <v/>
      </c>
      <c r="AB77">
        <f>HYPERLINK("https://klasma.github.io/Logging_0881/klagomålsmail/A 61790-2022 FSC-klagomål mail.docx", "A 61790-2022")</f>
        <v/>
      </c>
      <c r="AC77">
        <f>HYPERLINK("https://klasma.github.io/Logging_0881/tillsyn/A 61790-2022 tillsynsbegäran.docx", "A 61790-2022")</f>
        <v/>
      </c>
      <c r="AD77">
        <f>HYPERLINK("https://klasma.github.io/Logging_0881/tillsynsmail/A 61790-2022 tillsynsbegäran mail.docx", "A 61790-2022")</f>
        <v/>
      </c>
    </row>
    <row r="78" ht="15" customHeight="1">
      <c r="A78" t="inlineStr">
        <is>
          <t>A 3726-2023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44951</v>
      </c>
      <c r="E78" s="1" t="n">
        <v>46312</v>
      </c>
      <c r="F78" t="inlineStr">
        <is>
          <t>KALMAR LÄN</t>
        </is>
      </c>
      <c r="G78" t="inlineStr">
        <is>
          <t>NYBRO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3726-2023 artfynd.xlsx", "A 3726-2023")</f>
        <v/>
      </c>
      <c r="X78">
        <f>HYPERLINK("https://klasma.github.io/Logging_0881/kartor/A 3726-2023 karta.png", "A 3726-2023")</f>
        <v/>
      </c>
      <c r="Y78">
        <f>HYPERLINK("https://klasma.github.io/Logging_0881/kartor_geotiff/A 3726-2023 georefererad karta.tif", "A 3726-2023")</f>
        <v/>
      </c>
      <c r="AA78">
        <f>HYPERLINK("https://klasma.github.io/Logging_0881/klagomål/A 3726-2023 FSC-klagomål.docx", "A 3726-2023")</f>
        <v/>
      </c>
      <c r="AB78">
        <f>HYPERLINK("https://klasma.github.io/Logging_0881/klagomålsmail/A 3726-2023 FSC-klagomål mail.docx", "A 3726-2023")</f>
        <v/>
      </c>
      <c r="AC78">
        <f>HYPERLINK("https://klasma.github.io/Logging_0881/tillsyn/A 3726-2023 tillsynsbegäran.docx", "A 3726-2023")</f>
        <v/>
      </c>
      <c r="AD78">
        <f>HYPERLINK("https://klasma.github.io/Logging_0881/tillsynsmail/A 3726-2023 tillsynsbegäran mail.docx", "A 3726-2023")</f>
        <v/>
      </c>
    </row>
    <row r="79" ht="15" customHeight="1">
      <c r="A79" t="inlineStr">
        <is>
          <t>A 64315-2023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45279</v>
      </c>
      <c r="E79" s="1" t="n">
        <v>46312</v>
      </c>
      <c r="F79" t="inlineStr">
        <is>
          <t>KALMAR LÄN</t>
        </is>
      </c>
      <c r="G79" t="inlineStr">
        <is>
          <t>NYBRO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HYPERLINK("https://klasma.github.io/Logging_0881/artfynd/A 64315-2023 artfynd.xlsx", "A 64315-2023")</f>
        <v/>
      </c>
      <c r="X79">
        <f>HYPERLINK("https://klasma.github.io/Logging_0881/kartor/A 64315-2023 karta.png", "A 64315-2023")</f>
        <v/>
      </c>
      <c r="Y79">
        <f>HYPERLINK("https://klasma.github.io/Logging_0881/kartor_geotiff/A 64315-2023 georefererad karta.tif", "A 64315-2023")</f>
        <v/>
      </c>
      <c r="AA79">
        <f>HYPERLINK("https://klasma.github.io/Logging_0881/klagomål/A 64315-2023 FSC-klagomål.docx", "A 64315-2023")</f>
        <v/>
      </c>
      <c r="AB79">
        <f>HYPERLINK("https://klasma.github.io/Logging_0881/klagomålsmail/A 64315-2023 FSC-klagomål mail.docx", "A 64315-2023")</f>
        <v/>
      </c>
      <c r="AC79">
        <f>HYPERLINK("https://klasma.github.io/Logging_0881/tillsyn/A 64315-2023 tillsynsbegäran.docx", "A 64315-2023")</f>
        <v/>
      </c>
      <c r="AD79">
        <f>HYPERLINK("https://klasma.github.io/Logging_0881/tillsynsmail/A 64315-2023 tillsynsbegäran mail.docx", "A 64315-2023")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46312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46312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20647-2026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46312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Ljungögontröst</t>
        </is>
      </c>
      <c r="W82">
        <f>HYPERLINK("https://klasma.github.io/Logging_0881/artfynd/A 20647-2026 artfynd.xlsx", "A 20647-2026")</f>
        <v/>
      </c>
      <c r="X82">
        <f>HYPERLINK("https://klasma.github.io/Logging_0881/kartor/A 20647-2026 karta.png", "A 20647-2026")</f>
        <v/>
      </c>
      <c r="Y82">
        <f>HYPERLINK("https://klasma.github.io/Logging_0881/kartor_geotiff/A 20647-2026 georefererad karta.tif", "A 20647-2026")</f>
        <v/>
      </c>
      <c r="AA82">
        <f>HYPERLINK("https://klasma.github.io/Logging_0881/klagomål/A 20647-2026 FSC-klagomål.docx", "A 20647-2026")</f>
        <v/>
      </c>
      <c r="AB82">
        <f>HYPERLINK("https://klasma.github.io/Logging_0881/klagomålsmail/A 20647-2026 FSC-klagomål mail.docx", "A 20647-2026")</f>
        <v/>
      </c>
      <c r="AC82">
        <f>HYPERLINK("https://klasma.github.io/Logging_0881/tillsyn/A 20647-2026 tillsynsbegäran.docx", "A 20647-2026")</f>
        <v/>
      </c>
      <c r="AD82">
        <f>HYPERLINK("https://klasma.github.io/Logging_0881/tillsynsmail/A 20647-2026 tillsynsbegäran mail.docx", "A 20647-2026")</f>
        <v/>
      </c>
    </row>
    <row r="83" ht="15" customHeight="1">
      <c r="A83" t="inlineStr">
        <is>
          <t>A 22097-2026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46312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Talltita</t>
        </is>
      </c>
      <c r="W83">
        <f>HYPERLINK("https://klasma.github.io/Logging_0881/artfynd/A 22097-2026 artfynd.xlsx", "A 22097-2026")</f>
        <v/>
      </c>
      <c r="X83">
        <f>HYPERLINK("https://klasma.github.io/Logging_0881/kartor/A 22097-2026 karta.png", "A 22097-2026")</f>
        <v/>
      </c>
      <c r="Y83">
        <f>HYPERLINK("https://klasma.github.io/Logging_0881/kartor_geotiff/A 22097-2026 georefererad karta.tif", "A 22097-2026")</f>
        <v/>
      </c>
      <c r="AA83">
        <f>HYPERLINK("https://klasma.github.io/Logging_0881/klagomål/A 22097-2026 FSC-klagomål.docx", "A 22097-2026")</f>
        <v/>
      </c>
      <c r="AB83">
        <f>HYPERLINK("https://klasma.github.io/Logging_0881/klagomålsmail/A 22097-2026 FSC-klagomål mail.docx", "A 22097-2026")</f>
        <v/>
      </c>
      <c r="AC83">
        <f>HYPERLINK("https://klasma.github.io/Logging_0881/tillsyn/A 22097-2026 tillsynsbegäran.docx", "A 22097-2026")</f>
        <v/>
      </c>
      <c r="AD83">
        <f>HYPERLINK("https://klasma.github.io/Logging_0881/tillsynsmail/A 22097-2026 tillsynsbegäran mail.docx", "A 22097-2026")</f>
        <v/>
      </c>
      <c r="AE83">
        <f>HYPERLINK("https://klasma.github.io/Logging_0881/fåglar/A 22097-2026 prioriterade fågelarter.docx", "A 22097-2026")</f>
        <v/>
      </c>
    </row>
    <row r="84" ht="15" customHeight="1">
      <c r="A84" t="inlineStr">
        <is>
          <t>A 22089-2026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46312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Talltita</t>
        </is>
      </c>
      <c r="W84">
        <f>HYPERLINK("https://klasma.github.io/Logging_0881/artfynd/A 22089-2026 artfynd.xlsx", "A 22089-2026")</f>
        <v/>
      </c>
      <c r="X84">
        <f>HYPERLINK("https://klasma.github.io/Logging_0881/kartor/A 22089-2026 karta.png", "A 22089-2026")</f>
        <v/>
      </c>
      <c r="Y84">
        <f>HYPERLINK("https://klasma.github.io/Logging_0881/kartor_geotiff/A 22089-2026 georefererad karta.tif", "A 22089-2026")</f>
        <v/>
      </c>
      <c r="AA84">
        <f>HYPERLINK("https://klasma.github.io/Logging_0881/klagomål/A 22089-2026 FSC-klagomål.docx", "A 22089-2026")</f>
        <v/>
      </c>
      <c r="AB84">
        <f>HYPERLINK("https://klasma.github.io/Logging_0881/klagomålsmail/A 22089-2026 FSC-klagomål mail.docx", "A 22089-2026")</f>
        <v/>
      </c>
      <c r="AC84">
        <f>HYPERLINK("https://klasma.github.io/Logging_0881/tillsyn/A 22089-2026 tillsynsbegäran.docx", "A 22089-2026")</f>
        <v/>
      </c>
      <c r="AD84">
        <f>HYPERLINK("https://klasma.github.io/Logging_0881/tillsynsmail/A 22089-2026 tillsynsbegäran mail.docx", "A 22089-2026")</f>
        <v/>
      </c>
      <c r="AE84">
        <f>HYPERLINK("https://klasma.github.io/Logging_0881/fåglar/A 22089-2026 prioriterade fågelarter.docx", "A 22089-2026")</f>
        <v/>
      </c>
    </row>
    <row r="85" ht="15" customHeight="1">
      <c r="A85" t="inlineStr">
        <is>
          <t>A 22086-2026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46312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5</v>
      </c>
      <c r="U85" t="n">
        <v>0</v>
      </c>
      <c r="V85" s="2" t="inlineStr">
        <is>
          <t>Talltita</t>
        </is>
      </c>
      <c r="W85">
        <f>HYPERLINK("https://klasma.github.io/Logging_0881/artfynd/A 22086-2026 artfynd.xlsx", "A 22086-2026")</f>
        <v/>
      </c>
      <c r="X85">
        <f>HYPERLINK("https://klasma.github.io/Logging_0881/kartor/A 22086-2026 karta.png", "A 22086-2026")</f>
        <v/>
      </c>
      <c r="Y85">
        <f>HYPERLINK("https://klasma.github.io/Logging_0881/kartor_geotiff/A 22086-2026 georefererad karta.tif", "A 22086-2026")</f>
        <v/>
      </c>
      <c r="AA85">
        <f>HYPERLINK("https://klasma.github.io/Logging_0881/klagomål/A 22086-2026 FSC-klagomål.docx", "A 22086-2026")</f>
        <v/>
      </c>
      <c r="AB85">
        <f>HYPERLINK("https://klasma.github.io/Logging_0881/klagomålsmail/A 22086-2026 FSC-klagomål mail.docx", "A 22086-2026")</f>
        <v/>
      </c>
      <c r="AC85">
        <f>HYPERLINK("https://klasma.github.io/Logging_0881/tillsyn/A 22086-2026 tillsynsbegäran.docx", "A 22086-2026")</f>
        <v/>
      </c>
      <c r="AD85">
        <f>HYPERLINK("https://klasma.github.io/Logging_0881/tillsynsmail/A 22086-2026 tillsynsbegäran mail.docx", "A 22086-2026")</f>
        <v/>
      </c>
      <c r="AE85">
        <f>HYPERLINK("https://klasma.github.io/Logging_0881/fåglar/A 22086-2026 prioriterade fågelarter.docx", "A 22086-2026")</f>
        <v/>
      </c>
    </row>
    <row r="86" ht="15" customHeight="1">
      <c r="A86" t="inlineStr">
        <is>
          <t>A 61809-2024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45649</v>
      </c>
      <c r="E86" s="1" t="n">
        <v>46312</v>
      </c>
      <c r="F86" t="inlineStr">
        <is>
          <t>KALMAR LÄN</t>
        </is>
      </c>
      <c r="G86" t="inlineStr">
        <is>
          <t>NYBRO</t>
        </is>
      </c>
      <c r="I86" t="n">
        <v>15.8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61809-2024 artfynd.xlsx", "A 61809-2024")</f>
        <v/>
      </c>
      <c r="X86">
        <f>HYPERLINK("https://klasma.github.io/Logging_0881/kartor/A 61809-2024 karta.png", "A 61809-2024")</f>
        <v/>
      </c>
      <c r="Y86">
        <f>HYPERLINK("https://klasma.github.io/Logging_0881/kartor_geotiff/A 61809-2024 georefererad karta.tif", "A 61809-2024")</f>
        <v/>
      </c>
      <c r="AA86">
        <f>HYPERLINK("https://klasma.github.io/Logging_0881/klagomål/A 61809-2024 FSC-klagomål.docx", "A 61809-2024")</f>
        <v/>
      </c>
      <c r="AB86">
        <f>HYPERLINK("https://klasma.github.io/Logging_0881/klagomålsmail/A 61809-2024 FSC-klagomål mail.docx", "A 61809-2024")</f>
        <v/>
      </c>
      <c r="AC86">
        <f>HYPERLINK("https://klasma.github.io/Logging_0881/tillsyn/A 61809-2024 tillsynsbegäran.docx", "A 61809-2024")</f>
        <v/>
      </c>
      <c r="AD86">
        <f>HYPERLINK("https://klasma.github.io/Logging_0881/tillsynsmail/A 61809-2024 tillsynsbegäran mail.docx", "A 61809-2024")</f>
        <v/>
      </c>
      <c r="AE86">
        <f>HYPERLINK("https://klasma.github.io/Logging_0881/fåglar/A 61809-2024 prioriterade fågelarter.docx", "A 61809-2024")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46312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Tårkragskivling</t>
        </is>
      </c>
      <c r="W87">
        <f>HYPERLINK("https://klasma.github.io/Logging_0881/artfynd/A 17741-2025 artfynd.xlsx", "A 17741-2025")</f>
        <v/>
      </c>
      <c r="X87">
        <f>HYPERLINK("https://klasma.github.io/Logging_0881/kartor/A 17741-2025 karta.png", "A 17741-2025")</f>
        <v/>
      </c>
      <c r="Y87">
        <f>HYPERLINK("https://klasma.github.io/Logging_0881/kartor_geotiff/A 17741-2025 georefererad karta.tif", "A 17741-2025")</f>
        <v/>
      </c>
      <c r="AA87">
        <f>HYPERLINK("https://klasma.github.io/Logging_0881/klagomål/A 17741-2025 FSC-klagomål.docx", "A 17741-2025")</f>
        <v/>
      </c>
      <c r="AB87">
        <f>HYPERLINK("https://klasma.github.io/Logging_0881/klagomålsmail/A 17741-2025 FSC-klagomål mail.docx", "A 17741-2025")</f>
        <v/>
      </c>
      <c r="AC87">
        <f>HYPERLINK("https://klasma.github.io/Logging_0881/tillsyn/A 17741-2025 tillsynsbegäran.docx", "A 17741-2025")</f>
        <v/>
      </c>
      <c r="AD87">
        <f>HYPERLINK("https://klasma.github.io/Logging_0881/tillsynsmail/A 17741-2025 tillsynsbegäran mail.docx", "A 17741-2025")</f>
        <v/>
      </c>
    </row>
    <row r="88" ht="15" customHeight="1">
      <c r="A88" t="inlineStr">
        <is>
          <t>A 24315-2026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46312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8.5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HYPERLINK("https://klasma.github.io/Logging_0881/artfynd/A 24315-2026 artfynd.xlsx", "A 24315-2026")</f>
        <v/>
      </c>
      <c r="X88">
        <f>HYPERLINK("https://klasma.github.io/Logging_0881/kartor/A 24315-2026 karta.png", "A 24315-2026")</f>
        <v/>
      </c>
      <c r="Y88">
        <f>HYPERLINK("https://klasma.github.io/Logging_0881/kartor_geotiff/A 24315-2026 georefererad karta.tif", "A 24315-2026")</f>
        <v/>
      </c>
      <c r="AA88">
        <f>HYPERLINK("https://klasma.github.io/Logging_0881/klagomål/A 24315-2026 FSC-klagomål.docx", "A 24315-2026")</f>
        <v/>
      </c>
      <c r="AB88">
        <f>HYPERLINK("https://klasma.github.io/Logging_0881/klagomålsmail/A 24315-2026 FSC-klagomål mail.docx", "A 24315-2026")</f>
        <v/>
      </c>
      <c r="AC88">
        <f>HYPERLINK("https://klasma.github.io/Logging_0881/tillsyn/A 24315-2026 tillsynsbegäran.docx", "A 24315-2026")</f>
        <v/>
      </c>
      <c r="AD88">
        <f>HYPERLINK("https://klasma.github.io/Logging_0881/tillsynsmail/A 24315-2026 tillsynsbegäran mail.docx", "A 24315-2026")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46312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46312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22171-2023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45069</v>
      </c>
      <c r="E91" s="1" t="n">
        <v>46312</v>
      </c>
      <c r="F91" t="inlineStr">
        <is>
          <t>KALMAR LÄN</t>
        </is>
      </c>
      <c r="G91" t="inlineStr">
        <is>
          <t>NYBRO</t>
        </is>
      </c>
      <c r="I91" t="n">
        <v>3.6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Blåmossa</t>
        </is>
      </c>
      <c r="W91">
        <f>HYPERLINK("https://klasma.github.io/Logging_0881/artfynd/A 22171-2023 artfynd.xlsx", "A 22171-2023")</f>
        <v/>
      </c>
      <c r="X91">
        <f>HYPERLINK("https://klasma.github.io/Logging_0881/kartor/A 22171-2023 karta.png", "A 22171-2023")</f>
        <v/>
      </c>
      <c r="Y91">
        <f>HYPERLINK("https://klasma.github.io/Logging_0881/kartor_geotiff/A 22171-2023 georefererad karta.tif", "A 22171-2023")</f>
        <v/>
      </c>
      <c r="AA91">
        <f>HYPERLINK("https://klasma.github.io/Logging_0881/klagomål/A 22171-2023 FSC-klagomål.docx", "A 22171-2023")</f>
        <v/>
      </c>
      <c r="AB91">
        <f>HYPERLINK("https://klasma.github.io/Logging_0881/klagomålsmail/A 22171-2023 FSC-klagomål mail.docx", "A 22171-2023")</f>
        <v/>
      </c>
      <c r="AC91">
        <f>HYPERLINK("https://klasma.github.io/Logging_0881/tillsyn/A 22171-2023 tillsynsbegäran.docx", "A 22171-2023")</f>
        <v/>
      </c>
      <c r="AD91">
        <f>HYPERLINK("https://klasma.github.io/Logging_0881/tillsynsmail/A 22171-2023 tillsynsbegäran mail.docx", "A 22171-2023")</f>
        <v/>
      </c>
    </row>
    <row r="92" ht="15" customHeight="1">
      <c r="A92" t="inlineStr">
        <is>
          <t>A 22952-2024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45449</v>
      </c>
      <c r="E92" s="1" t="n">
        <v>46312</v>
      </c>
      <c r="F92" t="inlineStr">
        <is>
          <t>KALMAR LÄN</t>
        </is>
      </c>
      <c r="G92" t="inlineStr">
        <is>
          <t>NYBRO</t>
        </is>
      </c>
      <c r="I92" t="n">
        <v>14.1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HYPERLINK("https://klasma.github.io/Logging_0881/artfynd/A 22952-2024 artfynd.xlsx", "A 22952-2024")</f>
        <v/>
      </c>
      <c r="X92">
        <f>HYPERLINK("https://klasma.github.io/Logging_0881/kartor/A 22952-2024 karta.png", "A 22952-2024")</f>
        <v/>
      </c>
      <c r="Y92">
        <f>HYPERLINK("https://klasma.github.io/Logging_0881/kartor_geotiff/A 22952-2024 georefererad karta.tif", "A 22952-2024")</f>
        <v/>
      </c>
      <c r="AA92">
        <f>HYPERLINK("https://klasma.github.io/Logging_0881/klagomål/A 22952-2024 FSC-klagomål.docx", "A 22952-2024")</f>
        <v/>
      </c>
      <c r="AB92">
        <f>HYPERLINK("https://klasma.github.io/Logging_0881/klagomålsmail/A 22952-2024 FSC-klagomål mail.docx", "A 22952-2024")</f>
        <v/>
      </c>
      <c r="AC92">
        <f>HYPERLINK("https://klasma.github.io/Logging_0881/tillsyn/A 22952-2024 tillsynsbegäran.docx", "A 22952-2024")</f>
        <v/>
      </c>
      <c r="AD92">
        <f>HYPERLINK("https://klasma.github.io/Logging_0881/tillsynsmail/A 22952-2024 tillsynsbegäran mail.docx", "A 22952-2024")</f>
        <v/>
      </c>
    </row>
    <row r="93" ht="15" customHeight="1">
      <c r="A93" t="inlineStr">
        <is>
          <t>A 7038-2026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46312</v>
      </c>
      <c r="F93" t="inlineStr">
        <is>
          <t>KALMAR LÄN</t>
        </is>
      </c>
      <c r="G93" t="inlineStr">
        <is>
          <t>NYBRO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flatbagge</t>
        </is>
      </c>
      <c r="W93">
        <f>HYPERLINK("https://klasma.github.io/Logging_0881/artfynd/A 7038-2026 artfynd.xlsx", "A 7038-2026")</f>
        <v/>
      </c>
      <c r="X93">
        <f>HYPERLINK("https://klasma.github.io/Logging_0881/kartor/A 7038-2026 karta.png", "A 7038-2026")</f>
        <v/>
      </c>
      <c r="Y93">
        <f>HYPERLINK("https://klasma.github.io/Logging_0881/kartor_geotiff/A 7038-2026 georefererad karta.tif", "A 7038-2026")</f>
        <v/>
      </c>
      <c r="AA93">
        <f>HYPERLINK("https://klasma.github.io/Logging_0881/klagomål/A 7038-2026 FSC-klagomål.docx", "A 7038-2026")</f>
        <v/>
      </c>
      <c r="AB93">
        <f>HYPERLINK("https://klasma.github.io/Logging_0881/klagomålsmail/A 7038-2026 FSC-klagomål mail.docx", "A 7038-2026")</f>
        <v/>
      </c>
      <c r="AC93">
        <f>HYPERLINK("https://klasma.github.io/Logging_0881/tillsyn/A 7038-2026 tillsynsbegäran.docx", "A 7038-2026")</f>
        <v/>
      </c>
      <c r="AD93">
        <f>HYPERLINK("https://klasma.github.io/Logging_0881/tillsynsmail/A 7038-2026 tillsynsbegäran mail.docx", "A 7038-2026")</f>
        <v/>
      </c>
    </row>
    <row r="94" ht="15" customHeight="1">
      <c r="A94" t="inlineStr">
        <is>
          <t>A 26463-2026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46312</v>
      </c>
      <c r="F94" t="inlineStr">
        <is>
          <t>KALMAR LÄN</t>
        </is>
      </c>
      <c r="G94" t="inlineStr">
        <is>
          <t>NYBRO</t>
        </is>
      </c>
      <c r="I94" t="n">
        <v>2.7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Blåmossa</t>
        </is>
      </c>
      <c r="W94">
        <f>HYPERLINK("https://klasma.github.io/Logging_0881/artfynd/A 26463-2026 artfynd.xlsx", "A 26463-2026")</f>
        <v/>
      </c>
      <c r="X94">
        <f>HYPERLINK("https://klasma.github.io/Logging_0881/kartor/A 26463-2026 karta.png", "A 26463-2026")</f>
        <v/>
      </c>
      <c r="Y94">
        <f>HYPERLINK("https://klasma.github.io/Logging_0881/kartor_geotiff/A 26463-2026 georefererad karta.tif", "A 26463-2026")</f>
        <v/>
      </c>
      <c r="AA94">
        <f>HYPERLINK("https://klasma.github.io/Logging_0881/klagomål/A 26463-2026 FSC-klagomål.docx", "A 26463-2026")</f>
        <v/>
      </c>
      <c r="AB94">
        <f>HYPERLINK("https://klasma.github.io/Logging_0881/klagomålsmail/A 26463-2026 FSC-klagomål mail.docx", "A 26463-2026")</f>
        <v/>
      </c>
      <c r="AC94">
        <f>HYPERLINK("https://klasma.github.io/Logging_0881/tillsyn/A 26463-2026 tillsynsbegäran.docx", "A 26463-2026")</f>
        <v/>
      </c>
      <c r="AD94">
        <f>HYPERLINK("https://klasma.github.io/Logging_0881/tillsynsmail/A 26463-2026 tillsynsbegäran mail.docx", "A 26463-2026")</f>
        <v/>
      </c>
    </row>
    <row r="95" ht="15" customHeight="1">
      <c r="A95" t="inlineStr">
        <is>
          <t>A 13690-2022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46312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8.300000000000001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7</v>
      </c>
      <c r="U95" t="n">
        <v>7</v>
      </c>
      <c r="V95" s="2" t="inlineStr">
        <is>
          <t>Knärot</t>
        </is>
      </c>
      <c r="W95">
        <f>HYPERLINK("https://klasma.github.io/Logging_0881/artfynd/A 13690-2022 artfynd.xlsx", "A 13690-2022")</f>
        <v/>
      </c>
      <c r="X95">
        <f>HYPERLINK("https://klasma.github.io/Logging_0881/kartor/A 13690-2022 karta.png", "A 13690-2022")</f>
        <v/>
      </c>
      <c r="Y95">
        <f>HYPERLINK("https://klasma.github.io/Logging_0881/kartor_geotiff/A 13690-2022 georefererad karta.tif", "A 13690-2022")</f>
        <v/>
      </c>
      <c r="Z95">
        <f>HYPERLINK("https://klasma.github.io/Logging_0881/knärot/A 13690-2022 karta knärot.png", "A 13690-2022")</f>
        <v/>
      </c>
      <c r="AA95">
        <f>HYPERLINK("https://klasma.github.io/Logging_0881/klagomål/A 13690-2022 FSC-klagomål.docx", "A 13690-2022")</f>
        <v/>
      </c>
      <c r="AB95">
        <f>HYPERLINK("https://klasma.github.io/Logging_0881/klagomålsmail/A 13690-2022 FSC-klagomål mail.docx", "A 13690-2022")</f>
        <v/>
      </c>
      <c r="AC95">
        <f>HYPERLINK("https://klasma.github.io/Logging_0881/tillsyn/A 13690-2022 tillsynsbegäran.docx", "A 13690-2022")</f>
        <v/>
      </c>
      <c r="AD95">
        <f>HYPERLINK("https://klasma.github.io/Logging_0881/tillsynsmail/A 13690-2022 tillsynsbegäran mail.docx", "A 13690-2022")</f>
        <v/>
      </c>
    </row>
    <row r="96" ht="15" customHeight="1">
      <c r="A96" t="inlineStr">
        <is>
          <t>A 54314-2022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46312</v>
      </c>
      <c r="F96" t="inlineStr">
        <is>
          <t>KALMAR LÄN</t>
        </is>
      </c>
      <c r="G96" t="inlineStr">
        <is>
          <t>NYBRO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6</v>
      </c>
      <c r="U96" t="n">
        <v>0</v>
      </c>
      <c r="V96" s="2" t="inlineStr">
        <is>
          <t>Ask</t>
        </is>
      </c>
      <c r="W96">
        <f>HYPERLINK("https://klasma.github.io/Logging_0881/artfynd/A 54314-2022 artfynd.xlsx", "A 54314-2022")</f>
        <v/>
      </c>
      <c r="X96">
        <f>HYPERLINK("https://klasma.github.io/Logging_0881/kartor/A 54314-2022 karta.png", "A 54314-2022")</f>
        <v/>
      </c>
      <c r="Y96">
        <f>HYPERLINK("https://klasma.github.io/Logging_0881/kartor_geotiff/A 54314-2022 georefererad karta.tif", "A 54314-2022")</f>
        <v/>
      </c>
      <c r="AA96">
        <f>HYPERLINK("https://klasma.github.io/Logging_0881/klagomål/A 54314-2022 FSC-klagomål.docx", "A 54314-2022")</f>
        <v/>
      </c>
      <c r="AB96">
        <f>HYPERLINK("https://klasma.github.io/Logging_0881/klagomålsmail/A 54314-2022 FSC-klagomål mail.docx", "A 54314-2022")</f>
        <v/>
      </c>
      <c r="AC96">
        <f>HYPERLINK("https://klasma.github.io/Logging_0881/tillsyn/A 54314-2022 tillsynsbegäran.docx", "A 54314-2022")</f>
        <v/>
      </c>
      <c r="AD96">
        <f>HYPERLINK("https://klasma.github.io/Logging_0881/tillsynsmail/A 54314-2022 tillsynsbegäran mail.docx", "A 54314-2022")</f>
        <v/>
      </c>
    </row>
    <row r="97" ht="15" customHeight="1">
      <c r="A97" t="inlineStr">
        <is>
          <t>A 27669-2026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46312</v>
      </c>
      <c r="F97" t="inlineStr">
        <is>
          <t>KALMAR LÄN</t>
        </is>
      </c>
      <c r="G97" t="inlineStr">
        <is>
          <t>NYBRO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HYPERLINK("https://klasma.github.io/Logging_0881/artfynd/A 27669-2026 artfynd.xlsx", "A 27669-2026")</f>
        <v/>
      </c>
      <c r="X97">
        <f>HYPERLINK("https://klasma.github.io/Logging_0881/kartor/A 27669-2026 karta.png", "A 27669-2026")</f>
        <v/>
      </c>
      <c r="Y97">
        <f>HYPERLINK("https://klasma.github.io/Logging_0881/kartor_geotiff/A 27669-2026 georefererad karta.tif", "A 27669-2026")</f>
        <v/>
      </c>
      <c r="AA97">
        <f>HYPERLINK("https://klasma.github.io/Logging_0881/klagomål/A 27669-2026 FSC-klagomål.docx", "A 27669-2026")</f>
        <v/>
      </c>
      <c r="AB97">
        <f>HYPERLINK("https://klasma.github.io/Logging_0881/klagomålsmail/A 27669-2026 FSC-klagomål mail.docx", "A 27669-2026")</f>
        <v/>
      </c>
      <c r="AC97">
        <f>HYPERLINK("https://klasma.github.io/Logging_0881/tillsyn/A 27669-2026 tillsynsbegäran.docx", "A 27669-2026")</f>
        <v/>
      </c>
      <c r="AD97">
        <f>HYPERLINK("https://klasma.github.io/Logging_0881/tillsynsmail/A 27669-2026 tillsynsbegäran mail.docx", "A 27669-2026")</f>
        <v/>
      </c>
    </row>
    <row r="98" ht="15" customHeight="1">
      <c r="A98" t="inlineStr">
        <is>
          <t>A 61140-2022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46312</v>
      </c>
      <c r="F98" t="inlineStr">
        <is>
          <t>KALMAR LÄN</t>
        </is>
      </c>
      <c r="G98" t="inlineStr">
        <is>
          <t>NYBRO</t>
        </is>
      </c>
      <c r="I98" t="n">
        <v>0.4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HYPERLINK("https://klasma.github.io/Logging_0881/artfynd/A 61140-2022 artfynd.xlsx", "A 61140-2022")</f>
        <v/>
      </c>
      <c r="X98">
        <f>HYPERLINK("https://klasma.github.io/Logging_0881/kartor/A 61140-2022 karta.png", "A 61140-2022")</f>
        <v/>
      </c>
      <c r="Y98">
        <f>HYPERLINK("https://klasma.github.io/Logging_0881/kartor_geotiff/A 61140-2022 georefererad karta.tif", "A 61140-2022")</f>
        <v/>
      </c>
      <c r="AA98">
        <f>HYPERLINK("https://klasma.github.io/Logging_0881/klagomål/A 61140-2022 FSC-klagomål.docx", "A 61140-2022")</f>
        <v/>
      </c>
      <c r="AB98">
        <f>HYPERLINK("https://klasma.github.io/Logging_0881/klagomålsmail/A 61140-2022 FSC-klagomål mail.docx", "A 61140-2022")</f>
        <v/>
      </c>
      <c r="AC98">
        <f>HYPERLINK("https://klasma.github.io/Logging_0881/tillsyn/A 61140-2022 tillsynsbegäran.docx", "A 61140-2022")</f>
        <v/>
      </c>
      <c r="AD98">
        <f>HYPERLINK("https://klasma.github.io/Logging_0881/tillsynsmail/A 61140-2022 tillsynsbegäran mail.docx", "A 61140-2022")</f>
        <v/>
      </c>
      <c r="AE98">
        <f>HYPERLINK("https://klasma.github.io/Logging_0881/fåglar/A 61140-2022 prioriterade fågelarter.docx", "A 61140-2022")</f>
        <v/>
      </c>
    </row>
    <row r="99" ht="15" customHeight="1">
      <c r="A99" t="inlineStr">
        <is>
          <t>A 37016-2023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46312</v>
      </c>
      <c r="F99" t="inlineStr">
        <is>
          <t>KALMAR LÄN</t>
        </is>
      </c>
      <c r="G99" t="inlineStr">
        <is>
          <t>NYBRO</t>
        </is>
      </c>
      <c r="I99" t="n">
        <v>6.4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HYPERLINK("https://klasma.github.io/Logging_0881/artfynd/A 37016-2023 artfynd.xlsx", "A 37016-2023")</f>
        <v/>
      </c>
      <c r="X99">
        <f>HYPERLINK("https://klasma.github.io/Logging_0881/kartor/A 37016-2023 karta.png", "A 37016-2023")</f>
        <v/>
      </c>
      <c r="Y99">
        <f>HYPERLINK("https://klasma.github.io/Logging_0881/kartor_geotiff/A 37016-2023 georefererad karta.tif", "A 37016-2023")</f>
        <v/>
      </c>
      <c r="AA99">
        <f>HYPERLINK("https://klasma.github.io/Logging_0881/klagomål/A 37016-2023 FSC-klagomål.docx", "A 37016-2023")</f>
        <v/>
      </c>
      <c r="AB99">
        <f>HYPERLINK("https://klasma.github.io/Logging_0881/klagomålsmail/A 37016-2023 FSC-klagomål mail.docx", "A 37016-2023")</f>
        <v/>
      </c>
      <c r="AC99">
        <f>HYPERLINK("https://klasma.github.io/Logging_0881/tillsyn/A 37016-2023 tillsynsbegäran.docx", "A 37016-2023")</f>
        <v/>
      </c>
      <c r="AD99">
        <f>HYPERLINK("https://klasma.github.io/Logging_0881/tillsynsmail/A 37016-2023 tillsynsbegäran mail.docx", "A 37016-2023")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46312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50008-2023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46312</v>
      </c>
      <c r="F101" t="inlineStr">
        <is>
          <t>KALMAR LÄN</t>
        </is>
      </c>
      <c r="G101" t="inlineStr">
        <is>
          <t>NYBRO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HYPERLINK("https://klasma.github.io/Logging_0881/artfynd/A 50008-2023 artfynd.xlsx", "A 50008-2023")</f>
        <v/>
      </c>
      <c r="X101">
        <f>HYPERLINK("https://klasma.github.io/Logging_0881/kartor/A 50008-2023 karta.png", "A 50008-2023")</f>
        <v/>
      </c>
      <c r="Y101">
        <f>HYPERLINK("https://klasma.github.io/Logging_0881/kartor_geotiff/A 50008-2023 georefererad karta.tif", "A 50008-2023")</f>
        <v/>
      </c>
      <c r="AA101">
        <f>HYPERLINK("https://klasma.github.io/Logging_0881/klagomål/A 50008-2023 FSC-klagomål.docx", "A 50008-2023")</f>
        <v/>
      </c>
      <c r="AB101">
        <f>HYPERLINK("https://klasma.github.io/Logging_0881/klagomålsmail/A 50008-2023 FSC-klagomål mail.docx", "A 50008-2023")</f>
        <v/>
      </c>
      <c r="AC101">
        <f>HYPERLINK("https://klasma.github.io/Logging_0881/tillsyn/A 50008-2023 tillsynsbegäran.docx", "A 50008-2023")</f>
        <v/>
      </c>
      <c r="AD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16161-2026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46109</v>
      </c>
      <c r="E102" s="1" t="n">
        <v>46312</v>
      </c>
      <c r="F102" t="inlineStr">
        <is>
          <t>KALMAR LÄN</t>
        </is>
      </c>
      <c r="G102" t="inlineStr">
        <is>
          <t>NYBRO</t>
        </is>
      </c>
      <c r="I102" t="n">
        <v>6.1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Mosippa</t>
        </is>
      </c>
      <c r="W102">
        <f>HYPERLINK("https://klasma.github.io/Logging_0881/artfynd/A 16161-2026 artfynd.xlsx", "A 16161-2026")</f>
        <v/>
      </c>
      <c r="X102">
        <f>HYPERLINK("https://klasma.github.io/Logging_0881/kartor/A 16161-2026 karta.png", "A 16161-2026")</f>
        <v/>
      </c>
      <c r="Y102">
        <f>HYPERLINK("https://klasma.github.io/Logging_0881/kartor_geotiff/A 16161-2026 georefererad karta.tif", "A 16161-2026")</f>
        <v/>
      </c>
      <c r="AA102">
        <f>HYPERLINK("https://klasma.github.io/Logging_0881/klagomål/A 16161-2026 FSC-klagomål.docx", "A 16161-2026")</f>
        <v/>
      </c>
      <c r="AB102">
        <f>HYPERLINK("https://klasma.github.io/Logging_0881/klagomålsmail/A 16161-2026 FSC-klagomål mail.docx", "A 16161-2026")</f>
        <v/>
      </c>
      <c r="AC102">
        <f>HYPERLINK("https://klasma.github.io/Logging_0881/tillsyn/A 16161-2026 tillsynsbegäran.docx", "A 16161-2026")</f>
        <v/>
      </c>
      <c r="AD102">
        <f>HYPERLINK("https://klasma.github.io/Logging_0881/tillsynsmail/A 16161-2026 tillsynsbegäran mail.docx", "A 16161-2026")</f>
        <v/>
      </c>
    </row>
    <row r="103" ht="15" customHeight="1">
      <c r="A103" t="inlineStr">
        <is>
          <t>A 38265-2024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45545</v>
      </c>
      <c r="E103" s="1" t="n">
        <v>46312</v>
      </c>
      <c r="F103" t="inlineStr">
        <is>
          <t>KALMAR LÄN</t>
        </is>
      </c>
      <c r="G103" t="inlineStr">
        <is>
          <t>NYBRO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Mindre bastardsvärmare</t>
        </is>
      </c>
      <c r="W103">
        <f>HYPERLINK("https://klasma.github.io/Logging_0881/artfynd/A 38265-2024 artfynd.xlsx", "A 38265-2024")</f>
        <v/>
      </c>
      <c r="X103">
        <f>HYPERLINK("https://klasma.github.io/Logging_0881/kartor/A 38265-2024 karta.png", "A 38265-2024")</f>
        <v/>
      </c>
      <c r="Y103">
        <f>HYPERLINK("https://klasma.github.io/Logging_0881/kartor_geotiff/A 38265-2024 georefererad karta.tif", "A 38265-2024")</f>
        <v/>
      </c>
      <c r="AA103">
        <f>HYPERLINK("https://klasma.github.io/Logging_0881/klagomål/A 38265-2024 FSC-klagomål.docx", "A 38265-2024")</f>
        <v/>
      </c>
      <c r="AB103">
        <f>HYPERLINK("https://klasma.github.io/Logging_0881/klagomålsmail/A 38265-2024 FSC-klagomål mail.docx", "A 38265-2024")</f>
        <v/>
      </c>
      <c r="AC103">
        <f>HYPERLINK("https://klasma.github.io/Logging_0881/tillsyn/A 38265-2024 tillsynsbegäran.docx", "A 38265-2024")</f>
        <v/>
      </c>
      <c r="AD103">
        <f>HYPERLINK("https://klasma.github.io/Logging_0881/tillsynsmail/A 38265-2024 tillsynsbegäran mail.docx", "A 38265-2024")</f>
        <v/>
      </c>
    </row>
    <row r="104" ht="15" customHeight="1">
      <c r="A104" t="inlineStr">
        <is>
          <t>A 46223-2024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46312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Sumpviol</t>
        </is>
      </c>
      <c r="W104">
        <f>HYPERLINK("https://klasma.github.io/Logging_0881/artfynd/A 46223-2024 artfynd.xlsx", "A 46223-2024")</f>
        <v/>
      </c>
      <c r="X104">
        <f>HYPERLINK("https://klasma.github.io/Logging_0881/kartor/A 46223-2024 karta.png", "A 46223-2024")</f>
        <v/>
      </c>
      <c r="Y104">
        <f>HYPERLINK("https://klasma.github.io/Logging_0881/kartor_geotiff/A 46223-2024 georefererad karta.tif", "A 46223-2024")</f>
        <v/>
      </c>
      <c r="AA104">
        <f>HYPERLINK("https://klasma.github.io/Logging_0881/klagomål/A 46223-2024 FSC-klagomål.docx", "A 46223-2024")</f>
        <v/>
      </c>
      <c r="AB104">
        <f>HYPERLINK("https://klasma.github.io/Logging_0881/klagomålsmail/A 46223-2024 FSC-klagomål mail.docx", "A 46223-2024")</f>
        <v/>
      </c>
      <c r="AC104">
        <f>HYPERLINK("https://klasma.github.io/Logging_0881/tillsyn/A 46223-2024 tillsynsbegäran.docx", "A 46223-2024")</f>
        <v/>
      </c>
      <c r="AD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31861-2023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46312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Ask</t>
        </is>
      </c>
      <c r="W105">
        <f>HYPERLINK("https://klasma.github.io/Logging_0881/artfynd/A 31861-2023 artfynd.xlsx", "A 31861-2023")</f>
        <v/>
      </c>
      <c r="X105">
        <f>HYPERLINK("https://klasma.github.io/Logging_0881/kartor/A 31861-2023 karta.png", "A 31861-2023")</f>
        <v/>
      </c>
      <c r="Y105">
        <f>HYPERLINK("https://klasma.github.io/Logging_0881/kartor_geotiff/A 31861-2023 georefererad karta.tif", "A 31861-2023")</f>
        <v/>
      </c>
      <c r="AA105">
        <f>HYPERLINK("https://klasma.github.io/Logging_0881/klagomål/A 31861-2023 FSC-klagomål.docx", "A 31861-2023")</f>
        <v/>
      </c>
      <c r="AB105">
        <f>HYPERLINK("https://klasma.github.io/Logging_0881/klagomålsmail/A 31861-2023 FSC-klagomål mail.docx", "A 31861-2023")</f>
        <v/>
      </c>
      <c r="AC105">
        <f>HYPERLINK("https://klasma.github.io/Logging_0881/tillsyn/A 31861-2023 tillsynsbegäran.docx", "A 31861-2023")</f>
        <v/>
      </c>
      <c r="AD105">
        <f>HYPERLINK("https://klasma.github.io/Logging_0881/tillsynsmail/A 31861-2023 tillsynsbegäran mail.docx", "A 31861-2023")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46312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12323-2025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46312</v>
      </c>
      <c r="F107" t="inlineStr">
        <is>
          <t>KALMAR LÄN</t>
        </is>
      </c>
      <c r="G107" t="inlineStr">
        <is>
          <t>NYBRO</t>
        </is>
      </c>
      <c r="I107" t="n">
        <v>14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HYPERLINK("https://klasma.github.io/Logging_0881/artfynd/A 12323-2025 artfynd.xlsx", "A 12323-2025")</f>
        <v/>
      </c>
      <c r="X107">
        <f>HYPERLINK("https://klasma.github.io/Logging_0881/kartor/A 12323-2025 karta.png", "A 12323-2025")</f>
        <v/>
      </c>
      <c r="Y107">
        <f>HYPERLINK("https://klasma.github.io/Logging_0881/kartor_geotiff/A 12323-2025 georefererad karta.tif", "A 12323-2025")</f>
        <v/>
      </c>
      <c r="AA107">
        <f>HYPERLINK("https://klasma.github.io/Logging_0881/klagomål/A 12323-2025 FSC-klagomål.docx", "A 12323-2025")</f>
        <v/>
      </c>
      <c r="AB107">
        <f>HYPERLINK("https://klasma.github.io/Logging_0881/klagomålsmail/A 12323-2025 FSC-klagomål mail.docx", "A 12323-2025")</f>
        <v/>
      </c>
      <c r="AC107">
        <f>HYPERLINK("https://klasma.github.io/Logging_0881/tillsyn/A 12323-2025 tillsynsbegäran.docx", "A 12323-2025")</f>
        <v/>
      </c>
      <c r="AD107">
        <f>HYPERLINK("https://klasma.github.io/Logging_0881/tillsynsmail/A 12323-2025 tillsynsbegäran mail.docx", "A 12323-2025")</f>
        <v/>
      </c>
      <c r="AE107">
        <f>HYPERLINK("https://klasma.github.io/Logging_0881/fåglar/A 12323-2025 prioriterade fågelarter.docx", "A 12323-2025")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46312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1717-2024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45307</v>
      </c>
      <c r="E109" s="1" t="n">
        <v>46312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HYPERLINK("https://klasma.github.io/Logging_0881/artfynd/A 1717-2024 artfynd.xlsx", "A 1717-2024")</f>
        <v/>
      </c>
      <c r="X109">
        <f>HYPERLINK("https://klasma.github.io/Logging_0881/kartor/A 1717-2024 karta.png", "A 1717-2024")</f>
        <v/>
      </c>
      <c r="Y109">
        <f>HYPERLINK("https://klasma.github.io/Logging_0881/kartor_geotiff/A 1717-2024 georefererad karta.tif", "A 1717-2024")</f>
        <v/>
      </c>
      <c r="AA109">
        <f>HYPERLINK("https://klasma.github.io/Logging_0881/klagomål/A 1717-2024 FSC-klagomål.docx", "A 1717-2024")</f>
        <v/>
      </c>
      <c r="AB109">
        <f>HYPERLINK("https://klasma.github.io/Logging_0881/klagomålsmail/A 1717-2024 FSC-klagomål mail.docx", "A 1717-2024")</f>
        <v/>
      </c>
      <c r="AC109">
        <f>HYPERLINK("https://klasma.github.io/Logging_0881/tillsyn/A 1717-2024 tillsynsbegäran.docx", "A 1717-2024")</f>
        <v/>
      </c>
      <c r="AD109">
        <f>HYPERLINK("https://klasma.github.io/Logging_0881/tillsynsmail/A 1717-2024 tillsynsbegäran mail.docx", "A 1717-2024")</f>
        <v/>
      </c>
    </row>
    <row r="110" ht="15" customHeight="1">
      <c r="A110" t="inlineStr">
        <is>
          <t>A 34361-2026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46254</v>
      </c>
      <c r="E110" s="1" t="n">
        <v>46312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9.5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Havsörn</t>
        </is>
      </c>
      <c r="W110">
        <f>HYPERLINK("https://klasma.github.io/Logging_0881/artfynd/A 34361-2026 artfynd.xlsx", "A 34361-2026")</f>
        <v/>
      </c>
      <c r="X110">
        <f>HYPERLINK("https://klasma.github.io/Logging_0881/kartor/A 34361-2026 karta.png", "A 34361-2026")</f>
        <v/>
      </c>
      <c r="Y110">
        <f>HYPERLINK("https://klasma.github.io/Logging_0881/kartor_geotiff/A 34361-2026 georefererad karta.tif", "A 34361-2026")</f>
        <v/>
      </c>
      <c r="AA110">
        <f>HYPERLINK("https://klasma.github.io/Logging_0881/klagomål/A 34361-2026 FSC-klagomål.docx", "A 34361-2026")</f>
        <v/>
      </c>
      <c r="AB110">
        <f>HYPERLINK("https://klasma.github.io/Logging_0881/klagomålsmail/A 34361-2026 FSC-klagomål mail.docx", "A 34361-2026")</f>
        <v/>
      </c>
      <c r="AC110">
        <f>HYPERLINK("https://klasma.github.io/Logging_0881/tillsyn/A 34361-2026 tillsynsbegäran.docx", "A 34361-2026")</f>
        <v/>
      </c>
      <c r="AD110">
        <f>HYPERLINK("https://klasma.github.io/Logging_0881/tillsynsmail/A 34361-2026 tillsynsbegäran mail.docx", "A 34361-2026")</f>
        <v/>
      </c>
      <c r="AE110">
        <f>HYPERLINK("https://klasma.github.io/Logging_0881/fåglar/A 34361-2026 prioriterade fågelarter.docx", "A 34361-2026")</f>
        <v/>
      </c>
    </row>
    <row r="111" ht="15" customHeight="1">
      <c r="A111" t="inlineStr">
        <is>
          <t>A 41307-2026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46300</v>
      </c>
      <c r="E111" s="1" t="n">
        <v>46312</v>
      </c>
      <c r="F111" t="inlineStr">
        <is>
          <t>KALMAR LÄN</t>
        </is>
      </c>
      <c r="G111" t="inlineStr">
        <is>
          <t>NYBRO</t>
        </is>
      </c>
      <c r="I111" t="n">
        <v>5.2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groda</t>
        </is>
      </c>
      <c r="W111">
        <f>HYPERLINK("https://klasma.github.io/Logging_0881/artfynd/A 41307-2026 artfynd.xlsx", "A 41307-2026")</f>
        <v/>
      </c>
      <c r="X111">
        <f>HYPERLINK("https://klasma.github.io/Logging_0881/kartor/A 41307-2026 karta.png", "A 41307-2026")</f>
        <v/>
      </c>
      <c r="Y111">
        <f>HYPERLINK("https://klasma.github.io/Logging_0881/kartor_geotiff/A 41307-2026 georefererad karta.tif", "A 41307-2026")</f>
        <v/>
      </c>
      <c r="AA111">
        <f>HYPERLINK("https://klasma.github.io/Logging_0881/klagomål/A 41307-2026 FSC-klagomål.docx", "A 41307-2026")</f>
        <v/>
      </c>
      <c r="AB111">
        <f>HYPERLINK("https://klasma.github.io/Logging_0881/klagomålsmail/A 41307-2026 FSC-klagomål mail.docx", "A 41307-2026")</f>
        <v/>
      </c>
      <c r="AC111">
        <f>HYPERLINK("https://klasma.github.io/Logging_0881/tillsyn/A 41307-2026 tillsynsbegäran.docx", "A 41307-2026")</f>
        <v/>
      </c>
      <c r="AD111">
        <f>HYPERLINK("https://klasma.github.io/Logging_0881/tillsynsmail/A 41307-2026 tillsynsbegäran mail.docx", "A 41307-2026")</f>
        <v/>
      </c>
    </row>
    <row r="112" ht="15" customHeight="1">
      <c r="A112" t="inlineStr">
        <is>
          <t>A 37621-2024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46312</v>
      </c>
      <c r="F112" t="inlineStr">
        <is>
          <t>KALMAR LÄN</t>
        </is>
      </c>
      <c r="G112" t="inlineStr">
        <is>
          <t>NYBRO</t>
        </is>
      </c>
      <c r="I112" t="n">
        <v>4.1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Blåmossa</t>
        </is>
      </c>
      <c r="W112">
        <f>HYPERLINK("https://klasma.github.io/Logging_0881/artfynd/A 37621-2024 artfynd.xlsx", "A 37621-2024")</f>
        <v/>
      </c>
      <c r="X112">
        <f>HYPERLINK("https://klasma.github.io/Logging_0881/kartor/A 37621-2024 karta.png", "A 37621-2024")</f>
        <v/>
      </c>
      <c r="Y112">
        <f>HYPERLINK("https://klasma.github.io/Logging_0881/kartor_geotiff/A 37621-2024 georefererad karta.tif", "A 37621-2024")</f>
        <v/>
      </c>
      <c r="AA112">
        <f>HYPERLINK("https://klasma.github.io/Logging_0881/klagomål/A 37621-2024 FSC-klagomål.docx", "A 37621-2024")</f>
        <v/>
      </c>
      <c r="AB112">
        <f>HYPERLINK("https://klasma.github.io/Logging_0881/klagomålsmail/A 37621-2024 FSC-klagomål mail.docx", "A 37621-2024")</f>
        <v/>
      </c>
      <c r="AC112">
        <f>HYPERLINK("https://klasma.github.io/Logging_0881/tillsyn/A 37621-2024 tillsynsbegäran.docx", "A 37621-2024")</f>
        <v/>
      </c>
      <c r="AD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6931-2025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46312</v>
      </c>
      <c r="F113" t="inlineStr">
        <is>
          <t>KALMAR LÄN</t>
        </is>
      </c>
      <c r="G113" t="inlineStr">
        <is>
          <t>NYBRO</t>
        </is>
      </c>
      <c r="I113" t="n">
        <v>2.7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Grönpyrola</t>
        </is>
      </c>
      <c r="W113">
        <f>HYPERLINK("https://klasma.github.io/Logging_0881/artfynd/A 6931-2025 artfynd.xlsx", "A 6931-2025")</f>
        <v/>
      </c>
      <c r="X113">
        <f>HYPERLINK("https://klasma.github.io/Logging_0881/kartor/A 6931-2025 karta.png", "A 6931-2025")</f>
        <v/>
      </c>
      <c r="Y113">
        <f>HYPERLINK("https://klasma.github.io/Logging_0881/kartor_geotiff/A 6931-2025 georefererad karta.tif", "A 6931-2025")</f>
        <v/>
      </c>
      <c r="AA113">
        <f>HYPERLINK("https://klasma.github.io/Logging_0881/klagomål/A 6931-2025 FSC-klagomål.docx", "A 6931-2025")</f>
        <v/>
      </c>
      <c r="AB113">
        <f>HYPERLINK("https://klasma.github.io/Logging_0881/klagomålsmail/A 6931-2025 FSC-klagomål mail.docx", "A 6931-2025")</f>
        <v/>
      </c>
      <c r="AC113">
        <f>HYPERLINK("https://klasma.github.io/Logging_0881/tillsyn/A 6931-2025 tillsynsbegäran.docx", "A 6931-2025")</f>
        <v/>
      </c>
      <c r="AD113">
        <f>HYPERLINK("https://klasma.github.io/Logging_0881/tillsynsmail/A 6931-2025 tillsynsbegäran mail.docx", "A 6931-2025")</f>
        <v/>
      </c>
    </row>
    <row r="114" ht="15" customHeight="1">
      <c r="A114" t="inlineStr">
        <is>
          <t>A 41719-2026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46302</v>
      </c>
      <c r="E114" s="1" t="n">
        <v>46312</v>
      </c>
      <c r="F114" t="inlineStr">
        <is>
          <t>KALMAR LÄN</t>
        </is>
      </c>
      <c r="G114" t="inlineStr">
        <is>
          <t>NYBRO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HYPERLINK("https://klasma.github.io/Logging_0881/artfynd/A 41719-2026 artfynd.xlsx", "A 41719-2026")</f>
        <v/>
      </c>
      <c r="X114">
        <f>HYPERLINK("https://klasma.github.io/Logging_0881/kartor/A 41719-2026 karta.png", "A 41719-2026")</f>
        <v/>
      </c>
      <c r="Y114">
        <f>HYPERLINK("https://klasma.github.io/Logging_0881/kartor_geotiff/A 41719-2026 georefererad karta.tif", "A 41719-2026")</f>
        <v/>
      </c>
      <c r="AA114">
        <f>HYPERLINK("https://klasma.github.io/Logging_0881/klagomål/A 41719-2026 FSC-klagomål.docx", "A 41719-2026")</f>
        <v/>
      </c>
      <c r="AB114">
        <f>HYPERLINK("https://klasma.github.io/Logging_0881/klagomålsmail/A 41719-2026 FSC-klagomål mail.docx", "A 41719-2026")</f>
        <v/>
      </c>
      <c r="AC114">
        <f>HYPERLINK("https://klasma.github.io/Logging_0881/tillsyn/A 41719-2026 tillsynsbegäran.docx", "A 41719-2026")</f>
        <v/>
      </c>
      <c r="AD114">
        <f>HYPERLINK("https://klasma.github.io/Logging_0881/tillsynsmail/A 41719-2026 tillsynsbegäran mail.docx", "A 41719-2026")</f>
        <v/>
      </c>
      <c r="AE114">
        <f>HYPERLINK("https://klasma.github.io/Logging_0881/fåglar/A 41719-2026 prioriterade fågelarter.docx", "A 41719-2026")</f>
        <v/>
      </c>
    </row>
    <row r="115" ht="15" customHeight="1">
      <c r="A115" t="inlineStr">
        <is>
          <t>A 60036-2022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46312</v>
      </c>
      <c r="F115" t="inlineStr">
        <is>
          <t>KALMAR LÄN</t>
        </is>
      </c>
      <c r="G115" t="inlineStr">
        <is>
          <t>NYBRO</t>
        </is>
      </c>
      <c r="I115" t="n">
        <v>8.699999999999999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13</v>
      </c>
      <c r="U115" t="n">
        <v>0</v>
      </c>
      <c r="V115" s="2" t="inlineStr">
        <is>
          <t>Knärot</t>
        </is>
      </c>
      <c r="W115">
        <f>HYPERLINK("https://klasma.github.io/Logging_0881/artfynd/A 60036-2022 artfynd.xlsx", "A 60036-2022")</f>
        <v/>
      </c>
      <c r="X115">
        <f>HYPERLINK("https://klasma.github.io/Logging_0881/kartor/A 60036-2022 karta.png", "A 60036-2022")</f>
        <v/>
      </c>
      <c r="Y115">
        <f>HYPERLINK("https://klasma.github.io/Logging_0881/kartor_geotiff/A 60036-2022 georefererad karta.tif", "A 60036-2022")</f>
        <v/>
      </c>
      <c r="Z115">
        <f>HYPERLINK("https://klasma.github.io/Logging_0881/knärot/A 60036-2022 karta knärot.png", "A 60036-2022")</f>
        <v/>
      </c>
      <c r="AA115">
        <f>HYPERLINK("https://klasma.github.io/Logging_0881/klagomål/A 60036-2022 FSC-klagomål.docx", "A 60036-2022")</f>
        <v/>
      </c>
      <c r="AB115">
        <f>HYPERLINK("https://klasma.github.io/Logging_0881/klagomålsmail/A 60036-2022 FSC-klagomål mail.docx", "A 60036-2022")</f>
        <v/>
      </c>
      <c r="AC115">
        <f>HYPERLINK("https://klasma.github.io/Logging_0881/tillsyn/A 60036-2022 tillsynsbegäran.docx", "A 60036-2022")</f>
        <v/>
      </c>
      <c r="AD115">
        <f>HYPERLINK("https://klasma.github.io/Logging_0881/tillsynsmail/A 60036-2022 tillsynsbegäran mail.docx", "A 60036-2022")</f>
        <v/>
      </c>
    </row>
    <row r="116" ht="15" customHeight="1">
      <c r="A116" t="inlineStr">
        <is>
          <t>A 38798-2024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45547</v>
      </c>
      <c r="E116" s="1" t="n">
        <v>46312</v>
      </c>
      <c r="F116" t="inlineStr">
        <is>
          <t>KALMAR LÄN</t>
        </is>
      </c>
      <c r="G116" t="inlineStr">
        <is>
          <t>NYBRO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Nattskärra</t>
        </is>
      </c>
      <c r="W116">
        <f>HYPERLINK("https://klasma.github.io/Logging_0881/artfynd/A 38798-2024 artfynd.xlsx", "A 38798-2024")</f>
        <v/>
      </c>
      <c r="X116">
        <f>HYPERLINK("https://klasma.github.io/Logging_0881/kartor/A 38798-2024 karta.png", "A 38798-2024")</f>
        <v/>
      </c>
      <c r="Y116">
        <f>HYPERLINK("https://klasma.github.io/Logging_0881/kartor_geotiff/A 38798-2024 georefererad karta.tif", "A 38798-2024")</f>
        <v/>
      </c>
      <c r="AA116">
        <f>HYPERLINK("https://klasma.github.io/Logging_0881/klagomål/A 38798-2024 FSC-klagomål.docx", "A 38798-2024")</f>
        <v/>
      </c>
      <c r="AB116">
        <f>HYPERLINK("https://klasma.github.io/Logging_0881/klagomålsmail/A 38798-2024 FSC-klagomål mail.docx", "A 38798-2024")</f>
        <v/>
      </c>
      <c r="AC116">
        <f>HYPERLINK("https://klasma.github.io/Logging_0881/tillsyn/A 38798-2024 tillsynsbegäran.docx", "A 38798-2024")</f>
        <v/>
      </c>
      <c r="AD116">
        <f>HYPERLINK("https://klasma.github.io/Logging_0881/tillsynsmail/A 38798-2024 tillsynsbegäran mail.docx", "A 38798-2024")</f>
        <v/>
      </c>
      <c r="AE116">
        <f>HYPERLINK("https://klasma.github.io/Logging_0881/fåglar/A 38798-2024 prioriterade fågelarter.docx", "A 38798-2024")</f>
        <v/>
      </c>
    </row>
    <row r="117" ht="15" customHeight="1">
      <c r="A117" t="inlineStr">
        <is>
          <t>A 49782-2025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45940</v>
      </c>
      <c r="E117" s="1" t="n">
        <v>46312</v>
      </c>
      <c r="F117" t="inlineStr">
        <is>
          <t>KALMAR LÄN</t>
        </is>
      </c>
      <c r="G117" t="inlineStr">
        <is>
          <t>NYBRO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Röd glada</t>
        </is>
      </c>
      <c r="W117">
        <f>HYPERLINK("https://klasma.github.io/Logging_0881/artfynd/A 49782-2025 artfynd.xlsx", "A 49782-2025")</f>
        <v/>
      </c>
      <c r="X117">
        <f>HYPERLINK("https://klasma.github.io/Logging_0881/kartor/A 49782-2025 karta.png", "A 49782-2025")</f>
        <v/>
      </c>
      <c r="Y117">
        <f>HYPERLINK("https://klasma.github.io/Logging_0881/kartor_geotiff/A 49782-2025 georefererad karta.tif", "A 49782-2025")</f>
        <v/>
      </c>
      <c r="AA117">
        <f>HYPERLINK("https://klasma.github.io/Logging_0881/klagomål/A 49782-2025 FSC-klagomål.docx", "A 49782-2025")</f>
        <v/>
      </c>
      <c r="AB117">
        <f>HYPERLINK("https://klasma.github.io/Logging_0881/klagomålsmail/A 49782-2025 FSC-klagomål mail.docx", "A 49782-2025")</f>
        <v/>
      </c>
      <c r="AC117">
        <f>HYPERLINK("https://klasma.github.io/Logging_0881/tillsyn/A 49782-2025 tillsynsbegäran.docx", "A 49782-2025")</f>
        <v/>
      </c>
      <c r="AD117">
        <f>HYPERLINK("https://klasma.github.io/Logging_0881/tillsynsmail/A 49782-2025 tillsynsbegäran mail.docx", "A 49782-2025")</f>
        <v/>
      </c>
      <c r="AE117">
        <f>HYPERLINK("https://klasma.github.io/Logging_0881/fåglar/A 49782-2025 prioriterade fågelarter.docx", "A 49782-2025")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46312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54216-2024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46312</v>
      </c>
      <c r="F119" t="inlineStr">
        <is>
          <t>KALMAR LÄN</t>
        </is>
      </c>
      <c r="G119" t="inlineStr">
        <is>
          <t>NYBRO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HYPERLINK("https://klasma.github.io/Logging_0881/artfynd/A 54216-2024 artfynd.xlsx", "A 54216-2024")</f>
        <v/>
      </c>
      <c r="X119">
        <f>HYPERLINK("https://klasma.github.io/Logging_0881/kartor/A 54216-2024 karta.png", "A 54216-2024")</f>
        <v/>
      </c>
      <c r="Y119">
        <f>HYPERLINK("https://klasma.github.io/Logging_0881/kartor_geotiff/A 54216-2024 georefererad karta.tif", "A 54216-2024")</f>
        <v/>
      </c>
      <c r="AA119">
        <f>HYPERLINK("https://klasma.github.io/Logging_0881/klagomål/A 54216-2024 FSC-klagomål.docx", "A 54216-2024")</f>
        <v/>
      </c>
      <c r="AB119">
        <f>HYPERLINK("https://klasma.github.io/Logging_0881/klagomålsmail/A 54216-2024 FSC-klagomål mail.docx", "A 54216-2024")</f>
        <v/>
      </c>
      <c r="AC119">
        <f>HYPERLINK("https://klasma.github.io/Logging_0881/tillsyn/A 54216-2024 tillsynsbegäran.docx", "A 54216-2024")</f>
        <v/>
      </c>
      <c r="AD119">
        <f>HYPERLINK("https://klasma.github.io/Logging_0881/tillsynsmail/A 54216-2024 tillsynsbegäran mail.docx", "A 54216-2024")</f>
        <v/>
      </c>
      <c r="AE119">
        <f>HYPERLINK("https://klasma.github.io/Logging_0881/fåglar/A 54216-2024 prioriterade fågelarter.docx", "A 54216-2024")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46312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46312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46312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46312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46312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46312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46312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46312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46312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46312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46312</v>
      </c>
      <c r="F130" t="inlineStr">
        <is>
          <t>KALMAR LÄN</t>
        </is>
      </c>
      <c r="G130" t="inlineStr">
        <is>
          <t>NYBRO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46312</v>
      </c>
      <c r="F131" t="inlineStr">
        <is>
          <t>KALMAR LÄN</t>
        </is>
      </c>
      <c r="G131" t="inlineStr">
        <is>
          <t>NYBRO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46312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46312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46312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46312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46312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46312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46312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46312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46312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46312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46312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46312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46312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46312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46312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46312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46312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46312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46312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46312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46312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46312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46312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46312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46312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46312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46312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46312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46312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46312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46312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46312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46312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46312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46312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46312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46312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46312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46312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46312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46312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46312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46312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46312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46312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46312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46312</v>
      </c>
      <c r="F178" t="inlineStr">
        <is>
          <t>KALMAR LÄN</t>
        </is>
      </c>
      <c r="G178" t="inlineStr">
        <is>
          <t>NYBRO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46312</v>
      </c>
      <c r="F179" t="inlineStr">
        <is>
          <t>KALMAR LÄN</t>
        </is>
      </c>
      <c r="G179" t="inlineStr">
        <is>
          <t>NYBRO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46312</v>
      </c>
      <c r="F180" t="inlineStr">
        <is>
          <t>KALMAR LÄN</t>
        </is>
      </c>
      <c r="G180" t="inlineStr">
        <is>
          <t>NYBRO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46312</v>
      </c>
      <c r="F181" t="inlineStr">
        <is>
          <t>KALMAR LÄN</t>
        </is>
      </c>
      <c r="G181" t="inlineStr">
        <is>
          <t>NYBRO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46312</v>
      </c>
      <c r="F182" t="inlineStr">
        <is>
          <t>KALMAR LÄN</t>
        </is>
      </c>
      <c r="G182" t="inlineStr">
        <is>
          <t>NYBRO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46312</v>
      </c>
      <c r="F183" t="inlineStr">
        <is>
          <t>KALMAR LÄN</t>
        </is>
      </c>
      <c r="G183" t="inlineStr">
        <is>
          <t>NYBRO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45022</v>
      </c>
      <c r="E184" s="1" t="n">
        <v>46312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45488</v>
      </c>
      <c r="E185" s="1" t="n">
        <v>46312</v>
      </c>
      <c r="F185" t="inlineStr">
        <is>
          <t>KALMAR LÄN</t>
        </is>
      </c>
      <c r="G185" t="inlineStr">
        <is>
          <t>NYBRO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46312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45123</v>
      </c>
      <c r="E187" s="1" t="n">
        <v>46312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46312</v>
      </c>
      <c r="F188" t="inlineStr">
        <is>
          <t>KALMAR LÄN</t>
        </is>
      </c>
      <c r="G188" t="inlineStr">
        <is>
          <t>NYBRO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45054</v>
      </c>
      <c r="E189" s="1" t="n">
        <v>46312</v>
      </c>
      <c r="F189" t="inlineStr">
        <is>
          <t>KALMAR LÄN</t>
        </is>
      </c>
      <c r="G189" t="inlineStr">
        <is>
          <t>NYBRO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46312</v>
      </c>
      <c r="F190" t="inlineStr">
        <is>
          <t>KALMAR LÄN</t>
        </is>
      </c>
      <c r="G190" t="inlineStr">
        <is>
          <t>NYBRO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46312</v>
      </c>
      <c r="F191" t="inlineStr">
        <is>
          <t>KALMAR LÄN</t>
        </is>
      </c>
      <c r="G191" t="inlineStr">
        <is>
          <t>NYBRO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46312</v>
      </c>
      <c r="F192" t="inlineStr">
        <is>
          <t>KALMAR LÄN</t>
        </is>
      </c>
      <c r="G192" t="inlineStr">
        <is>
          <t>NYBRO</t>
        </is>
      </c>
      <c r="H192" t="inlineStr">
        <is>
          <t>Kommuner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46312</v>
      </c>
      <c r="F193" t="inlineStr">
        <is>
          <t>KALMAR LÄN</t>
        </is>
      </c>
      <c r="G193" t="inlineStr">
        <is>
          <t>NYBRO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46312</v>
      </c>
      <c r="F194" t="inlineStr">
        <is>
          <t>KALMAR LÄN</t>
        </is>
      </c>
      <c r="G194" t="inlineStr">
        <is>
          <t>NYBRO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40444-2022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44819</v>
      </c>
      <c r="E195" s="1" t="n">
        <v>46312</v>
      </c>
      <c r="F195" t="inlineStr">
        <is>
          <t>KALMAR LÄN</t>
        </is>
      </c>
      <c r="G195" t="inlineStr">
        <is>
          <t>NYBRO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46312</v>
      </c>
      <c r="F196" t="inlineStr">
        <is>
          <t>KALMAR LÄN</t>
        </is>
      </c>
      <c r="G196" t="inlineStr">
        <is>
          <t>NYBRO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45606</v>
      </c>
      <c r="E197" s="1" t="n">
        <v>46312</v>
      </c>
      <c r="F197" t="inlineStr">
        <is>
          <t>KALMAR LÄN</t>
        </is>
      </c>
      <c r="G197" t="inlineStr">
        <is>
          <t>NYBRO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72166-2021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44544</v>
      </c>
      <c r="E198" s="1" t="n">
        <v>46312</v>
      </c>
      <c r="F198" t="inlineStr">
        <is>
          <t>KALMAR LÄN</t>
        </is>
      </c>
      <c r="G198" t="inlineStr">
        <is>
          <t>NYBRO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46312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45278</v>
      </c>
      <c r="E200" s="1" t="n">
        <v>46312</v>
      </c>
      <c r="F200" t="inlineStr">
        <is>
          <t>KALMAR LÄN</t>
        </is>
      </c>
      <c r="G200" t="inlineStr">
        <is>
          <t>NYBRO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44818</v>
      </c>
      <c r="E201" s="1" t="n">
        <v>46312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44933</v>
      </c>
      <c r="E202" s="1" t="n">
        <v>46312</v>
      </c>
      <c r="F202" t="inlineStr">
        <is>
          <t>KALMAR LÄN</t>
        </is>
      </c>
      <c r="G202" t="inlineStr">
        <is>
          <t>NYBRO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46312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19244-2022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44692</v>
      </c>
      <c r="E204" s="1" t="n">
        <v>46312</v>
      </c>
      <c r="F204" t="inlineStr">
        <is>
          <t>KALMAR LÄN</t>
        </is>
      </c>
      <c r="G204" t="inlineStr">
        <is>
          <t>NYBRO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45307</v>
      </c>
      <c r="E205" s="1" t="n">
        <v>46312</v>
      </c>
      <c r="F205" t="inlineStr">
        <is>
          <t>KALMAR LÄN</t>
        </is>
      </c>
      <c r="G205" t="inlineStr">
        <is>
          <t>NYBRO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46312</v>
      </c>
      <c r="F206" t="inlineStr">
        <is>
          <t>KALMAR LÄN</t>
        </is>
      </c>
      <c r="G206" t="inlineStr">
        <is>
          <t>NYBRO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46312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46312</v>
      </c>
      <c r="F208" t="inlineStr">
        <is>
          <t>KALMAR LÄN</t>
        </is>
      </c>
      <c r="G208" t="inlineStr">
        <is>
          <t>NYBRO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46312</v>
      </c>
      <c r="F209" t="inlineStr">
        <is>
          <t>KALMAR LÄN</t>
        </is>
      </c>
      <c r="G209" t="inlineStr">
        <is>
          <t>NYBRO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46312</v>
      </c>
      <c r="F210" t="inlineStr">
        <is>
          <t>KALMAR LÄN</t>
        </is>
      </c>
      <c r="G210" t="inlineStr">
        <is>
          <t>NYBRO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46312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46312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46312</v>
      </c>
      <c r="F213" t="inlineStr">
        <is>
          <t>KALMAR LÄN</t>
        </is>
      </c>
      <c r="G213" t="inlineStr">
        <is>
          <t>NYBRO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45021</v>
      </c>
      <c r="E214" s="1" t="n">
        <v>46312</v>
      </c>
      <c r="F214" t="inlineStr">
        <is>
          <t>KALMAR LÄN</t>
        </is>
      </c>
      <c r="G214" t="inlineStr">
        <is>
          <t>NYBRO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11968-2025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45728</v>
      </c>
      <c r="E215" s="1" t="n">
        <v>46312</v>
      </c>
      <c r="F215" t="inlineStr">
        <is>
          <t>KALMAR LÄN</t>
        </is>
      </c>
      <c r="G215" t="inlineStr">
        <is>
          <t>NYBRO</t>
        </is>
      </c>
      <c r="H215" t="inlineStr">
        <is>
          <t>Sveaskog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46312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44909</v>
      </c>
      <c r="E217" s="1" t="n">
        <v>46312</v>
      </c>
      <c r="F217" t="inlineStr">
        <is>
          <t>KALMAR LÄN</t>
        </is>
      </c>
      <c r="G217" t="inlineStr">
        <is>
          <t>NYBRO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46312</v>
      </c>
      <c r="F218" t="inlineStr">
        <is>
          <t>KALMAR LÄN</t>
        </is>
      </c>
      <c r="G218" t="inlineStr">
        <is>
          <t>NYBRO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46312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44594</v>
      </c>
      <c r="E220" s="1" t="n">
        <v>46312</v>
      </c>
      <c r="F220" t="inlineStr">
        <is>
          <t>KALMAR LÄN</t>
        </is>
      </c>
      <c r="G220" t="inlineStr">
        <is>
          <t>NYBRO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59687-2021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44494</v>
      </c>
      <c r="E221" s="1" t="n">
        <v>46312</v>
      </c>
      <c r="F221" t="inlineStr">
        <is>
          <t>KALMAR LÄN</t>
        </is>
      </c>
      <c r="G221" t="inlineStr">
        <is>
          <t>NYBRO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46312</v>
      </c>
      <c r="F222" t="inlineStr">
        <is>
          <t>KALMAR LÄN</t>
        </is>
      </c>
      <c r="G222" t="inlineStr">
        <is>
          <t>NYBRO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46312</v>
      </c>
      <c r="F223" t="inlineStr">
        <is>
          <t>KALMAR LÄN</t>
        </is>
      </c>
      <c r="G223" t="inlineStr">
        <is>
          <t>NYBRO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46312</v>
      </c>
      <c r="F224" t="inlineStr">
        <is>
          <t>KALMAR LÄN</t>
        </is>
      </c>
      <c r="G224" t="inlineStr">
        <is>
          <t>NYBRO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46312</v>
      </c>
      <c r="F225" t="inlineStr">
        <is>
          <t>KALMAR LÄN</t>
        </is>
      </c>
      <c r="G225" t="inlineStr">
        <is>
          <t>NYBRO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46312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46312</v>
      </c>
      <c r="F227" t="inlineStr">
        <is>
          <t>KALMAR LÄN</t>
        </is>
      </c>
      <c r="G227" t="inlineStr">
        <is>
          <t>NYBRO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44833</v>
      </c>
      <c r="E228" s="1" t="n">
        <v>46312</v>
      </c>
      <c r="F228" t="inlineStr">
        <is>
          <t>KALMAR LÄN</t>
        </is>
      </c>
      <c r="G228" t="inlineStr">
        <is>
          <t>NYBRO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46312</v>
      </c>
      <c r="F229" t="inlineStr">
        <is>
          <t>KALMAR LÄN</t>
        </is>
      </c>
      <c r="G229" t="inlineStr">
        <is>
          <t>NYBRO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45106</v>
      </c>
      <c r="E230" s="1" t="n">
        <v>46312</v>
      </c>
      <c r="F230" t="inlineStr">
        <is>
          <t>KALMAR LÄN</t>
        </is>
      </c>
      <c r="G230" t="inlineStr">
        <is>
          <t>NYBRO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46312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46312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46312</v>
      </c>
      <c r="F233" t="inlineStr">
        <is>
          <t>KALMAR LÄN</t>
        </is>
      </c>
      <c r="G233" t="inlineStr">
        <is>
          <t>NYBRO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46312</v>
      </c>
      <c r="F234" t="inlineStr">
        <is>
          <t>KALMAR LÄN</t>
        </is>
      </c>
      <c r="G234" t="inlineStr">
        <is>
          <t>NYBRO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46312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45121</v>
      </c>
      <c r="E236" s="1" t="n">
        <v>46312</v>
      </c>
      <c r="F236" t="inlineStr">
        <is>
          <t>KALMAR LÄN</t>
        </is>
      </c>
      <c r="G236" t="inlineStr">
        <is>
          <t>NYBRO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45366</v>
      </c>
      <c r="E237" s="1" t="n">
        <v>46312</v>
      </c>
      <c r="F237" t="inlineStr">
        <is>
          <t>KALMAR LÄN</t>
        </is>
      </c>
      <c r="G237" t="inlineStr">
        <is>
          <t>NYBRO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45346</v>
      </c>
      <c r="E238" s="1" t="n">
        <v>46312</v>
      </c>
      <c r="F238" t="inlineStr">
        <is>
          <t>KALMAR LÄN</t>
        </is>
      </c>
      <c r="G238" t="inlineStr">
        <is>
          <t>NYBRO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46312</v>
      </c>
      <c r="F239" t="inlineStr">
        <is>
          <t>KALMAR LÄN</t>
        </is>
      </c>
      <c r="G239" t="inlineStr">
        <is>
          <t>NYBRO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46312</v>
      </c>
      <c r="F240" t="inlineStr">
        <is>
          <t>KALMAR LÄN</t>
        </is>
      </c>
      <c r="G240" t="inlineStr">
        <is>
          <t>NYBRO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44778</v>
      </c>
      <c r="E241" s="1" t="n">
        <v>46312</v>
      </c>
      <c r="F241" t="inlineStr">
        <is>
          <t>KALMAR LÄN</t>
        </is>
      </c>
      <c r="G241" t="inlineStr">
        <is>
          <t>NYBRO</t>
        </is>
      </c>
      <c r="I241" t="n">
        <v>13.7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44690</v>
      </c>
      <c r="E242" s="1" t="n">
        <v>46312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46312</v>
      </c>
      <c r="F243" t="inlineStr">
        <is>
          <t>KALMAR LÄN</t>
        </is>
      </c>
      <c r="G243" t="inlineStr">
        <is>
          <t>NYBRO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46312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46312</v>
      </c>
      <c r="F245" t="inlineStr">
        <is>
          <t>KALMAR LÄN</t>
        </is>
      </c>
      <c r="G245" t="inlineStr">
        <is>
          <t>NYBRO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46312</v>
      </c>
      <c r="F246" t="inlineStr">
        <is>
          <t>KALMAR LÄN</t>
        </is>
      </c>
      <c r="G246" t="inlineStr">
        <is>
          <t>NYBRO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46312</v>
      </c>
      <c r="F247" t="inlineStr">
        <is>
          <t>KALMAR LÄN</t>
        </is>
      </c>
      <c r="G247" t="inlineStr">
        <is>
          <t>NYBRO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45338</v>
      </c>
      <c r="E248" s="1" t="n">
        <v>46312</v>
      </c>
      <c r="F248" t="inlineStr">
        <is>
          <t>KALMAR LÄN</t>
        </is>
      </c>
      <c r="G248" t="inlineStr">
        <is>
          <t>NYBRO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45409</v>
      </c>
      <c r="E249" s="1" t="n">
        <v>46312</v>
      </c>
      <c r="F249" t="inlineStr">
        <is>
          <t>KALMAR LÄN</t>
        </is>
      </c>
      <c r="G249" t="inlineStr">
        <is>
          <t>NYBRO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46312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46312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46312</v>
      </c>
      <c r="F252" t="inlineStr">
        <is>
          <t>KALMAR LÄN</t>
        </is>
      </c>
      <c r="G252" t="inlineStr">
        <is>
          <t>NYBRO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46312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46312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46312</v>
      </c>
      <c r="F255" t="inlineStr">
        <is>
          <t>KALMAR LÄN</t>
        </is>
      </c>
      <c r="G255" t="inlineStr">
        <is>
          <t>NYBRO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44915</v>
      </c>
      <c r="E256" s="1" t="n">
        <v>46312</v>
      </c>
      <c r="F256" t="inlineStr">
        <is>
          <t>KALMAR LÄN</t>
        </is>
      </c>
      <c r="G256" t="inlineStr">
        <is>
          <t>NYBRO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46312</v>
      </c>
      <c r="F257" t="inlineStr">
        <is>
          <t>KALMAR LÄN</t>
        </is>
      </c>
      <c r="G257" t="inlineStr">
        <is>
          <t>NYBRO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46312</v>
      </c>
      <c r="F258" t="inlineStr">
        <is>
          <t>KALMAR LÄN</t>
        </is>
      </c>
      <c r="G258" t="inlineStr">
        <is>
          <t>NYBRO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45368</v>
      </c>
      <c r="E259" s="1" t="n">
        <v>46312</v>
      </c>
      <c r="F259" t="inlineStr">
        <is>
          <t>KALMAR LÄN</t>
        </is>
      </c>
      <c r="G259" t="inlineStr">
        <is>
          <t>NYBRO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46312</v>
      </c>
      <c r="F260" t="inlineStr">
        <is>
          <t>KALMAR LÄN</t>
        </is>
      </c>
      <c r="G260" t="inlineStr">
        <is>
          <t>NYBRO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46312</v>
      </c>
      <c r="F261" t="inlineStr">
        <is>
          <t>KALMAR LÄN</t>
        </is>
      </c>
      <c r="G261" t="inlineStr">
        <is>
          <t>NYBRO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44721</v>
      </c>
      <c r="E262" s="1" t="n">
        <v>46312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46312</v>
      </c>
      <c r="F263" t="inlineStr">
        <is>
          <t>KALMAR LÄN</t>
        </is>
      </c>
      <c r="G263" t="inlineStr">
        <is>
          <t>NYBRO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44853</v>
      </c>
      <c r="E264" s="1" t="n">
        <v>46312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45331</v>
      </c>
      <c r="E265" s="1" t="n">
        <v>46312</v>
      </c>
      <c r="F265" t="inlineStr">
        <is>
          <t>KALMAR LÄN</t>
        </is>
      </c>
      <c r="G265" t="inlineStr">
        <is>
          <t>NYBRO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46312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45429</v>
      </c>
      <c r="E267" s="1" t="n">
        <v>46312</v>
      </c>
      <c r="F267" t="inlineStr">
        <is>
          <t>KALMAR LÄN</t>
        </is>
      </c>
      <c r="G267" t="inlineStr">
        <is>
          <t>NYBRO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46312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44497</v>
      </c>
      <c r="E269" s="1" t="n">
        <v>46312</v>
      </c>
      <c r="F269" t="inlineStr">
        <is>
          <t>KALMAR LÄN</t>
        </is>
      </c>
      <c r="G269" t="inlineStr">
        <is>
          <t>NYBRO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45223</v>
      </c>
      <c r="E270" s="1" t="n">
        <v>46312</v>
      </c>
      <c r="F270" t="inlineStr">
        <is>
          <t>KALMAR LÄN</t>
        </is>
      </c>
      <c r="G270" t="inlineStr">
        <is>
          <t>NYBRO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46312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46312</v>
      </c>
      <c r="F272" t="inlineStr">
        <is>
          <t>KALMAR LÄN</t>
        </is>
      </c>
      <c r="G272" t="inlineStr">
        <is>
          <t>NYBRO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60819-2022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44914</v>
      </c>
      <c r="E273" s="1" t="n">
        <v>46312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60896-2022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46312</v>
      </c>
      <c r="F274" t="inlineStr">
        <is>
          <t>KALMAR LÄN</t>
        </is>
      </c>
      <c r="G274" t="inlineStr">
        <is>
          <t>NYBRO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44931</v>
      </c>
      <c r="E275" s="1" t="n">
        <v>46312</v>
      </c>
      <c r="F275" t="inlineStr">
        <is>
          <t>KALMAR LÄN</t>
        </is>
      </c>
      <c r="G275" t="inlineStr">
        <is>
          <t>NYBRO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28149-2023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45096</v>
      </c>
      <c r="E276" s="1" t="n">
        <v>46312</v>
      </c>
      <c r="F276" t="inlineStr">
        <is>
          <t>KALMAR LÄN</t>
        </is>
      </c>
      <c r="G276" t="inlineStr">
        <is>
          <t>NYBRO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46312</v>
      </c>
      <c r="F277" t="inlineStr">
        <is>
          <t>KALMAR LÄN</t>
        </is>
      </c>
      <c r="G277" t="inlineStr">
        <is>
          <t>NYBRO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46312</v>
      </c>
      <c r="F278" t="inlineStr">
        <is>
          <t>KALMAR LÄN</t>
        </is>
      </c>
      <c r="G278" t="inlineStr">
        <is>
          <t>NYBRO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46312</v>
      </c>
      <c r="F279" t="inlineStr">
        <is>
          <t>KALMAR LÄN</t>
        </is>
      </c>
      <c r="G279" t="inlineStr">
        <is>
          <t>NYBRO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46312</v>
      </c>
      <c r="F280" t="inlineStr">
        <is>
          <t>KALMAR LÄN</t>
        </is>
      </c>
      <c r="G280" t="inlineStr">
        <is>
          <t>NYBRO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44936</v>
      </c>
      <c r="E281" s="1" t="n">
        <v>46312</v>
      </c>
      <c r="F281" t="inlineStr">
        <is>
          <t>KALMAR LÄN</t>
        </is>
      </c>
      <c r="G281" t="inlineStr">
        <is>
          <t>NYBRO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46312</v>
      </c>
      <c r="F282" t="inlineStr">
        <is>
          <t>KALMAR LÄN</t>
        </is>
      </c>
      <c r="G282" t="inlineStr">
        <is>
          <t>NYBRO</t>
        </is>
      </c>
      <c r="H282" t="inlineStr">
        <is>
          <t>Kyrkan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46312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46312</v>
      </c>
      <c r="F284" t="inlineStr">
        <is>
          <t>KALMAR LÄN</t>
        </is>
      </c>
      <c r="G284" t="inlineStr">
        <is>
          <t>NYBRO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46312</v>
      </c>
      <c r="F285" t="inlineStr">
        <is>
          <t>KALMAR LÄN</t>
        </is>
      </c>
      <c r="G285" t="inlineStr">
        <is>
          <t>NYBRO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46312</v>
      </c>
      <c r="F286" t="inlineStr">
        <is>
          <t>KALMAR LÄN</t>
        </is>
      </c>
      <c r="G286" t="inlineStr">
        <is>
          <t>NYBRO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46312</v>
      </c>
      <c r="F287" t="inlineStr">
        <is>
          <t>KALMAR LÄN</t>
        </is>
      </c>
      <c r="G287" t="inlineStr">
        <is>
          <t>NYBRO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44832</v>
      </c>
      <c r="E288" s="1" t="n">
        <v>46312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46312</v>
      </c>
      <c r="F289" t="inlineStr">
        <is>
          <t>KALMAR LÄN</t>
        </is>
      </c>
      <c r="G289" t="inlineStr">
        <is>
          <t>NYBRO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45849</v>
      </c>
      <c r="E290" s="1" t="n">
        <v>46312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25717-2022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44733</v>
      </c>
      <c r="E291" s="1" t="n">
        <v>46312</v>
      </c>
      <c r="F291" t="inlineStr">
        <is>
          <t>KALMAR LÄN</t>
        </is>
      </c>
      <c r="G291" t="inlineStr">
        <is>
          <t>NYBRO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46312</v>
      </c>
      <c r="F292" t="inlineStr">
        <is>
          <t>KALMAR LÄN</t>
        </is>
      </c>
      <c r="G292" t="inlineStr">
        <is>
          <t>NYBRO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46312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46312</v>
      </c>
      <c r="F294" t="inlineStr">
        <is>
          <t>KALMAR LÄN</t>
        </is>
      </c>
      <c r="G294" t="inlineStr">
        <is>
          <t>NYBRO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46312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46312</v>
      </c>
      <c r="F296" t="inlineStr">
        <is>
          <t>KALMAR LÄN</t>
        </is>
      </c>
      <c r="G296" t="inlineStr">
        <is>
          <t>NYBRO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46312</v>
      </c>
      <c r="F297" t="inlineStr">
        <is>
          <t>KALMAR LÄN</t>
        </is>
      </c>
      <c r="G297" t="inlineStr">
        <is>
          <t>NYBRO</t>
        </is>
      </c>
      <c r="I297" t="n">
        <v>13.2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46312</v>
      </c>
      <c r="F298" t="inlineStr">
        <is>
          <t>KALMAR LÄN</t>
        </is>
      </c>
      <c r="G298" t="inlineStr">
        <is>
          <t>NYBRO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46312</v>
      </c>
      <c r="F299" t="inlineStr">
        <is>
          <t>KALMAR LÄN</t>
        </is>
      </c>
      <c r="G299" t="inlineStr">
        <is>
          <t>NYBRO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46312</v>
      </c>
      <c r="F300" t="inlineStr">
        <is>
          <t>KALMAR LÄN</t>
        </is>
      </c>
      <c r="G300" t="inlineStr">
        <is>
          <t>NYBRO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46312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46312</v>
      </c>
      <c r="F302" t="inlineStr">
        <is>
          <t>KALMAR LÄN</t>
        </is>
      </c>
      <c r="G302" t="inlineStr">
        <is>
          <t>NYBRO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8150-2022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44609</v>
      </c>
      <c r="E303" s="1" t="n">
        <v>46312</v>
      </c>
      <c r="F303" t="inlineStr">
        <is>
          <t>KALMAR LÄN</t>
        </is>
      </c>
      <c r="G303" t="inlineStr">
        <is>
          <t>NYBRO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49929-2022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46312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45478</v>
      </c>
      <c r="E305" s="1" t="n">
        <v>46312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63260-2021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44505</v>
      </c>
      <c r="E306" s="1" t="n">
        <v>46312</v>
      </c>
      <c r="F306" t="inlineStr">
        <is>
          <t>KALMAR LÄN</t>
        </is>
      </c>
      <c r="G306" t="inlineStr">
        <is>
          <t>NYBRO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46312</v>
      </c>
      <c r="F307" t="inlineStr">
        <is>
          <t>KALMAR LÄN</t>
        </is>
      </c>
      <c r="G307" t="inlineStr">
        <is>
          <t>NYBRO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46312</v>
      </c>
      <c r="F308" t="inlineStr">
        <is>
          <t>KALMAR LÄN</t>
        </is>
      </c>
      <c r="G308" t="inlineStr">
        <is>
          <t>NYBRO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46312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46312</v>
      </c>
      <c r="F310" t="inlineStr">
        <is>
          <t>KALMAR LÄN</t>
        </is>
      </c>
      <c r="G310" t="inlineStr">
        <is>
          <t>NYBRO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46312</v>
      </c>
      <c r="F311" t="inlineStr">
        <is>
          <t>KALMAR LÄN</t>
        </is>
      </c>
      <c r="G311" t="inlineStr">
        <is>
          <t>NYBRO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46312</v>
      </c>
      <c r="F312" t="inlineStr">
        <is>
          <t>KALMAR LÄN</t>
        </is>
      </c>
      <c r="G312" t="inlineStr">
        <is>
          <t>NYBRO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45859</v>
      </c>
      <c r="E313" s="1" t="n">
        <v>46312</v>
      </c>
      <c r="F313" t="inlineStr">
        <is>
          <t>KALMAR LÄN</t>
        </is>
      </c>
      <c r="G313" t="inlineStr">
        <is>
          <t>NYBRO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46312</v>
      </c>
      <c r="F314" t="inlineStr">
        <is>
          <t>KALMAR LÄN</t>
        </is>
      </c>
      <c r="G314" t="inlineStr">
        <is>
          <t>NYBRO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46312</v>
      </c>
      <c r="F315" t="inlineStr">
        <is>
          <t>KALMAR LÄN</t>
        </is>
      </c>
      <c r="G315" t="inlineStr">
        <is>
          <t>NYBRO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45914</v>
      </c>
      <c r="E316" s="1" t="n">
        <v>46312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46312</v>
      </c>
      <c r="F317" t="inlineStr">
        <is>
          <t>KALMAR LÄN</t>
        </is>
      </c>
      <c r="G317" t="inlineStr">
        <is>
          <t>NYBRO</t>
        </is>
      </c>
      <c r="H317" t="inlineStr">
        <is>
          <t>Kyrkan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46312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45163</v>
      </c>
      <c r="E319" s="1" t="n">
        <v>46312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46312</v>
      </c>
      <c r="F320" t="inlineStr">
        <is>
          <t>KALMAR LÄN</t>
        </is>
      </c>
      <c r="G320" t="inlineStr">
        <is>
          <t>NYBRO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45182</v>
      </c>
      <c r="E321" s="1" t="n">
        <v>46312</v>
      </c>
      <c r="F321" t="inlineStr">
        <is>
          <t>KALMAR LÄN</t>
        </is>
      </c>
      <c r="G321" t="inlineStr">
        <is>
          <t>NYBRO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46312</v>
      </c>
      <c r="F322" t="inlineStr">
        <is>
          <t>KALMAR LÄN</t>
        </is>
      </c>
      <c r="G322" t="inlineStr">
        <is>
          <t>NYBRO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46312</v>
      </c>
      <c r="F323" t="inlineStr">
        <is>
          <t>KALMAR LÄN</t>
        </is>
      </c>
      <c r="G323" t="inlineStr">
        <is>
          <t>NYBRO</t>
        </is>
      </c>
      <c r="H323" t="inlineStr">
        <is>
          <t>Kommuner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46312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46312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50978-2022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44867</v>
      </c>
      <c r="E326" s="1" t="n">
        <v>46312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68345-2021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44528</v>
      </c>
      <c r="E327" s="1" t="n">
        <v>46312</v>
      </c>
      <c r="F327" t="inlineStr">
        <is>
          <t>KALMAR LÄN</t>
        </is>
      </c>
      <c r="G327" t="inlineStr">
        <is>
          <t>NYBRO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46312</v>
      </c>
      <c r="F328" t="inlineStr">
        <is>
          <t>KALMAR LÄN</t>
        </is>
      </c>
      <c r="G328" t="inlineStr">
        <is>
          <t>NYBRO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46312</v>
      </c>
      <c r="F329" t="inlineStr">
        <is>
          <t>KALMAR LÄN</t>
        </is>
      </c>
      <c r="G329" t="inlineStr">
        <is>
          <t>NYBRO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46312</v>
      </c>
      <c r="F330" t="inlineStr">
        <is>
          <t>KALMAR LÄN</t>
        </is>
      </c>
      <c r="G330" t="inlineStr">
        <is>
          <t>NYBRO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45169</v>
      </c>
      <c r="E331" s="1" t="n">
        <v>46312</v>
      </c>
      <c r="F331" t="inlineStr">
        <is>
          <t>KALMAR LÄN</t>
        </is>
      </c>
      <c r="G331" t="inlineStr">
        <is>
          <t>NYBRO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46312</v>
      </c>
      <c r="F332" t="inlineStr">
        <is>
          <t>KALMAR LÄN</t>
        </is>
      </c>
      <c r="G332" t="inlineStr">
        <is>
          <t>NYBRO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54512-2023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45233</v>
      </c>
      <c r="E333" s="1" t="n">
        <v>46312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45862</v>
      </c>
      <c r="E334" s="1" t="n">
        <v>46312</v>
      </c>
      <c r="F334" t="inlineStr">
        <is>
          <t>KALMAR LÄN</t>
        </is>
      </c>
      <c r="G334" t="inlineStr">
        <is>
          <t>NYBRO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46312</v>
      </c>
      <c r="F335" t="inlineStr">
        <is>
          <t>KALMAR LÄN</t>
        </is>
      </c>
      <c r="G335" t="inlineStr">
        <is>
          <t>NYBRO</t>
        </is>
      </c>
      <c r="I335" t="n">
        <v>16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46312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46312</v>
      </c>
      <c r="F337" t="inlineStr">
        <is>
          <t>KALMAR LÄN</t>
        </is>
      </c>
      <c r="G337" t="inlineStr">
        <is>
          <t>NYBRO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46312</v>
      </c>
      <c r="F338" t="inlineStr">
        <is>
          <t>KALMAR LÄN</t>
        </is>
      </c>
      <c r="G338" t="inlineStr">
        <is>
          <t>NYBRO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46312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46312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46312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45887</v>
      </c>
      <c r="E342" s="1" t="n">
        <v>46312</v>
      </c>
      <c r="F342" t="inlineStr">
        <is>
          <t>KALMAR LÄN</t>
        </is>
      </c>
      <c r="G342" t="inlineStr">
        <is>
          <t>NYBRO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46312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36162-2024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46312</v>
      </c>
      <c r="F344" t="inlineStr">
        <is>
          <t>KALMAR LÄN</t>
        </is>
      </c>
      <c r="G344" t="inlineStr">
        <is>
          <t>NYBRO</t>
        </is>
      </c>
      <c r="I344" t="n">
        <v>13.2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45327</v>
      </c>
      <c r="E345" s="1" t="n">
        <v>46312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46312</v>
      </c>
      <c r="F346" t="inlineStr">
        <is>
          <t>KALMAR LÄN</t>
        </is>
      </c>
      <c r="G346" t="inlineStr">
        <is>
          <t>NYBRO</t>
        </is>
      </c>
      <c r="H346" t="inlineStr">
        <is>
          <t>Sveaskog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46312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46312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46312</v>
      </c>
      <c r="F349" t="inlineStr">
        <is>
          <t>KALMAR LÄN</t>
        </is>
      </c>
      <c r="G349" t="inlineStr">
        <is>
          <t>NYBRO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46312</v>
      </c>
      <c r="F350" t="inlineStr">
        <is>
          <t>KALMAR LÄN</t>
        </is>
      </c>
      <c r="G350" t="inlineStr">
        <is>
          <t>NYBRO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46312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46312</v>
      </c>
      <c r="F352" t="inlineStr">
        <is>
          <t>KALMAR LÄN</t>
        </is>
      </c>
      <c r="G352" t="inlineStr">
        <is>
          <t>NYBRO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46312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46312</v>
      </c>
      <c r="F354" t="inlineStr">
        <is>
          <t>KALMAR LÄN</t>
        </is>
      </c>
      <c r="G354" t="inlineStr">
        <is>
          <t>NYBRO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46312</v>
      </c>
      <c r="F355" t="inlineStr">
        <is>
          <t>KALMAR LÄN</t>
        </is>
      </c>
      <c r="G355" t="inlineStr">
        <is>
          <t>NYBRO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46312</v>
      </c>
      <c r="F356" t="inlineStr">
        <is>
          <t>KALMAR LÄN</t>
        </is>
      </c>
      <c r="G356" t="inlineStr">
        <is>
          <t>NYBRO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46312</v>
      </c>
      <c r="F357" t="inlineStr">
        <is>
          <t>KALMAR LÄN</t>
        </is>
      </c>
      <c r="G357" t="inlineStr">
        <is>
          <t>NYBRO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46312</v>
      </c>
      <c r="F358" t="inlineStr">
        <is>
          <t>KALMAR LÄN</t>
        </is>
      </c>
      <c r="G358" t="inlineStr">
        <is>
          <t>NYBRO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46312</v>
      </c>
      <c r="F359" t="inlineStr">
        <is>
          <t>KALMAR LÄN</t>
        </is>
      </c>
      <c r="G359" t="inlineStr">
        <is>
          <t>NYBRO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46312</v>
      </c>
      <c r="F360" t="inlineStr">
        <is>
          <t>KALMAR LÄN</t>
        </is>
      </c>
      <c r="G360" t="inlineStr">
        <is>
          <t>NYBRO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46312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46312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46312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37967-2022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44811</v>
      </c>
      <c r="E364" s="1" t="n">
        <v>46312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46312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46312</v>
      </c>
      <c r="F366" t="inlineStr">
        <is>
          <t>KALMAR LÄN</t>
        </is>
      </c>
      <c r="G366" t="inlineStr">
        <is>
          <t>NYBRO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46312</v>
      </c>
      <c r="F367" t="inlineStr">
        <is>
          <t>KALMAR LÄN</t>
        </is>
      </c>
      <c r="G367" t="inlineStr">
        <is>
          <t>NYBRO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46312</v>
      </c>
      <c r="F368" t="inlineStr">
        <is>
          <t>KALMAR LÄN</t>
        </is>
      </c>
      <c r="G368" t="inlineStr">
        <is>
          <t>NYBRO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45069</v>
      </c>
      <c r="E369" s="1" t="n">
        <v>46312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45679</v>
      </c>
      <c r="E370" s="1" t="n">
        <v>46312</v>
      </c>
      <c r="F370" t="inlineStr">
        <is>
          <t>KALMAR LÄN</t>
        </is>
      </c>
      <c r="G370" t="inlineStr">
        <is>
          <t>NYBRO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46312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46312</v>
      </c>
      <c r="F372" t="inlineStr">
        <is>
          <t>KALMAR LÄN</t>
        </is>
      </c>
      <c r="G372" t="inlineStr">
        <is>
          <t>NYBRO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44684</v>
      </c>
      <c r="E373" s="1" t="n">
        <v>46312</v>
      </c>
      <c r="F373" t="inlineStr">
        <is>
          <t>KALMAR LÄN</t>
        </is>
      </c>
      <c r="G373" t="inlineStr">
        <is>
          <t>NYBRO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46312</v>
      </c>
      <c r="F374" t="inlineStr">
        <is>
          <t>KALMAR LÄN</t>
        </is>
      </c>
      <c r="G374" t="inlineStr">
        <is>
          <t>NYBRO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45057</v>
      </c>
      <c r="E375" s="1" t="n">
        <v>46312</v>
      </c>
      <c r="F375" t="inlineStr">
        <is>
          <t>KALMAR LÄN</t>
        </is>
      </c>
      <c r="G375" t="inlineStr">
        <is>
          <t>NYBRO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45057</v>
      </c>
      <c r="E376" s="1" t="n">
        <v>46312</v>
      </c>
      <c r="F376" t="inlineStr">
        <is>
          <t>KALMAR LÄN</t>
        </is>
      </c>
      <c r="G376" t="inlineStr">
        <is>
          <t>NYBRO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46312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46312</v>
      </c>
      <c r="F378" t="inlineStr">
        <is>
          <t>KALMAR LÄN</t>
        </is>
      </c>
      <c r="G378" t="inlineStr">
        <is>
          <t>NYBRO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45606</v>
      </c>
      <c r="E379" s="1" t="n">
        <v>46312</v>
      </c>
      <c r="F379" t="inlineStr">
        <is>
          <t>KALMAR LÄN</t>
        </is>
      </c>
      <c r="G379" t="inlineStr">
        <is>
          <t>NYBRO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46312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49338-2025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45938</v>
      </c>
      <c r="E381" s="1" t="n">
        <v>46312</v>
      </c>
      <c r="F381" t="inlineStr">
        <is>
          <t>KALMAR LÄN</t>
        </is>
      </c>
      <c r="G381" t="inlineStr">
        <is>
          <t>NYBRO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46312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46312</v>
      </c>
      <c r="F383" t="inlineStr">
        <is>
          <t>KALMAR LÄN</t>
        </is>
      </c>
      <c r="G383" t="inlineStr">
        <is>
          <t>NYBRO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46312</v>
      </c>
      <c r="F384" t="inlineStr">
        <is>
          <t>KALMAR LÄN</t>
        </is>
      </c>
      <c r="G384" t="inlineStr">
        <is>
          <t>NYBRO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46312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45011</v>
      </c>
      <c r="E386" s="1" t="n">
        <v>46312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44645</v>
      </c>
      <c r="E387" s="1" t="n">
        <v>46312</v>
      </c>
      <c r="F387" t="inlineStr">
        <is>
          <t>KALMAR LÄN</t>
        </is>
      </c>
      <c r="G387" t="inlineStr">
        <is>
          <t>NYBRO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46312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46312</v>
      </c>
      <c r="F389" t="inlineStr">
        <is>
          <t>KALMAR LÄN</t>
        </is>
      </c>
      <c r="G389" t="inlineStr">
        <is>
          <t>NYBRO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46312</v>
      </c>
      <c r="F390" t="inlineStr">
        <is>
          <t>KALMAR LÄN</t>
        </is>
      </c>
      <c r="G390" t="inlineStr">
        <is>
          <t>NYBRO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46312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45055</v>
      </c>
      <c r="E392" s="1" t="n">
        <v>46312</v>
      </c>
      <c r="F392" t="inlineStr">
        <is>
          <t>KALMAR LÄN</t>
        </is>
      </c>
      <c r="G392" t="inlineStr">
        <is>
          <t>NYBRO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46312</v>
      </c>
      <c r="F393" t="inlineStr">
        <is>
          <t>KALMAR LÄN</t>
        </is>
      </c>
      <c r="G393" t="inlineStr">
        <is>
          <t>NYBRO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46312</v>
      </c>
      <c r="F394" t="inlineStr">
        <is>
          <t>KALMAR LÄN</t>
        </is>
      </c>
      <c r="G394" t="inlineStr">
        <is>
          <t>NYBRO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46312</v>
      </c>
      <c r="F395" t="inlineStr">
        <is>
          <t>KALMAR LÄN</t>
        </is>
      </c>
      <c r="G395" t="inlineStr">
        <is>
          <t>NYBRO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46312</v>
      </c>
      <c r="F396" t="inlineStr">
        <is>
          <t>KALMAR LÄN</t>
        </is>
      </c>
      <c r="G396" t="inlineStr">
        <is>
          <t>NYBRO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46312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45253</v>
      </c>
      <c r="E398" s="1" t="n">
        <v>46312</v>
      </c>
      <c r="F398" t="inlineStr">
        <is>
          <t>KALMAR LÄN</t>
        </is>
      </c>
      <c r="G398" t="inlineStr">
        <is>
          <t>NYBRO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45411</v>
      </c>
      <c r="E399" s="1" t="n">
        <v>46312</v>
      </c>
      <c r="F399" t="inlineStr">
        <is>
          <t>KALMAR LÄN</t>
        </is>
      </c>
      <c r="G399" t="inlineStr">
        <is>
          <t>NYBRO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46312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46312</v>
      </c>
      <c r="F401" t="inlineStr">
        <is>
          <t>KALMAR LÄN</t>
        </is>
      </c>
      <c r="G401" t="inlineStr">
        <is>
          <t>NYBRO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46312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46312</v>
      </c>
      <c r="F403" t="inlineStr">
        <is>
          <t>KALMAR LÄN</t>
        </is>
      </c>
      <c r="G403" t="inlineStr">
        <is>
          <t>NYBRO</t>
        </is>
      </c>
      <c r="I403" t="n">
        <v>14.2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45649</v>
      </c>
      <c r="E404" s="1" t="n">
        <v>46312</v>
      </c>
      <c r="F404" t="inlineStr">
        <is>
          <t>KALMAR LÄN</t>
        </is>
      </c>
      <c r="G404" t="inlineStr">
        <is>
          <t>NYBRO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46312</v>
      </c>
      <c r="F405" t="inlineStr">
        <is>
          <t>KALMAR LÄN</t>
        </is>
      </c>
      <c r="G405" t="inlineStr">
        <is>
          <t>NYBRO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46312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61780-2022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46312</v>
      </c>
      <c r="F407" t="inlineStr">
        <is>
          <t>KALMAR LÄN</t>
        </is>
      </c>
      <c r="G407" t="inlineStr">
        <is>
          <t>NYBRO</t>
        </is>
      </c>
      <c r="H407" t="inlineStr">
        <is>
          <t>Kommuner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46312</v>
      </c>
      <c r="F408" t="inlineStr">
        <is>
          <t>KALMAR LÄN</t>
        </is>
      </c>
      <c r="G408" t="inlineStr">
        <is>
          <t>NYBRO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46312</v>
      </c>
      <c r="F409" t="inlineStr">
        <is>
          <t>KALMAR LÄN</t>
        </is>
      </c>
      <c r="G409" t="inlineStr">
        <is>
          <t>NYBRO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46312</v>
      </c>
      <c r="F410" t="inlineStr">
        <is>
          <t>KALMAR LÄN</t>
        </is>
      </c>
      <c r="G410" t="inlineStr">
        <is>
          <t>NYBRO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46312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41679-2024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45560</v>
      </c>
      <c r="E412" s="1" t="n">
        <v>46312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46057</v>
      </c>
      <c r="E413" s="1" t="n">
        <v>46312</v>
      </c>
      <c r="F413" t="inlineStr">
        <is>
          <t>KALMAR LÄN</t>
        </is>
      </c>
      <c r="G413" t="inlineStr">
        <is>
          <t>NYBRO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40193-2025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45894</v>
      </c>
      <c r="E414" s="1" t="n">
        <v>46312</v>
      </c>
      <c r="F414" t="inlineStr">
        <is>
          <t>KALMAR LÄN</t>
        </is>
      </c>
      <c r="G414" t="inlineStr">
        <is>
          <t>NYBRO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46312</v>
      </c>
      <c r="F415" t="inlineStr">
        <is>
          <t>KALMAR LÄN</t>
        </is>
      </c>
      <c r="G415" t="inlineStr">
        <is>
          <t>NYBRO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46312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44580</v>
      </c>
      <c r="E417" s="1" t="n">
        <v>46312</v>
      </c>
      <c r="F417" t="inlineStr">
        <is>
          <t>KALMAR LÄN</t>
        </is>
      </c>
      <c r="G417" t="inlineStr">
        <is>
          <t>NYBRO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48467-2024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45591</v>
      </c>
      <c r="E418" s="1" t="n">
        <v>46312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22872-2026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46160</v>
      </c>
      <c r="E419" s="1" t="n">
        <v>46312</v>
      </c>
      <c r="F419" t="inlineStr">
        <is>
          <t>KALMAR LÄN</t>
        </is>
      </c>
      <c r="G419" t="inlineStr">
        <is>
          <t>NYBRO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46312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54252-2024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46312</v>
      </c>
      <c r="F421" t="inlineStr">
        <is>
          <t>KALMAR LÄN</t>
        </is>
      </c>
      <c r="G421" t="inlineStr">
        <is>
          <t>NYBRO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45426</v>
      </c>
      <c r="E422" s="1" t="n">
        <v>46312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45050</v>
      </c>
      <c r="E423" s="1" t="n">
        <v>46312</v>
      </c>
      <c r="F423" t="inlineStr">
        <is>
          <t>KALMAR LÄN</t>
        </is>
      </c>
      <c r="G423" t="inlineStr">
        <is>
          <t>NYBRO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45330</v>
      </c>
      <c r="E424" s="1" t="n">
        <v>46312</v>
      </c>
      <c r="F424" t="inlineStr">
        <is>
          <t>KALMAR LÄN</t>
        </is>
      </c>
      <c r="G424" t="inlineStr">
        <is>
          <t>NYBRO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46312</v>
      </c>
      <c r="F425" t="inlineStr">
        <is>
          <t>KALMAR LÄN</t>
        </is>
      </c>
      <c r="G425" t="inlineStr">
        <is>
          <t>NYBRO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46312</v>
      </c>
      <c r="F426" t="inlineStr">
        <is>
          <t>KALMAR LÄN</t>
        </is>
      </c>
      <c r="G426" t="inlineStr">
        <is>
          <t>NYBRO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19451-2022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44693</v>
      </c>
      <c r="E427" s="1" t="n">
        <v>46312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46312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46312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59689-2021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46312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46312</v>
      </c>
      <c r="F431" t="inlineStr">
        <is>
          <t>KALMAR LÄN</t>
        </is>
      </c>
      <c r="G431" t="inlineStr">
        <is>
          <t>NYBRO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46312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46312</v>
      </c>
      <c r="F433" t="inlineStr">
        <is>
          <t>KALMAR LÄN</t>
        </is>
      </c>
      <c r="G433" t="inlineStr">
        <is>
          <t>NYBRO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46312</v>
      </c>
      <c r="F434" t="inlineStr">
        <is>
          <t>KALMAR LÄN</t>
        </is>
      </c>
      <c r="G434" t="inlineStr">
        <is>
          <t>NYBRO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44904</v>
      </c>
      <c r="E435" s="1" t="n">
        <v>46312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45980</v>
      </c>
      <c r="E436" s="1" t="n">
        <v>46312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46312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46312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46312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45733</v>
      </c>
      <c r="E440" s="1" t="n">
        <v>46312</v>
      </c>
      <c r="F440" t="inlineStr">
        <is>
          <t>KALMAR LÄN</t>
        </is>
      </c>
      <c r="G440" t="inlineStr">
        <is>
          <t>NYBRO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46312</v>
      </c>
      <c r="F441" t="inlineStr">
        <is>
          <t>KALMAR LÄN</t>
        </is>
      </c>
      <c r="G441" t="inlineStr">
        <is>
          <t>NYBRO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46312</v>
      </c>
      <c r="F442" t="inlineStr">
        <is>
          <t>KALMAR LÄN</t>
        </is>
      </c>
      <c r="G442" t="inlineStr">
        <is>
          <t>NYBRO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17605-2023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46312</v>
      </c>
      <c r="F443" t="inlineStr">
        <is>
          <t>KALMAR LÄN</t>
        </is>
      </c>
      <c r="G443" t="inlineStr">
        <is>
          <t>NYBRO</t>
        </is>
      </c>
      <c r="I443" t="n">
        <v>15.1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59940-2022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44909</v>
      </c>
      <c r="E444" s="1" t="n">
        <v>46312</v>
      </c>
      <c r="F444" t="inlineStr">
        <is>
          <t>KALMAR LÄN</t>
        </is>
      </c>
      <c r="G444" t="inlineStr">
        <is>
          <t>NYBRO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46312</v>
      </c>
      <c r="F445" t="inlineStr">
        <is>
          <t>KALMAR LÄN</t>
        </is>
      </c>
      <c r="G445" t="inlineStr">
        <is>
          <t>NYBRO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46312</v>
      </c>
      <c r="F446" t="inlineStr">
        <is>
          <t>KALMAR LÄN</t>
        </is>
      </c>
      <c r="G446" t="inlineStr">
        <is>
          <t>NYBRO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46312</v>
      </c>
      <c r="F447" t="inlineStr">
        <is>
          <t>KALMAR LÄN</t>
        </is>
      </c>
      <c r="G447" t="inlineStr">
        <is>
          <t>NYBRO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10114-2022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44621</v>
      </c>
      <c r="E448" s="1" t="n">
        <v>46312</v>
      </c>
      <c r="F448" t="inlineStr">
        <is>
          <t>KALMAR LÄN</t>
        </is>
      </c>
      <c r="G448" t="inlineStr">
        <is>
          <t>NYBRO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46312</v>
      </c>
      <c r="F449" t="inlineStr">
        <is>
          <t>KALMAR LÄN</t>
        </is>
      </c>
      <c r="G449" t="inlineStr">
        <is>
          <t>NYBRO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44579</v>
      </c>
      <c r="E450" s="1" t="n">
        <v>46312</v>
      </c>
      <c r="F450" t="inlineStr">
        <is>
          <t>KALMAR LÄN</t>
        </is>
      </c>
      <c r="G450" t="inlineStr">
        <is>
          <t>NYBRO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46312</v>
      </c>
      <c r="F451" t="inlineStr">
        <is>
          <t>KALMAR LÄN</t>
        </is>
      </c>
      <c r="G451" t="inlineStr">
        <is>
          <t>NYBRO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46312</v>
      </c>
      <c r="F452" t="inlineStr">
        <is>
          <t>KALMAR LÄN</t>
        </is>
      </c>
      <c r="G452" t="inlineStr">
        <is>
          <t>NYBRO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46312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46312</v>
      </c>
      <c r="F454" t="inlineStr">
        <is>
          <t>KALMAR LÄN</t>
        </is>
      </c>
      <c r="G454" t="inlineStr">
        <is>
          <t>NYBRO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41674-2024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45560</v>
      </c>
      <c r="E455" s="1" t="n">
        <v>46312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24127-2023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45079</v>
      </c>
      <c r="E456" s="1" t="n">
        <v>46312</v>
      </c>
      <c r="F456" t="inlineStr">
        <is>
          <t>KALMAR LÄN</t>
        </is>
      </c>
      <c r="G456" t="inlineStr">
        <is>
          <t>NYBRO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45763</v>
      </c>
      <c r="E457" s="1" t="n">
        <v>46312</v>
      </c>
      <c r="F457" t="inlineStr">
        <is>
          <t>KALMAR LÄN</t>
        </is>
      </c>
      <c r="G457" t="inlineStr">
        <is>
          <t>NYBRO</t>
        </is>
      </c>
      <c r="I457" t="n">
        <v>30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46282-2023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45197</v>
      </c>
      <c r="E458" s="1" t="n">
        <v>46312</v>
      </c>
      <c r="F458" t="inlineStr">
        <is>
          <t>KALMAR LÄN</t>
        </is>
      </c>
      <c r="G458" t="inlineStr">
        <is>
          <t>NYBRO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45469</v>
      </c>
      <c r="E459" s="1" t="n">
        <v>46312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46312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46312</v>
      </c>
      <c r="F461" t="inlineStr">
        <is>
          <t>KALMAR LÄN</t>
        </is>
      </c>
      <c r="G461" t="inlineStr">
        <is>
          <t>NYBRO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44939</v>
      </c>
      <c r="E462" s="1" t="n">
        <v>46312</v>
      </c>
      <c r="F462" t="inlineStr">
        <is>
          <t>KALMAR LÄN</t>
        </is>
      </c>
      <c r="G462" t="inlineStr">
        <is>
          <t>NYBRO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46312</v>
      </c>
      <c r="F463" t="inlineStr">
        <is>
          <t>KALMAR LÄN</t>
        </is>
      </c>
      <c r="G463" t="inlineStr">
        <is>
          <t>NYBRO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46312</v>
      </c>
      <c r="F464" t="inlineStr">
        <is>
          <t>KALMAR LÄN</t>
        </is>
      </c>
      <c r="G464" t="inlineStr">
        <is>
          <t>NYBRO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46312</v>
      </c>
      <c r="F465" t="inlineStr">
        <is>
          <t>KALMAR LÄN</t>
        </is>
      </c>
      <c r="G465" t="inlineStr">
        <is>
          <t>NYBRO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45079</v>
      </c>
      <c r="E466" s="1" t="n">
        <v>46312</v>
      </c>
      <c r="F466" t="inlineStr">
        <is>
          <t>KALMAR LÄN</t>
        </is>
      </c>
      <c r="G466" t="inlineStr">
        <is>
          <t>NYBRO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46312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45756</v>
      </c>
      <c r="E468" s="1" t="n">
        <v>46312</v>
      </c>
      <c r="F468" t="inlineStr">
        <is>
          <t>KALMAR LÄN</t>
        </is>
      </c>
      <c r="G468" t="inlineStr">
        <is>
          <t>NYBRO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46312</v>
      </c>
      <c r="F469" t="inlineStr">
        <is>
          <t>KALMAR LÄN</t>
        </is>
      </c>
      <c r="G469" t="inlineStr">
        <is>
          <t>NYBRO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46312</v>
      </c>
      <c r="F470" t="inlineStr">
        <is>
          <t>KALMAR LÄN</t>
        </is>
      </c>
      <c r="G470" t="inlineStr">
        <is>
          <t>NYBRO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46312</v>
      </c>
      <c r="F471" t="inlineStr">
        <is>
          <t>KALMAR LÄN</t>
        </is>
      </c>
      <c r="G471" t="inlineStr">
        <is>
          <t>NYBRO</t>
        </is>
      </c>
      <c r="H471" t="inlineStr">
        <is>
          <t>Kyrkan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1535-2025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45670</v>
      </c>
      <c r="E472" s="1" t="n">
        <v>46312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25838-2023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46312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45110</v>
      </c>
      <c r="E474" s="1" t="n">
        <v>46312</v>
      </c>
      <c r="F474" t="inlineStr">
        <is>
          <t>KALMAR LÄN</t>
        </is>
      </c>
      <c r="G474" t="inlineStr">
        <is>
          <t>NYBRO</t>
        </is>
      </c>
      <c r="H474" t="inlineStr">
        <is>
          <t>Kyrkan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46312</v>
      </c>
      <c r="F475" t="inlineStr">
        <is>
          <t>KALMAR LÄN</t>
        </is>
      </c>
      <c r="G475" t="inlineStr">
        <is>
          <t>NYBRO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45013</v>
      </c>
      <c r="E476" s="1" t="n">
        <v>46312</v>
      </c>
      <c r="F476" t="inlineStr">
        <is>
          <t>KALMAR LÄN</t>
        </is>
      </c>
      <c r="G476" t="inlineStr">
        <is>
          <t>NYBRO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46312</v>
      </c>
      <c r="F477" t="inlineStr">
        <is>
          <t>KALMAR LÄN</t>
        </is>
      </c>
      <c r="G477" t="inlineStr">
        <is>
          <t>NYBRO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44900</v>
      </c>
      <c r="E478" s="1" t="n">
        <v>46312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46312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46312</v>
      </c>
      <c r="F480" t="inlineStr">
        <is>
          <t>KALMAR LÄN</t>
        </is>
      </c>
      <c r="G480" t="inlineStr">
        <is>
          <t>NYBRO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46312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46312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18586-2025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45763</v>
      </c>
      <c r="E483" s="1" t="n">
        <v>46312</v>
      </c>
      <c r="F483" t="inlineStr">
        <is>
          <t>KALMAR LÄN</t>
        </is>
      </c>
      <c r="G483" t="inlineStr">
        <is>
          <t>NYBRO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45477</v>
      </c>
      <c r="E484" s="1" t="n">
        <v>46312</v>
      </c>
      <c r="F484" t="inlineStr">
        <is>
          <t>KALMAR LÄN</t>
        </is>
      </c>
      <c r="G484" t="inlineStr">
        <is>
          <t>NYBRO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46312</v>
      </c>
      <c r="F485" t="inlineStr">
        <is>
          <t>KALMAR LÄN</t>
        </is>
      </c>
      <c r="G485" t="inlineStr">
        <is>
          <t>NYBRO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46312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44868</v>
      </c>
      <c r="E487" s="1" t="n">
        <v>46312</v>
      </c>
      <c r="F487" t="inlineStr">
        <is>
          <t>KALMAR LÄN</t>
        </is>
      </c>
      <c r="G487" t="inlineStr">
        <is>
          <t>NYBRO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45728</v>
      </c>
      <c r="E488" s="1" t="n">
        <v>46312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50561-2022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44866</v>
      </c>
      <c r="E489" s="1" t="n">
        <v>46312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45196</v>
      </c>
      <c r="E490" s="1" t="n">
        <v>46312</v>
      </c>
      <c r="F490" t="inlineStr">
        <is>
          <t>KALMAR LÄN</t>
        </is>
      </c>
      <c r="G490" t="inlineStr">
        <is>
          <t>NYBRO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46312</v>
      </c>
      <c r="F491" t="inlineStr">
        <is>
          <t>KALMAR LÄN</t>
        </is>
      </c>
      <c r="G491" t="inlineStr">
        <is>
          <t>NYBRO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24614-2026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46169</v>
      </c>
      <c r="E492" s="1" t="n">
        <v>46312</v>
      </c>
      <c r="F492" t="inlineStr">
        <is>
          <t>KALMAR LÄN</t>
        </is>
      </c>
      <c r="G492" t="inlineStr">
        <is>
          <t>NYBRO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25717-2026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46178</v>
      </c>
      <c r="E493" s="1" t="n">
        <v>46312</v>
      </c>
      <c r="F493" t="inlineStr">
        <is>
          <t>KALMAR LÄN</t>
        </is>
      </c>
      <c r="G493" t="inlineStr">
        <is>
          <t>NYBRO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46312</v>
      </c>
      <c r="F494" t="inlineStr">
        <is>
          <t>KALMAR LÄN</t>
        </is>
      </c>
      <c r="G494" t="inlineStr">
        <is>
          <t>NYBRO</t>
        </is>
      </c>
      <c r="H494" t="inlineStr">
        <is>
          <t>Sveaskog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44779-2023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45190</v>
      </c>
      <c r="E495" s="1" t="n">
        <v>46312</v>
      </c>
      <c r="F495" t="inlineStr">
        <is>
          <t>KALMAR LÄN</t>
        </is>
      </c>
      <c r="G495" t="inlineStr">
        <is>
          <t>NYBRO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46312</v>
      </c>
      <c r="F496" t="inlineStr">
        <is>
          <t>KALMAR LÄN</t>
        </is>
      </c>
      <c r="G496" t="inlineStr">
        <is>
          <t>NYBRO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25714-2026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46178</v>
      </c>
      <c r="E497" s="1" t="n">
        <v>46312</v>
      </c>
      <c r="F497" t="inlineStr">
        <is>
          <t>KALMAR LÄN</t>
        </is>
      </c>
      <c r="G497" t="inlineStr">
        <is>
          <t>NYBRO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45369</v>
      </c>
      <c r="E498" s="1" t="n">
        <v>46312</v>
      </c>
      <c r="F498" t="inlineStr">
        <is>
          <t>KALMAR LÄN</t>
        </is>
      </c>
      <c r="G498" t="inlineStr">
        <is>
          <t>NYBRO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44957</v>
      </c>
      <c r="E499" s="1" t="n">
        <v>46312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46312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45695</v>
      </c>
      <c r="E501" s="1" t="n">
        <v>46312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46312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46312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46312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46312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21388-2024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45440</v>
      </c>
      <c r="E506" s="1" t="n">
        <v>46312</v>
      </c>
      <c r="F506" t="inlineStr">
        <is>
          <t>KALMAR LÄN</t>
        </is>
      </c>
      <c r="G506" t="inlineStr">
        <is>
          <t>NYBRO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46312</v>
      </c>
      <c r="F507" t="inlineStr">
        <is>
          <t>KALMAR LÄN</t>
        </is>
      </c>
      <c r="G507" t="inlineStr">
        <is>
          <t>NYBRO</t>
        </is>
      </c>
      <c r="H507" t="inlineStr">
        <is>
          <t>Kommuner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44973</v>
      </c>
      <c r="E508" s="1" t="n">
        <v>46312</v>
      </c>
      <c r="F508" t="inlineStr">
        <is>
          <t>KALMAR LÄN</t>
        </is>
      </c>
      <c r="G508" t="inlineStr">
        <is>
          <t>NYBRO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46312</v>
      </c>
      <c r="F509" t="inlineStr">
        <is>
          <t>KALMAR LÄN</t>
        </is>
      </c>
      <c r="G509" t="inlineStr">
        <is>
          <t>NYBRO</t>
        </is>
      </c>
      <c r="H509" t="inlineStr">
        <is>
          <t>Kommuner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46312</v>
      </c>
      <c r="F510" t="inlineStr">
        <is>
          <t>KALMAR LÄN</t>
        </is>
      </c>
      <c r="G510" t="inlineStr">
        <is>
          <t>NYBRO</t>
        </is>
      </c>
      <c r="H510" t="inlineStr">
        <is>
          <t>Kommuner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46312</v>
      </c>
      <c r="F511" t="inlineStr">
        <is>
          <t>KALMAR LÄN</t>
        </is>
      </c>
      <c r="G511" t="inlineStr">
        <is>
          <t>NYBRO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44999</v>
      </c>
      <c r="E512" s="1" t="n">
        <v>46312</v>
      </c>
      <c r="F512" t="inlineStr">
        <is>
          <t>KALMAR LÄN</t>
        </is>
      </c>
      <c r="G512" t="inlineStr">
        <is>
          <t>NYBRO</t>
        </is>
      </c>
      <c r="I512" t="n">
        <v>16.5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44801-2022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44841</v>
      </c>
      <c r="E513" s="1" t="n">
        <v>46312</v>
      </c>
      <c r="F513" t="inlineStr">
        <is>
          <t>KALMAR LÄN</t>
        </is>
      </c>
      <c r="G513" t="inlineStr">
        <is>
          <t>NYBRO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45121</v>
      </c>
      <c r="E514" s="1" t="n">
        <v>46312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44920-2024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45575</v>
      </c>
      <c r="E515" s="1" t="n">
        <v>46312</v>
      </c>
      <c r="F515" t="inlineStr">
        <is>
          <t>KALMAR LÄN</t>
        </is>
      </c>
      <c r="G515" t="inlineStr">
        <is>
          <t>NYBRO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46184</v>
      </c>
      <c r="E516" s="1" t="n">
        <v>46312</v>
      </c>
      <c r="F516" t="inlineStr">
        <is>
          <t>KALMAR LÄN</t>
        </is>
      </c>
      <c r="G516" t="inlineStr">
        <is>
          <t>NYBRO</t>
        </is>
      </c>
      <c r="I516" t="n">
        <v>15.9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46312</v>
      </c>
      <c r="F517" t="inlineStr">
        <is>
          <t>KALMAR LÄN</t>
        </is>
      </c>
      <c r="G517" t="inlineStr">
        <is>
          <t>NYBRO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46312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46312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46312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45470</v>
      </c>
      <c r="E521" s="1" t="n">
        <v>46312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46312</v>
      </c>
      <c r="F522" t="inlineStr">
        <is>
          <t>KALMAR LÄN</t>
        </is>
      </c>
      <c r="G522" t="inlineStr">
        <is>
          <t>NYBRO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46312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46312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8883-2026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46067</v>
      </c>
      <c r="E525" s="1" t="n">
        <v>46312</v>
      </c>
      <c r="F525" t="inlineStr">
        <is>
          <t>KALMAR LÄN</t>
        </is>
      </c>
      <c r="G525" t="inlineStr">
        <is>
          <t>NYBRO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46312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46312</v>
      </c>
      <c r="F527" t="inlineStr">
        <is>
          <t>KALMAR LÄN</t>
        </is>
      </c>
      <c r="G527" t="inlineStr">
        <is>
          <t>NYBRO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44395-2022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44839</v>
      </c>
      <c r="E528" s="1" t="n">
        <v>46312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46312</v>
      </c>
      <c r="F529" t="inlineStr">
        <is>
          <t>KALMAR LÄN</t>
        </is>
      </c>
      <c r="G529" t="inlineStr">
        <is>
          <t>NYBRO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46312</v>
      </c>
      <c r="F530" t="inlineStr">
        <is>
          <t>KALMAR LÄN</t>
        </is>
      </c>
      <c r="G530" t="inlineStr">
        <is>
          <t>NYBRO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46312</v>
      </c>
      <c r="F531" t="inlineStr">
        <is>
          <t>KALMAR LÄN</t>
        </is>
      </c>
      <c r="G531" t="inlineStr">
        <is>
          <t>NYBRO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25547-2024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46312</v>
      </c>
      <c r="F532" t="inlineStr">
        <is>
          <t>KALMAR LÄN</t>
        </is>
      </c>
      <c r="G532" t="inlineStr">
        <is>
          <t>NYBRO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46312</v>
      </c>
      <c r="F533" t="inlineStr">
        <is>
          <t>KALMAR LÄN</t>
        </is>
      </c>
      <c r="G533" t="inlineStr">
        <is>
          <t>NYBRO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46312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46312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46312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44746</v>
      </c>
      <c r="E537" s="1" t="n">
        <v>46312</v>
      </c>
      <c r="F537" t="inlineStr">
        <is>
          <t>KALMAR LÄN</t>
        </is>
      </c>
      <c r="G537" t="inlineStr">
        <is>
          <t>NYBRO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45439</v>
      </c>
      <c r="E538" s="1" t="n">
        <v>46312</v>
      </c>
      <c r="F538" t="inlineStr">
        <is>
          <t>KALMAR LÄN</t>
        </is>
      </c>
      <c r="G538" t="inlineStr">
        <is>
          <t>NYBRO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46312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46312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46312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46312</v>
      </c>
      <c r="F542" t="inlineStr">
        <is>
          <t>KALMAR LÄN</t>
        </is>
      </c>
      <c r="G542" t="inlineStr">
        <is>
          <t>NYBRO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46312</v>
      </c>
      <c r="F543" t="inlineStr">
        <is>
          <t>KALMAR LÄN</t>
        </is>
      </c>
      <c r="G543" t="inlineStr">
        <is>
          <t>NYBRO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22429-2023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45070</v>
      </c>
      <c r="E544" s="1" t="n">
        <v>46312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46312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44881</v>
      </c>
      <c r="E546" s="1" t="n">
        <v>46312</v>
      </c>
      <c r="F546" t="inlineStr">
        <is>
          <t>KALMAR LÄN</t>
        </is>
      </c>
      <c r="G546" t="inlineStr">
        <is>
          <t>NYBRO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46312</v>
      </c>
      <c r="F547" t="inlineStr">
        <is>
          <t>KALMAR LÄN</t>
        </is>
      </c>
      <c r="G547" t="inlineStr">
        <is>
          <t>NYBRO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46312</v>
      </c>
      <c r="F548" t="inlineStr">
        <is>
          <t>KALMAR LÄN</t>
        </is>
      </c>
      <c r="G548" t="inlineStr">
        <is>
          <t>NYBRO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44873</v>
      </c>
      <c r="E549" s="1" t="n">
        <v>46312</v>
      </c>
      <c r="F549" t="inlineStr">
        <is>
          <t>KALMAR LÄN</t>
        </is>
      </c>
      <c r="G549" t="inlineStr">
        <is>
          <t>NYBRO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46092</v>
      </c>
      <c r="E550" s="1" t="n">
        <v>46312</v>
      </c>
      <c r="F550" t="inlineStr">
        <is>
          <t>KALMAR LÄN</t>
        </is>
      </c>
      <c r="G550" t="inlineStr">
        <is>
          <t>NYBRO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46312</v>
      </c>
      <c r="F551" t="inlineStr">
        <is>
          <t>KALMAR LÄN</t>
        </is>
      </c>
      <c r="G551" t="inlineStr">
        <is>
          <t>NYBRO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45084</v>
      </c>
      <c r="E552" s="1" t="n">
        <v>46312</v>
      </c>
      <c r="F552" t="inlineStr">
        <is>
          <t>KALMAR LÄN</t>
        </is>
      </c>
      <c r="G552" t="inlineStr">
        <is>
          <t>NYBRO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44973</v>
      </c>
      <c r="E553" s="1" t="n">
        <v>46312</v>
      </c>
      <c r="F553" t="inlineStr">
        <is>
          <t>KALMAR LÄN</t>
        </is>
      </c>
      <c r="G553" t="inlineStr">
        <is>
          <t>NYBRO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46312</v>
      </c>
      <c r="F554" t="inlineStr">
        <is>
          <t>KALMAR LÄN</t>
        </is>
      </c>
      <c r="G554" t="inlineStr">
        <is>
          <t>NYBRO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45336</v>
      </c>
      <c r="E555" s="1" t="n">
        <v>46312</v>
      </c>
      <c r="F555" t="inlineStr">
        <is>
          <t>KALMAR LÄN</t>
        </is>
      </c>
      <c r="G555" t="inlineStr">
        <is>
          <t>NYBRO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45412-2022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44844</v>
      </c>
      <c r="E556" s="1" t="n">
        <v>46312</v>
      </c>
      <c r="F556" t="inlineStr">
        <is>
          <t>KALMAR LÄN</t>
        </is>
      </c>
      <c r="G556" t="inlineStr">
        <is>
          <t>NYBRO</t>
        </is>
      </c>
      <c r="I556" t="n">
        <v>8.300000000000001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45079</v>
      </c>
      <c r="E557" s="1" t="n">
        <v>46312</v>
      </c>
      <c r="F557" t="inlineStr">
        <is>
          <t>KALMAR LÄN</t>
        </is>
      </c>
      <c r="G557" t="inlineStr">
        <is>
          <t>NYBRO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45315</v>
      </c>
      <c r="E558" s="1" t="n">
        <v>46312</v>
      </c>
      <c r="F558" t="inlineStr">
        <is>
          <t>KALMAR LÄN</t>
        </is>
      </c>
      <c r="G558" t="inlineStr">
        <is>
          <t>NYBRO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6544-2024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45341</v>
      </c>
      <c r="E559" s="1" t="n">
        <v>46312</v>
      </c>
      <c r="F559" t="inlineStr">
        <is>
          <t>KALMAR LÄN</t>
        </is>
      </c>
      <c r="G559" t="inlineStr">
        <is>
          <t>NYBRO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31870-2024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45509</v>
      </c>
      <c r="E560" s="1" t="n">
        <v>46312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31917-2024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45510</v>
      </c>
      <c r="E561" s="1" t="n">
        <v>46312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22488-2022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44713</v>
      </c>
      <c r="E562" s="1" t="n">
        <v>46312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46312</v>
      </c>
      <c r="F563" t="inlineStr">
        <is>
          <t>KALMAR LÄN</t>
        </is>
      </c>
      <c r="G563" t="inlineStr">
        <is>
          <t>NYBRO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45367</v>
      </c>
      <c r="E564" s="1" t="n">
        <v>46312</v>
      </c>
      <c r="F564" t="inlineStr">
        <is>
          <t>KALMAR LÄN</t>
        </is>
      </c>
      <c r="G564" t="inlineStr">
        <is>
          <t>NYBRO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58551-2024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45635</v>
      </c>
      <c r="E565" s="1" t="n">
        <v>46312</v>
      </c>
      <c r="F565" t="inlineStr">
        <is>
          <t>KALMAR LÄN</t>
        </is>
      </c>
      <c r="G565" t="inlineStr">
        <is>
          <t>NYBRO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46312</v>
      </c>
      <c r="F566" t="inlineStr">
        <is>
          <t>KALMAR LÄN</t>
        </is>
      </c>
      <c r="G566" t="inlineStr">
        <is>
          <t>NYBRO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46312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46312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46312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40902-2022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44825</v>
      </c>
      <c r="E570" s="1" t="n">
        <v>46312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45666</v>
      </c>
      <c r="E571" s="1" t="n">
        <v>46312</v>
      </c>
      <c r="F571" t="inlineStr">
        <is>
          <t>KALMAR LÄN</t>
        </is>
      </c>
      <c r="G571" t="inlineStr">
        <is>
          <t>NYBRO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61060-2021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44497</v>
      </c>
      <c r="E572" s="1" t="n">
        <v>46312</v>
      </c>
      <c r="F572" t="inlineStr">
        <is>
          <t>KALMAR LÄN</t>
        </is>
      </c>
      <c r="G572" t="inlineStr">
        <is>
          <t>NYBRO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45554</v>
      </c>
      <c r="E573" s="1" t="n">
        <v>46312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46312</v>
      </c>
      <c r="F574" t="inlineStr">
        <is>
          <t>KALMAR LÄN</t>
        </is>
      </c>
      <c r="G574" t="inlineStr">
        <is>
          <t>NYBRO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46312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46312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46312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46312</v>
      </c>
      <c r="F578" t="inlineStr">
        <is>
          <t>KALMAR LÄN</t>
        </is>
      </c>
      <c r="G578" t="inlineStr">
        <is>
          <t>NYBRO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46312</v>
      </c>
      <c r="F579" t="inlineStr">
        <is>
          <t>KALMAR LÄN</t>
        </is>
      </c>
      <c r="G579" t="inlineStr">
        <is>
          <t>NYBRO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45071</v>
      </c>
      <c r="E580" s="1" t="n">
        <v>46312</v>
      </c>
      <c r="F580" t="inlineStr">
        <is>
          <t>KALMAR LÄN</t>
        </is>
      </c>
      <c r="G580" t="inlineStr">
        <is>
          <t>NYBRO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16844-2026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46113</v>
      </c>
      <c r="E581" s="1" t="n">
        <v>46312</v>
      </c>
      <c r="F581" t="inlineStr">
        <is>
          <t>KALMAR LÄN</t>
        </is>
      </c>
      <c r="G581" t="inlineStr">
        <is>
          <t>NYBRO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45117</v>
      </c>
      <c r="E582" s="1" t="n">
        <v>46312</v>
      </c>
      <c r="F582" t="inlineStr">
        <is>
          <t>KALMAR LÄN</t>
        </is>
      </c>
      <c r="G582" t="inlineStr">
        <is>
          <t>NYBRO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46312</v>
      </c>
      <c r="F583" t="inlineStr">
        <is>
          <t>KALMAR LÄN</t>
        </is>
      </c>
      <c r="G583" t="inlineStr">
        <is>
          <t>NYBRO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45175</v>
      </c>
      <c r="E584" s="1" t="n">
        <v>46312</v>
      </c>
      <c r="F584" t="inlineStr">
        <is>
          <t>KALMAR LÄN</t>
        </is>
      </c>
      <c r="G584" t="inlineStr">
        <is>
          <t>NYBRO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44953</v>
      </c>
      <c r="E585" s="1" t="n">
        <v>46312</v>
      </c>
      <c r="F585" t="inlineStr">
        <is>
          <t>KALMAR LÄN</t>
        </is>
      </c>
      <c r="G585" t="inlineStr">
        <is>
          <t>NYBRO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45335</v>
      </c>
      <c r="E586" s="1" t="n">
        <v>46312</v>
      </c>
      <c r="F586" t="inlineStr">
        <is>
          <t>KALMAR LÄN</t>
        </is>
      </c>
      <c r="G586" t="inlineStr">
        <is>
          <t>NYBRO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46312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17957-2026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46122</v>
      </c>
      <c r="E588" s="1" t="n">
        <v>46312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45218</v>
      </c>
      <c r="E589" s="1" t="n">
        <v>46312</v>
      </c>
      <c r="F589" t="inlineStr">
        <is>
          <t>KALMAR LÄN</t>
        </is>
      </c>
      <c r="G589" t="inlineStr">
        <is>
          <t>NYBRO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45093</v>
      </c>
      <c r="E590" s="1" t="n">
        <v>46312</v>
      </c>
      <c r="F590" t="inlineStr">
        <is>
          <t>KALMAR LÄN</t>
        </is>
      </c>
      <c r="G590" t="inlineStr">
        <is>
          <t>NYBRO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45078</v>
      </c>
      <c r="E591" s="1" t="n">
        <v>46312</v>
      </c>
      <c r="F591" t="inlineStr">
        <is>
          <t>KALMAR LÄN</t>
        </is>
      </c>
      <c r="G591" t="inlineStr">
        <is>
          <t>NYBRO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44816</v>
      </c>
      <c r="E592" s="1" t="n">
        <v>46312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44928</v>
      </c>
      <c r="E593" s="1" t="n">
        <v>46312</v>
      </c>
      <c r="F593" t="inlineStr">
        <is>
          <t>KALMAR LÄN</t>
        </is>
      </c>
      <c r="G593" t="inlineStr">
        <is>
          <t>NYBRO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46125</v>
      </c>
      <c r="E594" s="1" t="n">
        <v>46312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46312</v>
      </c>
      <c r="F595" t="inlineStr">
        <is>
          <t>KALMAR LÄN</t>
        </is>
      </c>
      <c r="G595" t="inlineStr">
        <is>
          <t>NYBRO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46312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44713</v>
      </c>
      <c r="E597" s="1" t="n">
        <v>46312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18515-2026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46127</v>
      </c>
      <c r="E598" s="1" t="n">
        <v>46312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46312</v>
      </c>
      <c r="F599" t="inlineStr">
        <is>
          <t>KALMAR LÄN</t>
        </is>
      </c>
      <c r="G599" t="inlineStr">
        <is>
          <t>NYBRO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46312</v>
      </c>
      <c r="F600" t="inlineStr">
        <is>
          <t>KALMAR LÄN</t>
        </is>
      </c>
      <c r="G600" t="inlineStr">
        <is>
          <t>NYBRO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46312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19474-2026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46312</v>
      </c>
      <c r="F602" t="inlineStr">
        <is>
          <t>KALMAR LÄN</t>
        </is>
      </c>
      <c r="G602" t="inlineStr">
        <is>
          <t>NYBRO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46312</v>
      </c>
      <c r="F603" t="inlineStr">
        <is>
          <t>KALMAR LÄN</t>
        </is>
      </c>
      <c r="G603" t="inlineStr">
        <is>
          <t>NYBRO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46312</v>
      </c>
      <c r="F604" t="inlineStr">
        <is>
          <t>KALMAR LÄN</t>
        </is>
      </c>
      <c r="G604" t="inlineStr">
        <is>
          <t>NYBRO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46312</v>
      </c>
      <c r="F605" t="inlineStr">
        <is>
          <t>KALMAR LÄN</t>
        </is>
      </c>
      <c r="G605" t="inlineStr">
        <is>
          <t>NYBRO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46312</v>
      </c>
      <c r="F606" t="inlineStr">
        <is>
          <t>KALMAR LÄN</t>
        </is>
      </c>
      <c r="G606" t="inlineStr">
        <is>
          <t>NYBRO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44889</v>
      </c>
      <c r="E607" s="1" t="n">
        <v>46312</v>
      </c>
      <c r="F607" t="inlineStr">
        <is>
          <t>KALMAR LÄN</t>
        </is>
      </c>
      <c r="G607" t="inlineStr">
        <is>
          <t>NYBRO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45705</v>
      </c>
      <c r="E608" s="1" t="n">
        <v>46312</v>
      </c>
      <c r="F608" t="inlineStr">
        <is>
          <t>KALMAR LÄN</t>
        </is>
      </c>
      <c r="G608" t="inlineStr">
        <is>
          <t>NYBRO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45111</v>
      </c>
      <c r="E609" s="1" t="n">
        <v>46312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45131</v>
      </c>
      <c r="E610" s="1" t="n">
        <v>46312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46312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46312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52382-2022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44874</v>
      </c>
      <c r="E613" s="1" t="n">
        <v>46312</v>
      </c>
      <c r="F613" t="inlineStr">
        <is>
          <t>KALMAR LÄN</t>
        </is>
      </c>
      <c r="G613" t="inlineStr">
        <is>
          <t>NYBRO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46312</v>
      </c>
      <c r="F614" t="inlineStr">
        <is>
          <t>KALMAR LÄN</t>
        </is>
      </c>
      <c r="G614" t="inlineStr">
        <is>
          <t>NYBRO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57489-2025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45980</v>
      </c>
      <c r="E615" s="1" t="n">
        <v>46312</v>
      </c>
      <c r="F615" t="inlineStr">
        <is>
          <t>KALMAR LÄN</t>
        </is>
      </c>
      <c r="G615" t="inlineStr">
        <is>
          <t>NYBRO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45478</v>
      </c>
      <c r="E616" s="1" t="n">
        <v>46312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46139</v>
      </c>
      <c r="E617" s="1" t="n">
        <v>46312</v>
      </c>
      <c r="F617" t="inlineStr">
        <is>
          <t>KALMAR LÄN</t>
        </is>
      </c>
      <c r="G617" t="inlineStr">
        <is>
          <t>NYBRO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46312</v>
      </c>
      <c r="F618" t="inlineStr">
        <is>
          <t>KALMAR LÄN</t>
        </is>
      </c>
      <c r="G618" t="inlineStr">
        <is>
          <t>NYBRO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60706-2024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46312</v>
      </c>
      <c r="F619" t="inlineStr">
        <is>
          <t>KALMAR LÄN</t>
        </is>
      </c>
      <c r="G619" t="inlineStr">
        <is>
          <t>NYBRO</t>
        </is>
      </c>
      <c r="I619" t="n">
        <v>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39354-2024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45551</v>
      </c>
      <c r="E620" s="1" t="n">
        <v>46312</v>
      </c>
      <c r="F620" t="inlineStr">
        <is>
          <t>KALMAR LÄN</t>
        </is>
      </c>
      <c r="G620" t="inlineStr">
        <is>
          <t>NYBRO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17157-2022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44677</v>
      </c>
      <c r="E621" s="1" t="n">
        <v>46312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47632-2025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45931</v>
      </c>
      <c r="E622" s="1" t="n">
        <v>46312</v>
      </c>
      <c r="F622" t="inlineStr">
        <is>
          <t>KALMAR LÄN</t>
        </is>
      </c>
      <c r="G622" t="inlineStr">
        <is>
          <t>NYBRO</t>
        </is>
      </c>
      <c r="H622" t="inlineStr">
        <is>
          <t>Kyrkan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46684-2023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45198</v>
      </c>
      <c r="E623" s="1" t="n">
        <v>46312</v>
      </c>
      <c r="F623" t="inlineStr">
        <is>
          <t>KALMAR LÄN</t>
        </is>
      </c>
      <c r="G623" t="inlineStr">
        <is>
          <t>NYBRO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46312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46312</v>
      </c>
      <c r="F625" t="inlineStr">
        <is>
          <t>KALMAR LÄN</t>
        </is>
      </c>
      <c r="G625" t="inlineStr">
        <is>
          <t>NYBRO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32264-2024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45512</v>
      </c>
      <c r="E626" s="1" t="n">
        <v>46312</v>
      </c>
      <c r="F626" t="inlineStr">
        <is>
          <t>KALMAR LÄN</t>
        </is>
      </c>
      <c r="G626" t="inlineStr">
        <is>
          <t>NYBRO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29922-2026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46312</v>
      </c>
      <c r="F627" t="inlineStr">
        <is>
          <t>KALMAR LÄN</t>
        </is>
      </c>
      <c r="G627" t="inlineStr">
        <is>
          <t>NYBRO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44742</v>
      </c>
      <c r="E628" s="1" t="n">
        <v>46312</v>
      </c>
      <c r="F628" t="inlineStr">
        <is>
          <t>KALMAR LÄN</t>
        </is>
      </c>
      <c r="G628" t="inlineStr">
        <is>
          <t>NYBRO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9520-2024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45359</v>
      </c>
      <c r="E629" s="1" t="n">
        <v>46312</v>
      </c>
      <c r="F629" t="inlineStr">
        <is>
          <t>KALMAR LÄN</t>
        </is>
      </c>
      <c r="G629" t="inlineStr">
        <is>
          <t>NYBRO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22487-2022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44713</v>
      </c>
      <c r="E630" s="1" t="n">
        <v>46312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45096</v>
      </c>
      <c r="E631" s="1" t="n">
        <v>46312</v>
      </c>
      <c r="F631" t="inlineStr">
        <is>
          <t>KALMAR LÄN</t>
        </is>
      </c>
      <c r="G631" t="inlineStr">
        <is>
          <t>NYBRO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48312-2024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46312</v>
      </c>
      <c r="F632" t="inlineStr">
        <is>
          <t>KALMAR LÄN</t>
        </is>
      </c>
      <c r="G632" t="inlineStr">
        <is>
          <t>NYBRO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44798</v>
      </c>
      <c r="E633" s="1" t="n">
        <v>46312</v>
      </c>
      <c r="F633" t="inlineStr">
        <is>
          <t>KALMAR LÄN</t>
        </is>
      </c>
      <c r="G633" t="inlineStr">
        <is>
          <t>NYBRO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4863-2022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44593</v>
      </c>
      <c r="E634" s="1" t="n">
        <v>46312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46312</v>
      </c>
      <c r="F635" t="inlineStr">
        <is>
          <t>KALMAR LÄN</t>
        </is>
      </c>
      <c r="G635" t="inlineStr">
        <is>
          <t>NYBRO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14057-2024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45392</v>
      </c>
      <c r="E636" s="1" t="n">
        <v>46312</v>
      </c>
      <c r="F636" t="inlineStr">
        <is>
          <t>KALMAR LÄN</t>
        </is>
      </c>
      <c r="G636" t="inlineStr">
        <is>
          <t>NYBRO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28164-2022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44746</v>
      </c>
      <c r="E637" s="1" t="n">
        <v>46312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45056</v>
      </c>
      <c r="E638" s="1" t="n">
        <v>46312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45118</v>
      </c>
      <c r="E639" s="1" t="n">
        <v>46312</v>
      </c>
      <c r="F639" t="inlineStr">
        <is>
          <t>KALMAR LÄN</t>
        </is>
      </c>
      <c r="G639" t="inlineStr">
        <is>
          <t>NYBRO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20434-2023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45056</v>
      </c>
      <c r="E640" s="1" t="n">
        <v>46312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38059-2024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45544</v>
      </c>
      <c r="E641" s="1" t="n">
        <v>46312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44827</v>
      </c>
      <c r="E642" s="1" t="n">
        <v>46312</v>
      </c>
      <c r="F642" t="inlineStr">
        <is>
          <t>KALMAR LÄN</t>
        </is>
      </c>
      <c r="G642" t="inlineStr">
        <is>
          <t>NYBRO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45016</v>
      </c>
      <c r="E643" s="1" t="n">
        <v>46312</v>
      </c>
      <c r="F643" t="inlineStr">
        <is>
          <t>KALMAR LÄN</t>
        </is>
      </c>
      <c r="G643" t="inlineStr">
        <is>
          <t>NYBRO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41060-2022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44825</v>
      </c>
      <c r="E644" s="1" t="n">
        <v>46312</v>
      </c>
      <c r="F644" t="inlineStr">
        <is>
          <t>KALMAR LÄN</t>
        </is>
      </c>
      <c r="G644" t="inlineStr">
        <is>
          <t>NYBRO</t>
        </is>
      </c>
      <c r="I644" t="n">
        <v>18.6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46272</v>
      </c>
      <c r="E645" s="1" t="n">
        <v>46312</v>
      </c>
      <c r="F645" t="inlineStr">
        <is>
          <t>KALMAR LÄN</t>
        </is>
      </c>
      <c r="G645" t="inlineStr">
        <is>
          <t>NYBRO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46312</v>
      </c>
      <c r="F646" t="inlineStr">
        <is>
          <t>KALMAR LÄN</t>
        </is>
      </c>
      <c r="G646" t="inlineStr">
        <is>
          <t>NYBRO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27027-2023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45095</v>
      </c>
      <c r="E647" s="1" t="n">
        <v>46312</v>
      </c>
      <c r="F647" t="inlineStr">
        <is>
          <t>KALMAR LÄN</t>
        </is>
      </c>
      <c r="G647" t="inlineStr">
        <is>
          <t>NYBRO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37277-2026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46274</v>
      </c>
      <c r="E648" s="1" t="n">
        <v>46312</v>
      </c>
      <c r="F648" t="inlineStr">
        <is>
          <t>KALMAR LÄN</t>
        </is>
      </c>
      <c r="G648" t="inlineStr">
        <is>
          <t>NYBRO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57823-2023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45244</v>
      </c>
      <c r="E649" s="1" t="n">
        <v>46312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37393-2026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46275</v>
      </c>
      <c r="E650" s="1" t="n">
        <v>46312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49340-2023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45211</v>
      </c>
      <c r="E651" s="1" t="n">
        <v>46312</v>
      </c>
      <c r="F651" t="inlineStr">
        <is>
          <t>KALMAR LÄN</t>
        </is>
      </c>
      <c r="G651" t="inlineStr">
        <is>
          <t>NYBRO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45367</v>
      </c>
      <c r="E652" s="1" t="n">
        <v>46312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46312</v>
      </c>
      <c r="F653" t="inlineStr">
        <is>
          <t>KALMAR LÄN</t>
        </is>
      </c>
      <c r="G653" t="inlineStr">
        <is>
          <t>NYBRO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22877-2023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45072</v>
      </c>
      <c r="E654" s="1" t="n">
        <v>46312</v>
      </c>
      <c r="F654" t="inlineStr">
        <is>
          <t>KALMAR LÄN</t>
        </is>
      </c>
      <c r="G654" t="inlineStr">
        <is>
          <t>NYBRO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57809-2023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45244</v>
      </c>
      <c r="E655" s="1" t="n">
        <v>46312</v>
      </c>
      <c r="F655" t="inlineStr">
        <is>
          <t>KALMAR LÄN</t>
        </is>
      </c>
      <c r="G655" t="inlineStr">
        <is>
          <t>NYBRO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46312</v>
      </c>
      <c r="F656" t="inlineStr">
        <is>
          <t>KALMAR LÄN</t>
        </is>
      </c>
      <c r="G656" t="inlineStr">
        <is>
          <t>NYBRO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12410-2023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44999</v>
      </c>
      <c r="E657" s="1" t="n">
        <v>46312</v>
      </c>
      <c r="F657" t="inlineStr">
        <is>
          <t>KALMAR LÄN</t>
        </is>
      </c>
      <c r="G657" t="inlineStr">
        <is>
          <t>NYBRO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44030-2023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45188</v>
      </c>
      <c r="E658" s="1" t="n">
        <v>46312</v>
      </c>
      <c r="F658" t="inlineStr">
        <is>
          <t>KALMAR LÄN</t>
        </is>
      </c>
      <c r="G658" t="inlineStr">
        <is>
          <t>NYBRO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32398-2026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46238</v>
      </c>
      <c r="E659" s="1" t="n">
        <v>46312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45342</v>
      </c>
      <c r="E660" s="1" t="n">
        <v>46312</v>
      </c>
      <c r="F660" t="inlineStr">
        <is>
          <t>KALMAR LÄN</t>
        </is>
      </c>
      <c r="G660" t="inlineStr">
        <is>
          <t>NYBRO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61499-2022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46312</v>
      </c>
      <c r="F661" t="inlineStr">
        <is>
          <t>KALMAR LÄN</t>
        </is>
      </c>
      <c r="G661" t="inlineStr">
        <is>
          <t>NYBRO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37462-2023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45156</v>
      </c>
      <c r="E662" s="1" t="n">
        <v>46312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32397-2026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46312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44566</v>
      </c>
      <c r="E664" s="1" t="n">
        <v>46312</v>
      </c>
      <c r="F664" t="inlineStr">
        <is>
          <t>KALMAR LÄN</t>
        </is>
      </c>
      <c r="G664" t="inlineStr">
        <is>
          <t>NYBRO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11645-2024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45373</v>
      </c>
      <c r="E665" s="1" t="n">
        <v>46312</v>
      </c>
      <c r="F665" t="inlineStr">
        <is>
          <t>KALMAR LÄN</t>
        </is>
      </c>
      <c r="G665" t="inlineStr">
        <is>
          <t>NYBRO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45210</v>
      </c>
      <c r="E666" s="1" t="n">
        <v>46312</v>
      </c>
      <c r="F666" t="inlineStr">
        <is>
          <t>KALMAR LÄN</t>
        </is>
      </c>
      <c r="G666" t="inlineStr">
        <is>
          <t>NYBRO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60030-2022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44909</v>
      </c>
      <c r="E667" s="1" t="n">
        <v>46312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60041-2022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44909</v>
      </c>
      <c r="E668" s="1" t="n">
        <v>46312</v>
      </c>
      <c r="F668" t="inlineStr">
        <is>
          <t>KALMAR LÄN</t>
        </is>
      </c>
      <c r="G668" t="inlineStr">
        <is>
          <t>NYBRO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1419-2025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45668</v>
      </c>
      <c r="E669" s="1" t="n">
        <v>46312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38288-2026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46282</v>
      </c>
      <c r="E670" s="1" t="n">
        <v>46312</v>
      </c>
      <c r="F670" t="inlineStr">
        <is>
          <t>KALMAR LÄN</t>
        </is>
      </c>
      <c r="G670" t="inlineStr">
        <is>
          <t>NYBRO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46312</v>
      </c>
      <c r="F671" t="inlineStr">
        <is>
          <t>KALMAR LÄN</t>
        </is>
      </c>
      <c r="G671" t="inlineStr">
        <is>
          <t>NYBRO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37461-2023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45156</v>
      </c>
      <c r="E672" s="1" t="n">
        <v>46312</v>
      </c>
      <c r="F672" t="inlineStr">
        <is>
          <t>KALMAR LÄN</t>
        </is>
      </c>
      <c r="G672" t="inlineStr">
        <is>
          <t>NYBRO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50556-2022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44866</v>
      </c>
      <c r="E673" s="1" t="n">
        <v>46312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44755</v>
      </c>
      <c r="E674" s="1" t="n">
        <v>46312</v>
      </c>
      <c r="F674" t="inlineStr">
        <is>
          <t>KALMAR LÄN</t>
        </is>
      </c>
      <c r="G674" t="inlineStr">
        <is>
          <t>NYBRO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5150-2022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44594</v>
      </c>
      <c r="E675" s="1" t="n">
        <v>46312</v>
      </c>
      <c r="F675" t="inlineStr">
        <is>
          <t>KALMAR LÄN</t>
        </is>
      </c>
      <c r="G675" t="inlineStr">
        <is>
          <t>NYBRO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11155-2023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46312</v>
      </c>
      <c r="F676" t="inlineStr">
        <is>
          <t>KALMAR LÄN</t>
        </is>
      </c>
      <c r="G676" t="inlineStr">
        <is>
          <t>NYBRO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11621-2024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45373</v>
      </c>
      <c r="E677" s="1" t="n">
        <v>46312</v>
      </c>
      <c r="F677" t="inlineStr">
        <is>
          <t>KALMAR LÄN</t>
        </is>
      </c>
      <c r="G677" t="inlineStr">
        <is>
          <t>NYBRO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45085</v>
      </c>
      <c r="E678" s="1" t="n">
        <v>46312</v>
      </c>
      <c r="F678" t="inlineStr">
        <is>
          <t>KALMAR LÄN</t>
        </is>
      </c>
      <c r="G678" t="inlineStr">
        <is>
          <t>NYBRO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46312</v>
      </c>
      <c r="F679" t="inlineStr">
        <is>
          <t>KALMAR LÄN</t>
        </is>
      </c>
      <c r="G679" t="inlineStr">
        <is>
          <t>NYBRO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27870-2024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45475</v>
      </c>
      <c r="E680" s="1" t="n">
        <v>46312</v>
      </c>
      <c r="F680" t="inlineStr">
        <is>
          <t>KALMAR LÄN</t>
        </is>
      </c>
      <c r="G680" t="inlineStr">
        <is>
          <t>NYBRO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48102-2023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45205</v>
      </c>
      <c r="E681" s="1" t="n">
        <v>46312</v>
      </c>
      <c r="F681" t="inlineStr">
        <is>
          <t>KALMAR LÄN</t>
        </is>
      </c>
      <c r="G681" t="inlineStr">
        <is>
          <t>NYBRO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38945-2026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46312</v>
      </c>
      <c r="F682" t="inlineStr">
        <is>
          <t>KALMAR LÄN</t>
        </is>
      </c>
      <c r="G682" t="inlineStr">
        <is>
          <t>NYBRO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32788-2026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46241</v>
      </c>
      <c r="E683" s="1" t="n">
        <v>46312</v>
      </c>
      <c r="F683" t="inlineStr">
        <is>
          <t>KALMAR LÄN</t>
        </is>
      </c>
      <c r="G683" t="inlineStr">
        <is>
          <t>NYBRO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45401</v>
      </c>
      <c r="E684" s="1" t="n">
        <v>46312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15109-2025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45744</v>
      </c>
      <c r="E685" s="1" t="n">
        <v>46312</v>
      </c>
      <c r="F685" t="inlineStr">
        <is>
          <t>KALMAR LÄN</t>
        </is>
      </c>
      <c r="G685" t="inlineStr">
        <is>
          <t>NYBRO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55723-2023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45239</v>
      </c>
      <c r="E686" s="1" t="n">
        <v>46312</v>
      </c>
      <c r="F686" t="inlineStr">
        <is>
          <t>KALMAR LÄN</t>
        </is>
      </c>
      <c r="G686" t="inlineStr">
        <is>
          <t>NYBRO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25382-2023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45089</v>
      </c>
      <c r="E687" s="1" t="n">
        <v>46312</v>
      </c>
      <c r="F687" t="inlineStr">
        <is>
          <t>KALMAR LÄN</t>
        </is>
      </c>
      <c r="G687" t="inlineStr">
        <is>
          <t>NYBRO</t>
        </is>
      </c>
      <c r="H687" t="inlineStr">
        <is>
          <t>Kommuner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46312</v>
      </c>
      <c r="F688" t="inlineStr">
        <is>
          <t>KALMAR LÄN</t>
        </is>
      </c>
      <c r="G688" t="inlineStr">
        <is>
          <t>NYBRO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19461-2024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45429</v>
      </c>
      <c r="E689" s="1" t="n">
        <v>46312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46312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45762</v>
      </c>
      <c r="E691" s="1" t="n">
        <v>46312</v>
      </c>
      <c r="F691" t="inlineStr">
        <is>
          <t>KALMAR LÄN</t>
        </is>
      </c>
      <c r="G691" t="inlineStr">
        <is>
          <t>NYBRO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33035-2022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44785</v>
      </c>
      <c r="E692" s="1" t="n">
        <v>46312</v>
      </c>
      <c r="F692" t="inlineStr">
        <is>
          <t>KALMAR LÄN</t>
        </is>
      </c>
      <c r="G692" t="inlineStr">
        <is>
          <t>NYBRO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45113</v>
      </c>
      <c r="E693" s="1" t="n">
        <v>46312</v>
      </c>
      <c r="F693" t="inlineStr">
        <is>
          <t>KALMAR LÄN</t>
        </is>
      </c>
      <c r="G693" t="inlineStr">
        <is>
          <t>NYBRO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53681-2022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44880</v>
      </c>
      <c r="E694" s="1" t="n">
        <v>46312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46246</v>
      </c>
      <c r="E695" s="1" t="n">
        <v>46312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58455-2021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44488</v>
      </c>
      <c r="E696" s="1" t="n">
        <v>46312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25472-2023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45089</v>
      </c>
      <c r="E697" s="1" t="n">
        <v>46312</v>
      </c>
      <c r="F697" t="inlineStr">
        <is>
          <t>KALMAR LÄN</t>
        </is>
      </c>
      <c r="G697" t="inlineStr">
        <is>
          <t>NYBRO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48732-2023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45208</v>
      </c>
      <c r="E698" s="1" t="n">
        <v>46312</v>
      </c>
      <c r="F698" t="inlineStr">
        <is>
          <t>KALMAR LÄN</t>
        </is>
      </c>
      <c r="G698" t="inlineStr">
        <is>
          <t>NYBRO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39478-2026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46289</v>
      </c>
      <c r="E699" s="1" t="n">
        <v>46312</v>
      </c>
      <c r="F699" t="inlineStr">
        <is>
          <t>KALMAR LÄN</t>
        </is>
      </c>
      <c r="G699" t="inlineStr">
        <is>
          <t>NYBRO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45534</v>
      </c>
      <c r="E700" s="1" t="n">
        <v>46312</v>
      </c>
      <c r="F700" t="inlineStr">
        <is>
          <t>KALMAR LÄN</t>
        </is>
      </c>
      <c r="G700" t="inlineStr">
        <is>
          <t>NYBRO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45342</v>
      </c>
      <c r="E701" s="1" t="n">
        <v>46312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46312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45484</v>
      </c>
      <c r="E703" s="1" t="n">
        <v>46312</v>
      </c>
      <c r="F703" t="inlineStr">
        <is>
          <t>KALMAR LÄN</t>
        </is>
      </c>
      <c r="G703" t="inlineStr">
        <is>
          <t>NYBRO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44594</v>
      </c>
      <c r="E704" s="1" t="n">
        <v>46312</v>
      </c>
      <c r="F704" t="inlineStr">
        <is>
          <t>KALMAR LÄN</t>
        </is>
      </c>
      <c r="G704" t="inlineStr">
        <is>
          <t>NYBRO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7789-2025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45706</v>
      </c>
      <c r="E705" s="1" t="n">
        <v>46312</v>
      </c>
      <c r="F705" t="inlineStr">
        <is>
          <t>KALMAR LÄN</t>
        </is>
      </c>
      <c r="G705" t="inlineStr">
        <is>
          <t>NYBRO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33704-2026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46250</v>
      </c>
      <c r="E706" s="1" t="n">
        <v>46312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33614-2026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46248</v>
      </c>
      <c r="E707" s="1" t="n">
        <v>46312</v>
      </c>
      <c r="F707" t="inlineStr">
        <is>
          <t>KALMAR LÄN</t>
        </is>
      </c>
      <c r="G707" t="inlineStr">
        <is>
          <t>NYBRO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46312</v>
      </c>
      <c r="F708" t="inlineStr">
        <is>
          <t>KALMAR LÄN</t>
        </is>
      </c>
      <c r="G708" t="inlineStr">
        <is>
          <t>NYBRO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46312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46312</v>
      </c>
      <c r="F710" t="inlineStr">
        <is>
          <t>KALMAR LÄN</t>
        </is>
      </c>
      <c r="G710" t="inlineStr">
        <is>
          <t>NYBRO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46312</v>
      </c>
      <c r="F711" t="inlineStr">
        <is>
          <t>KALMAR LÄN</t>
        </is>
      </c>
      <c r="G711" t="inlineStr">
        <is>
          <t>NYBRO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45938</v>
      </c>
      <c r="E712" s="1" t="n">
        <v>46312</v>
      </c>
      <c r="F712" t="inlineStr">
        <is>
          <t>KALMAR LÄN</t>
        </is>
      </c>
      <c r="G712" t="inlineStr">
        <is>
          <t>NYBRO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23479-2025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45792</v>
      </c>
      <c r="E713" s="1" t="n">
        <v>46312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49912-2022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44865</v>
      </c>
      <c r="E714" s="1" t="n">
        <v>46312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18219-2025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46312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28795-2022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44749</v>
      </c>
      <c r="E716" s="1" t="n">
        <v>46312</v>
      </c>
      <c r="F716" t="inlineStr">
        <is>
          <t>KALMAR LÄN</t>
        </is>
      </c>
      <c r="G716" t="inlineStr">
        <is>
          <t>NYBRO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8000-2023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46312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46312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1928-2024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45308</v>
      </c>
      <c r="E719" s="1" t="n">
        <v>46312</v>
      </c>
      <c r="F719" t="inlineStr">
        <is>
          <t>KALMAR LÄN</t>
        </is>
      </c>
      <c r="G719" t="inlineStr">
        <is>
          <t>NYBRO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45149</v>
      </c>
      <c r="E720" s="1" t="n">
        <v>46312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46312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53999-2022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44881</v>
      </c>
      <c r="E722" s="1" t="n">
        <v>46312</v>
      </c>
      <c r="F722" t="inlineStr">
        <is>
          <t>KALMAR LÄN</t>
        </is>
      </c>
      <c r="G722" t="inlineStr">
        <is>
          <t>NYBRO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46295</v>
      </c>
      <c r="E723" s="1" t="n">
        <v>46312</v>
      </c>
      <c r="F723" t="inlineStr">
        <is>
          <t>KALMAR LÄN</t>
        </is>
      </c>
      <c r="G723" t="inlineStr">
        <is>
          <t>NYBRO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45175</v>
      </c>
      <c r="E724" s="1" t="n">
        <v>46312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11150-2024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45371</v>
      </c>
      <c r="E725" s="1" t="n">
        <v>46312</v>
      </c>
      <c r="F725" t="inlineStr">
        <is>
          <t>KALMAR LÄN</t>
        </is>
      </c>
      <c r="G725" t="inlineStr">
        <is>
          <t>NYBRO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44743</v>
      </c>
      <c r="E726" s="1" t="n">
        <v>46312</v>
      </c>
      <c r="F726" t="inlineStr">
        <is>
          <t>KALMAR LÄN</t>
        </is>
      </c>
      <c r="G726" t="inlineStr">
        <is>
          <t>NYBRO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44594</v>
      </c>
      <c r="E727" s="1" t="n">
        <v>46312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45320</v>
      </c>
      <c r="E728" s="1" t="n">
        <v>46312</v>
      </c>
      <c r="F728" t="inlineStr">
        <is>
          <t>KALMAR LÄN</t>
        </is>
      </c>
      <c r="G728" t="inlineStr">
        <is>
          <t>NYBRO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46312</v>
      </c>
      <c r="F729" t="inlineStr">
        <is>
          <t>KALMAR LÄN</t>
        </is>
      </c>
      <c r="G729" t="inlineStr">
        <is>
          <t>NYBRO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45741</v>
      </c>
      <c r="E730" s="1" t="n">
        <v>46312</v>
      </c>
      <c r="F730" t="inlineStr">
        <is>
          <t>KALMAR LÄN</t>
        </is>
      </c>
      <c r="G730" t="inlineStr">
        <is>
          <t>NYBRO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3632-2025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46312</v>
      </c>
      <c r="F731" t="inlineStr">
        <is>
          <t>KALMAR LÄN</t>
        </is>
      </c>
      <c r="G731" t="inlineStr">
        <is>
          <t>NYBRO</t>
        </is>
      </c>
      <c r="H731" t="inlineStr">
        <is>
          <t>Kyrkan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34923-2026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46255</v>
      </c>
      <c r="E732" s="1" t="n">
        <v>46312</v>
      </c>
      <c r="F732" t="inlineStr">
        <is>
          <t>KALMAR LÄN</t>
        </is>
      </c>
      <c r="G732" t="inlineStr">
        <is>
          <t>NYBRO</t>
        </is>
      </c>
      <c r="H732" t="inlineStr">
        <is>
          <t>Kyrkan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54341-2022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44882</v>
      </c>
      <c r="E733" s="1" t="n">
        <v>46312</v>
      </c>
      <c r="F733" t="inlineStr">
        <is>
          <t>KALMAR LÄN</t>
        </is>
      </c>
      <c r="G733" t="inlineStr">
        <is>
          <t>NYBRO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46253</v>
      </c>
      <c r="E734" s="1" t="n">
        <v>46312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10.8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46246</v>
      </c>
      <c r="E735" s="1" t="n">
        <v>46312</v>
      </c>
      <c r="F735" t="inlineStr">
        <is>
          <t>KALMAR LÄN</t>
        </is>
      </c>
      <c r="G735" t="inlineStr">
        <is>
          <t>NYBRO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49739-2025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45940</v>
      </c>
      <c r="E736" s="1" t="n">
        <v>46312</v>
      </c>
      <c r="F736" t="inlineStr">
        <is>
          <t>KALMAR LÄN</t>
        </is>
      </c>
      <c r="G736" t="inlineStr">
        <is>
          <t>NYBRO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46252</v>
      </c>
      <c r="E737" s="1" t="n">
        <v>46312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46254</v>
      </c>
      <c r="E738" s="1" t="n">
        <v>46312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12.3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40921-2026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46297</v>
      </c>
      <c r="E739" s="1" t="n">
        <v>46312</v>
      </c>
      <c r="F739" t="inlineStr">
        <is>
          <t>KALMAR LÄN</t>
        </is>
      </c>
      <c r="G739" t="inlineStr">
        <is>
          <t>NYBRO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46029</v>
      </c>
      <c r="E740" s="1" t="n">
        <v>46312</v>
      </c>
      <c r="F740" t="inlineStr">
        <is>
          <t>KALMAR LÄN</t>
        </is>
      </c>
      <c r="G740" t="inlineStr">
        <is>
          <t>NYBRO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46253</v>
      </c>
      <c r="E741" s="1" t="n">
        <v>46312</v>
      </c>
      <c r="F741" t="inlineStr">
        <is>
          <t>KALMAR LÄN</t>
        </is>
      </c>
      <c r="G741" t="inlineStr">
        <is>
          <t>NYBRO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3344-2025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45679</v>
      </c>
      <c r="E742" s="1" t="n">
        <v>46312</v>
      </c>
      <c r="F742" t="inlineStr">
        <is>
          <t>KALMAR LÄN</t>
        </is>
      </c>
      <c r="G742" t="inlineStr">
        <is>
          <t>NYBRO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46300</v>
      </c>
      <c r="E743" s="1" t="n">
        <v>46312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47270-2024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45586</v>
      </c>
      <c r="E744" s="1" t="n">
        <v>46312</v>
      </c>
      <c r="F744" t="inlineStr">
        <is>
          <t>KALMAR LÄN</t>
        </is>
      </c>
      <c r="G744" t="inlineStr">
        <is>
          <t>NYBRO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46255</v>
      </c>
      <c r="E745" s="1" t="n">
        <v>46312</v>
      </c>
      <c r="F745" t="inlineStr">
        <is>
          <t>KALMAR LÄN</t>
        </is>
      </c>
      <c r="G745" t="inlineStr">
        <is>
          <t>NYBRO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41309-2026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46312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46300</v>
      </c>
      <c r="E747" s="1" t="n">
        <v>46312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7424-2022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44606</v>
      </c>
      <c r="E748" s="1" t="n">
        <v>46312</v>
      </c>
      <c r="F748" t="inlineStr">
        <is>
          <t>KALMAR LÄN</t>
        </is>
      </c>
      <c r="G748" t="inlineStr">
        <is>
          <t>NYBRO</t>
        </is>
      </c>
      <c r="I748" t="n">
        <v>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41246-2026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46300</v>
      </c>
      <c r="E749" s="1" t="n">
        <v>46312</v>
      </c>
      <c r="F749" t="inlineStr">
        <is>
          <t>KALMAR LÄN</t>
        </is>
      </c>
      <c r="G749" t="inlineStr">
        <is>
          <t>NYBRO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38170-2024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45545</v>
      </c>
      <c r="E750" s="1" t="n">
        <v>46312</v>
      </c>
      <c r="F750" t="inlineStr">
        <is>
          <t>KALMAR LÄN</t>
        </is>
      </c>
      <c r="G750" t="inlineStr">
        <is>
          <t>NYBRO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45449</v>
      </c>
      <c r="E751" s="1" t="n">
        <v>46312</v>
      </c>
      <c r="F751" t="inlineStr">
        <is>
          <t>KALMAR LÄN</t>
        </is>
      </c>
      <c r="G751" t="inlineStr">
        <is>
          <t>NYBRO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41319-2026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46300</v>
      </c>
      <c r="E752" s="1" t="n">
        <v>46312</v>
      </c>
      <c r="F752" t="inlineStr">
        <is>
          <t>KALMAR LÄN</t>
        </is>
      </c>
      <c r="G752" t="inlineStr">
        <is>
          <t>NYBRO</t>
        </is>
      </c>
      <c r="H752" t="inlineStr">
        <is>
          <t>Sveaskog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41320-2026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46312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22435-2023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45070</v>
      </c>
      <c r="E754" s="1" t="n">
        <v>46312</v>
      </c>
      <c r="F754" t="inlineStr">
        <is>
          <t>KALMAR LÄN</t>
        </is>
      </c>
      <c r="G754" t="inlineStr">
        <is>
          <t>NYBRO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50586-2024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45601</v>
      </c>
      <c r="E755" s="1" t="n">
        <v>46312</v>
      </c>
      <c r="F755" t="inlineStr">
        <is>
          <t>KALMAR LÄN</t>
        </is>
      </c>
      <c r="G755" t="inlineStr">
        <is>
          <t>NYBRO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27966-2024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45476</v>
      </c>
      <c r="E756" s="1" t="n">
        <v>46312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45489</v>
      </c>
      <c r="E757" s="1" t="n">
        <v>46312</v>
      </c>
      <c r="F757" t="inlineStr">
        <is>
          <t>KALMAR LÄN</t>
        </is>
      </c>
      <c r="G757" t="inlineStr">
        <is>
          <t>NYBRO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46312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41326-2026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46301</v>
      </c>
      <c r="E759" s="1" t="n">
        <v>46312</v>
      </c>
      <c r="F759" t="inlineStr">
        <is>
          <t>KALMAR LÄN</t>
        </is>
      </c>
      <c r="G759" t="inlineStr">
        <is>
          <t>NYBRO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47335-2024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45587</v>
      </c>
      <c r="E760" s="1" t="n">
        <v>46312</v>
      </c>
      <c r="F760" t="inlineStr">
        <is>
          <t>KALMAR LÄN</t>
        </is>
      </c>
      <c r="G760" t="inlineStr">
        <is>
          <t>NYBRO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27673-2026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46190</v>
      </c>
      <c r="E761" s="1" t="n">
        <v>46312</v>
      </c>
      <c r="F761" t="inlineStr">
        <is>
          <t>KALMAR LÄN</t>
        </is>
      </c>
      <c r="G761" t="inlineStr">
        <is>
          <t>NYBRO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41200-2026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46312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22042-2025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45785</v>
      </c>
      <c r="E763" s="1" t="n">
        <v>46312</v>
      </c>
      <c r="F763" t="inlineStr">
        <is>
          <t>KALMAR LÄN</t>
        </is>
      </c>
      <c r="G763" t="inlineStr">
        <is>
          <t>NYBRO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45230</v>
      </c>
      <c r="E764" s="1" t="n">
        <v>46312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41248-2026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46312</v>
      </c>
      <c r="F765" t="inlineStr">
        <is>
          <t>KALMAR LÄN</t>
        </is>
      </c>
      <c r="G765" t="inlineStr">
        <is>
          <t>NYBRO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30076-2024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45489</v>
      </c>
      <c r="E766" s="1" t="n">
        <v>46312</v>
      </c>
      <c r="F766" t="inlineStr">
        <is>
          <t>KALMAR LÄN</t>
        </is>
      </c>
      <c r="G766" t="inlineStr">
        <is>
          <t>NYBRO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56972-2024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45625</v>
      </c>
      <c r="E767" s="1" t="n">
        <v>46312</v>
      </c>
      <c r="F767" t="inlineStr">
        <is>
          <t>KALMAR LÄN</t>
        </is>
      </c>
      <c r="G767" t="inlineStr">
        <is>
          <t>NYBRO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46312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46312</v>
      </c>
      <c r="F769" t="inlineStr">
        <is>
          <t>KALMAR LÄN</t>
        </is>
      </c>
      <c r="G769" t="inlineStr">
        <is>
          <t>NYBRO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45673</v>
      </c>
      <c r="E770" s="1" t="n">
        <v>46312</v>
      </c>
      <c r="F770" t="inlineStr">
        <is>
          <t>KALMAR LÄN</t>
        </is>
      </c>
      <c r="G770" t="inlineStr">
        <is>
          <t>NYBRO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43984-2024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45572</v>
      </c>
      <c r="E771" s="1" t="n">
        <v>46312</v>
      </c>
      <c r="F771" t="inlineStr">
        <is>
          <t>KALMAR LÄN</t>
        </is>
      </c>
      <c r="G771" t="inlineStr">
        <is>
          <t>NYBRO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45665</v>
      </c>
      <c r="E772" s="1" t="n">
        <v>46312</v>
      </c>
      <c r="F772" t="inlineStr">
        <is>
          <t>KALMAR LÄN</t>
        </is>
      </c>
      <c r="G772" t="inlineStr">
        <is>
          <t>NYBRO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36374-2024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45534</v>
      </c>
      <c r="E773" s="1" t="n">
        <v>46312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9005-2024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45357</v>
      </c>
      <c r="E774" s="1" t="n">
        <v>46312</v>
      </c>
      <c r="F774" t="inlineStr">
        <is>
          <t>KALMAR LÄN</t>
        </is>
      </c>
      <c r="G774" t="inlineStr">
        <is>
          <t>NYBRO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45301</v>
      </c>
      <c r="E775" s="1" t="n">
        <v>46312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46312</v>
      </c>
      <c r="F776" t="inlineStr">
        <is>
          <t>KALMAR LÄN</t>
        </is>
      </c>
      <c r="G776" t="inlineStr">
        <is>
          <t>NYBRO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40631-2026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46295</v>
      </c>
      <c r="E777" s="1" t="n">
        <v>46312</v>
      </c>
      <c r="F777" t="inlineStr">
        <is>
          <t>KALMAR LÄN</t>
        </is>
      </c>
      <c r="G777" t="inlineStr">
        <is>
          <t>NYBRO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45367</v>
      </c>
      <c r="E778" s="1" t="n">
        <v>46312</v>
      </c>
      <c r="F778" t="inlineStr">
        <is>
          <t>KALMAR LÄN</t>
        </is>
      </c>
      <c r="G778" t="inlineStr">
        <is>
          <t>NYBRO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41467-2026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46301</v>
      </c>
      <c r="E779" s="1" t="n">
        <v>46312</v>
      </c>
      <c r="F779" t="inlineStr">
        <is>
          <t>KALMAR LÄN</t>
        </is>
      </c>
      <c r="G779" t="inlineStr">
        <is>
          <t>NYBRO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45246</v>
      </c>
      <c r="E780" s="1" t="n">
        <v>46312</v>
      </c>
      <c r="F780" t="inlineStr">
        <is>
          <t>KALMAR LÄN</t>
        </is>
      </c>
      <c r="G780" t="inlineStr">
        <is>
          <t>NYBRO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11014-2024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45370</v>
      </c>
      <c r="E781" s="1" t="n">
        <v>46312</v>
      </c>
      <c r="F781" t="inlineStr">
        <is>
          <t>KALMAR LÄN</t>
        </is>
      </c>
      <c r="G781" t="inlineStr">
        <is>
          <t>NYBRO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40632-2026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46312</v>
      </c>
      <c r="F782" t="inlineStr">
        <is>
          <t>KALMAR LÄN</t>
        </is>
      </c>
      <c r="G782" t="inlineStr">
        <is>
          <t>NYBRO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41461-2026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46301</v>
      </c>
      <c r="E783" s="1" t="n">
        <v>46312</v>
      </c>
      <c r="F783" t="inlineStr">
        <is>
          <t>KALMAR LÄN</t>
        </is>
      </c>
      <c r="G783" t="inlineStr">
        <is>
          <t>NYBRO</t>
        </is>
      </c>
      <c r="I783" t="n">
        <v>12.5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46303</v>
      </c>
      <c r="E784" s="1" t="n">
        <v>46312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41725-2026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46302</v>
      </c>
      <c r="E785" s="1" t="n">
        <v>46312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46312</v>
      </c>
      <c r="F786" t="inlineStr">
        <is>
          <t>KALMAR LÄN</t>
        </is>
      </c>
      <c r="G786" t="inlineStr">
        <is>
          <t>NYBRO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6857-2025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46312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18092-2025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46312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46034</v>
      </c>
      <c r="E789" s="1" t="n">
        <v>46312</v>
      </c>
      <c r="F789" t="inlineStr">
        <is>
          <t>KALMAR LÄN</t>
        </is>
      </c>
      <c r="G789" t="inlineStr">
        <is>
          <t>NYBRO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19943-2022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44697</v>
      </c>
      <c r="E790" s="1" t="n">
        <v>46312</v>
      </c>
      <c r="F790" t="inlineStr">
        <is>
          <t>KALMAR LÄN</t>
        </is>
      </c>
      <c r="G790" t="inlineStr">
        <is>
          <t>NYBRO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46312</v>
      </c>
      <c r="F791" t="inlineStr">
        <is>
          <t>KALMAR LÄN</t>
        </is>
      </c>
      <c r="G791" t="inlineStr">
        <is>
          <t>NYBRO</t>
        </is>
      </c>
      <c r="H791" t="inlineStr">
        <is>
          <t>Kyrkan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42271-2026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46307</v>
      </c>
      <c r="E792" s="1" t="n">
        <v>46312</v>
      </c>
      <c r="F792" t="inlineStr">
        <is>
          <t>KALMAR LÄN</t>
        </is>
      </c>
      <c r="G792" t="inlineStr">
        <is>
          <t>NYBRO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34362-2024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45525</v>
      </c>
      <c r="E793" s="1" t="n">
        <v>46312</v>
      </c>
      <c r="F793" t="inlineStr">
        <is>
          <t>KALMAR LÄN</t>
        </is>
      </c>
      <c r="G793" t="inlineStr">
        <is>
          <t>NYBRO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27320-2025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45812</v>
      </c>
      <c r="E794" s="1" t="n">
        <v>46312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28362-2025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45818</v>
      </c>
      <c r="E795" s="1" t="n">
        <v>46312</v>
      </c>
      <c r="F795" t="inlineStr">
        <is>
          <t>KALMAR LÄN</t>
        </is>
      </c>
      <c r="G795" t="inlineStr">
        <is>
          <t>NYBRO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29059-2025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45821</v>
      </c>
      <c r="E796" s="1" t="n">
        <v>46312</v>
      </c>
      <c r="F796" t="inlineStr">
        <is>
          <t>KALMAR LÄN</t>
        </is>
      </c>
      <c r="G796" t="inlineStr">
        <is>
          <t>NYBRO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45825</v>
      </c>
      <c r="E797" s="1" t="n">
        <v>46312</v>
      </c>
      <c r="F797" t="inlineStr">
        <is>
          <t>KALMAR LÄN</t>
        </is>
      </c>
      <c r="G797" t="inlineStr">
        <is>
          <t>NYBRO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46312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36578-2026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46269</v>
      </c>
      <c r="E799" s="1" t="n">
        <v>46312</v>
      </c>
      <c r="F799" t="inlineStr">
        <is>
          <t>KALMAR LÄN</t>
        </is>
      </c>
      <c r="G799" t="inlineStr">
        <is>
          <t>NYBRO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46312</v>
      </c>
      <c r="F800" t="inlineStr">
        <is>
          <t>KALMAR LÄN</t>
        </is>
      </c>
      <c r="G800" t="inlineStr">
        <is>
          <t>NYBRO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45824</v>
      </c>
      <c r="E801" s="1" t="n">
        <v>46312</v>
      </c>
      <c r="F801" t="inlineStr">
        <is>
          <t>KALMAR LÄN</t>
        </is>
      </c>
      <c r="G801" t="inlineStr">
        <is>
          <t>NYBRO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31540-2025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45833</v>
      </c>
      <c r="E802" s="1" t="n">
        <v>46312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46312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46312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46312</v>
      </c>
      <c r="F805" t="inlineStr">
        <is>
          <t>KALMAR LÄN</t>
        </is>
      </c>
      <c r="G805" t="inlineStr">
        <is>
          <t>NYBRO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31763-2025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46312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46312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45837</v>
      </c>
      <c r="E808" s="1" t="n">
        <v>46312</v>
      </c>
      <c r="F808" t="inlineStr">
        <is>
          <t>KALMAR LÄN</t>
        </is>
      </c>
      <c r="G808" t="inlineStr">
        <is>
          <t>NYBRO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46312</v>
      </c>
      <c r="F809" t="inlineStr">
        <is>
          <t>KALMAR LÄN</t>
        </is>
      </c>
      <c r="G809" t="inlineStr">
        <is>
          <t>NYBRO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54245-2024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45616</v>
      </c>
      <c r="E810" s="1" t="n">
        <v>46312</v>
      </c>
      <c r="F810" t="inlineStr">
        <is>
          <t>KALMAR LÄN</t>
        </is>
      </c>
      <c r="G810" t="inlineStr">
        <is>
          <t>NYBRO</t>
        </is>
      </c>
      <c r="I810" t="n">
        <v>10.1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46312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46312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34350-2025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45846</v>
      </c>
      <c r="E813" s="1" t="n">
        <v>46312</v>
      </c>
      <c r="F813" t="inlineStr">
        <is>
          <t>KALMAR LÄN</t>
        </is>
      </c>
      <c r="G813" t="inlineStr">
        <is>
          <t>NYBRO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35147-2025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45852</v>
      </c>
      <c r="E814" s="1" t="n">
        <v>46312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46312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35521-2025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45856</v>
      </c>
      <c r="E816" s="1" t="n">
        <v>46312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46312</v>
      </c>
      <c r="F817" t="inlineStr">
        <is>
          <t>KALMAR LÄN</t>
        </is>
      </c>
      <c r="G817" t="inlineStr">
        <is>
          <t>NYBRO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54255-2024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45616</v>
      </c>
      <c r="E818" s="1" t="n">
        <v>46312</v>
      </c>
      <c r="F818" t="inlineStr">
        <is>
          <t>KALMAR LÄN</t>
        </is>
      </c>
      <c r="G818" t="inlineStr">
        <is>
          <t>NYBRO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37845-2025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45881</v>
      </c>
      <c r="E819" s="1" t="n">
        <v>46312</v>
      </c>
      <c r="F819" t="inlineStr">
        <is>
          <t>KALMAR LÄN</t>
        </is>
      </c>
      <c r="G819" t="inlineStr">
        <is>
          <t>NYBRO</t>
        </is>
      </c>
      <c r="H819" t="inlineStr">
        <is>
          <t>Kommuner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46312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46312</v>
      </c>
      <c r="F821" t="inlineStr">
        <is>
          <t>KALMAR LÄN</t>
        </is>
      </c>
      <c r="G821" t="inlineStr">
        <is>
          <t>NYBRO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38202-2025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45882</v>
      </c>
      <c r="E822" s="1" t="n">
        <v>46312</v>
      </c>
      <c r="F822" t="inlineStr">
        <is>
          <t>KALMAR LÄN</t>
        </is>
      </c>
      <c r="G822" t="inlineStr">
        <is>
          <t>NYBRO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38203-2025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46312</v>
      </c>
      <c r="F823" t="inlineStr">
        <is>
          <t>KALMAR LÄN</t>
        </is>
      </c>
      <c r="G823" t="inlineStr">
        <is>
          <t>NYBRO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38399-2025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46312</v>
      </c>
      <c r="F824" t="inlineStr">
        <is>
          <t>KALMAR LÄN</t>
        </is>
      </c>
      <c r="G824" t="inlineStr">
        <is>
          <t>NYBRO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38413-2025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45883</v>
      </c>
      <c r="E825" s="1" t="n">
        <v>46312</v>
      </c>
      <c r="F825" t="inlineStr">
        <is>
          <t>KALMAR LÄN</t>
        </is>
      </c>
      <c r="G825" t="inlineStr">
        <is>
          <t>NYBRO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46312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46312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46312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46312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46312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46312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46312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46312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46312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46312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46312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46312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46312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46312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46312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46312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46312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46312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46312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46312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46312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46312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46312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46312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46312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46312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46312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46312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46312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46312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46312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46312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46312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46312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46312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46312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46312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2661-2026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46308</v>
      </c>
      <c r="E863" s="1" t="n">
        <v>46312</v>
      </c>
      <c r="F863" t="inlineStr">
        <is>
          <t>KALMAR LÄN</t>
        </is>
      </c>
      <c r="G863" t="inlineStr">
        <is>
          <t>NYBRO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2026-10-17T02:01:19Z</dcterms:created>
  <dcterms:modified xmlns:dcterms="http://purl.org/dc/terms/" xmlns:xsi="http://www.w3.org/2001/XMLSchema-instance" xsi:type="dcterms:W3CDTF">2026-10-17T02:01:20Z</dcterms:modified>
</cp:coreProperties>
</file>