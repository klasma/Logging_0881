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22095-2026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46153</v>
      </c>
      <c r="E2" s="1" t="n">
        <v>46313</v>
      </c>
      <c r="F2" t="inlineStr">
        <is>
          <t>KALMAR LÄN</t>
        </is>
      </c>
      <c r="G2" t="inlineStr">
        <is>
          <t>NYBRO</t>
        </is>
      </c>
      <c r="H2" t="inlineStr">
        <is>
          <t>Sveaskog</t>
        </is>
      </c>
      <c r="I2" t="n">
        <v>15.3</v>
      </c>
      <c r="J2" t="n">
        <v>13</v>
      </c>
      <c r="K2" t="n">
        <v>1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14</v>
      </c>
      <c r="T2" t="n">
        <v>58</v>
      </c>
      <c r="U2" t="n">
        <v>1</v>
      </c>
      <c r="V2" s="2" t="inlineStr">
        <is>
          <t>Barbastell
Brunlångöra
Dammfladdermus
Duvhök
Mindre hackspett
Nordfladdermus
Talltita
Blomkålssvamp
Spillkråka
Tjäder
Dvärgpipistrell
Större brunfladdermus
Sångsvan
Trana</t>
        </is>
      </c>
      <c r="W2">
        <f>HYPERLINK("https://klasma.github.io/Logging_0881/artfynd/A 22095-2026 artfynd.xlsx", "A 22095-2026")</f>
        <v/>
      </c>
      <c r="X2">
        <f>HYPERLINK("https://klasma.github.io/Logging_0881/kartor/A 22095-2026 karta.png", "A 22095-2026")</f>
        <v/>
      </c>
      <c r="Y2">
        <f>HYPERLINK("https://klasma.github.io/Logging_0881/kartor_geotiff/A 22095-2026 georefererad karta.tif", "A 22095-2026")</f>
        <v/>
      </c>
      <c r="AA2">
        <f>HYPERLINK("https://klasma.github.io/Logging_0881/klagomål/A 22095-2026 FSC-klagomål.docx", "A 22095-2026")</f>
        <v/>
      </c>
      <c r="AB2">
        <f>HYPERLINK("https://klasma.github.io/Logging_0881/klagomålsmail/A 22095-2026 FSC-klagomål mail.docx", "A 22095-2026")</f>
        <v/>
      </c>
      <c r="AC2">
        <f>HYPERLINK("https://klasma.github.io/Logging_0881/tillsyn/A 22095-2026 tillsynsbegäran.docx", "A 22095-2026")</f>
        <v/>
      </c>
      <c r="AD2">
        <f>HYPERLINK("https://klasma.github.io/Logging_0881/tillsynsmail/A 22095-2026 tillsynsbegäran mail.docx", "A 22095-2026")</f>
        <v/>
      </c>
      <c r="AE2">
        <f>HYPERLINK("https://klasma.github.io/Logging_0881/fåglar/A 22095-2026 prioriterade fågelarter.docx", "A 22095-2026")</f>
        <v/>
      </c>
    </row>
    <row r="3" ht="15" customHeight="1">
      <c r="A3" t="inlineStr">
        <is>
          <t>S 984-2023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45006</v>
      </c>
      <c r="E3" s="1" t="n">
        <v>46313</v>
      </c>
      <c r="F3" t="inlineStr">
        <is>
          <t>KALMAR LÄN</t>
        </is>
      </c>
      <c r="G3" t="inlineStr">
        <is>
          <t>NYBRO</t>
        </is>
      </c>
      <c r="I3" t="n">
        <v>8</v>
      </c>
      <c r="J3" t="n">
        <v>3</v>
      </c>
      <c r="K3" t="n">
        <v>7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4</v>
      </c>
      <c r="R3" t="n">
        <v>1</v>
      </c>
      <c r="S3" t="n">
        <v>13</v>
      </c>
      <c r="T3" t="n">
        <v>14</v>
      </c>
      <c r="U3" t="n">
        <v>10</v>
      </c>
      <c r="V3" s="2" t="inlineStr">
        <is>
          <t>Ask
Brunag
Mindre träfjäril
Vårärt
Hasselticka
Kruskantarell
Murgröna
Myskmadra
Nästrot
Svart trolldruva
Vätteros
Blåsippa
Revlummer</t>
        </is>
      </c>
      <c r="W3">
        <f>HYPERLINK("https://klasma.github.io/Logging_0881/artfynd/S 984-2023 artfynd.xlsx", "S 984-2023")</f>
        <v/>
      </c>
      <c r="X3">
        <f>HYPERLINK("https://klasma.github.io/Logging_0881/kartor/S 984-2023 karta.png", "S 984-2023")</f>
        <v/>
      </c>
      <c r="Y3">
        <f>HYPERLINK("https://klasma.github.io/Logging_0881/kartor_geotiff/S 984-2023 georefererad karta.tif", "S 984-2023")</f>
        <v/>
      </c>
      <c r="AA3">
        <f>HYPERLINK("https://klasma.github.io/Logging_0881/klagomål/S 984-2023 FSC-klagomål.docx", "S 984-2023")</f>
        <v/>
      </c>
      <c r="AB3">
        <f>HYPERLINK("https://klasma.github.io/Logging_0881/klagomålsmail/S 984-2023 FSC-klagomål mail.docx", "S 984-2023")</f>
        <v/>
      </c>
      <c r="AC3">
        <f>HYPERLINK("https://klasma.github.io/Logging_0881/tillsyn/S 984-2023 tillsynsbegäran.docx", "S 984-2023")</f>
        <v/>
      </c>
      <c r="AD3">
        <f>HYPERLINK("https://klasma.github.io/Logging_0881/tillsynsmail/S 984-2023 tillsynsbegäran mail.docx", "S 984-2023")</f>
        <v/>
      </c>
    </row>
    <row r="4" ht="15" customHeight="1">
      <c r="A4" t="inlineStr">
        <is>
          <t>S 797-2020</t>
        </is>
      </c>
      <c r="B4" t="inlineStr">
        <is>
          <t>samrådsanmälan</t>
        </is>
      </c>
      <c r="C4" t="inlineStr">
        <is>
          <t>Åtgärd i nyckelbiotop</t>
        </is>
      </c>
      <c r="D4" s="1" t="n">
        <v>43929</v>
      </c>
      <c r="E4" s="1" t="n">
        <v>46313</v>
      </c>
      <c r="F4" t="inlineStr">
        <is>
          <t>KALMAR LÄN</t>
        </is>
      </c>
      <c r="G4" t="inlineStr">
        <is>
          <t>NYBRO</t>
        </is>
      </c>
      <c r="I4" t="n">
        <v>1.2</v>
      </c>
      <c r="J4" t="n">
        <v>0</v>
      </c>
      <c r="K4" t="n">
        <v>8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4</v>
      </c>
      <c r="R4" t="n">
        <v>2</v>
      </c>
      <c r="S4" t="n">
        <v>12</v>
      </c>
      <c r="T4" t="n">
        <v>19</v>
      </c>
      <c r="U4" t="n">
        <v>19</v>
      </c>
      <c r="V4" s="2" t="inlineStr">
        <is>
          <t>Gulvit blekspik
Klosterlav
Grynig filtlav
Stjärnnästing
Fällmossa
Guldlockmossa
Platt fjädermossa
Rostfläck
Sotlav
Traslav
Trubbfjädermossa
Trädporella</t>
        </is>
      </c>
      <c r="W4">
        <f>HYPERLINK("https://klasma.github.io/Logging_0881/artfynd/S 797-2020 artfynd.xlsx", "S 797-2020")</f>
        <v/>
      </c>
      <c r="X4">
        <f>HYPERLINK("https://klasma.github.io/Logging_0881/kartor/S 797-2020 karta.png", "S 797-2020")</f>
        <v/>
      </c>
      <c r="Y4">
        <f>HYPERLINK("https://klasma.github.io/Logging_0881/kartor_geotiff/S 797-2020 georefererad karta.tif", "S 797-2020")</f>
        <v/>
      </c>
      <c r="AA4">
        <f>HYPERLINK("https://klasma.github.io/Logging_0881/klagomål/S 797-2020 FSC-klagomål.docx", "S 797-2020")</f>
        <v/>
      </c>
      <c r="AB4">
        <f>HYPERLINK("https://klasma.github.io/Logging_0881/klagomålsmail/S 797-2020 FSC-klagomål mail.docx", "S 797-2020")</f>
        <v/>
      </c>
      <c r="AC4">
        <f>HYPERLINK("https://klasma.github.io/Logging_0881/tillsyn/S 797-2020 tillsynsbegäran.docx", "S 797-2020")</f>
        <v/>
      </c>
      <c r="AD4">
        <f>HYPERLINK("https://klasma.github.io/Logging_0881/tillsynsmail/S 797-2020 tillsynsbegäran mail.docx", "S 797-2020")</f>
        <v/>
      </c>
    </row>
    <row r="5" ht="15" customHeight="1">
      <c r="A5" t="inlineStr">
        <is>
          <t>S 2210-2023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45099</v>
      </c>
      <c r="E5" s="1" t="n">
        <v>46313</v>
      </c>
      <c r="F5" t="inlineStr">
        <is>
          <t>KALMAR LÄN</t>
        </is>
      </c>
      <c r="G5" t="inlineStr">
        <is>
          <t>NYBRO</t>
        </is>
      </c>
      <c r="I5" t="n">
        <v>6</v>
      </c>
      <c r="J5" t="n">
        <v>0</v>
      </c>
      <c r="K5" t="n">
        <v>8</v>
      </c>
      <c r="L5" t="n">
        <v>0</v>
      </c>
      <c r="M5" t="n">
        <v>3</v>
      </c>
      <c r="N5" t="n">
        <v>1</v>
      </c>
      <c r="O5" t="n">
        <v>0</v>
      </c>
      <c r="P5" t="n">
        <v>0</v>
      </c>
      <c r="Q5" t="n">
        <v>4</v>
      </c>
      <c r="R5" t="n">
        <v>4</v>
      </c>
      <c r="S5" t="n">
        <v>12</v>
      </c>
      <c r="T5" t="n">
        <v>15</v>
      </c>
      <c r="U5" t="n">
        <v>0</v>
      </c>
      <c r="V5" s="2" t="inlineStr">
        <is>
          <t>Skogsalm
Gulvit blekspik
Klosterlav
Småländsk rufsfibbla
Dvärgtufs
Fällmossa
Kornig nållav
Platt fjädermossa
Rostfläck
Traslav
Trubbfjädermossa
Trädporella</t>
        </is>
      </c>
      <c r="W5">
        <f>HYPERLINK("https://klasma.github.io/Logging_0881/artfynd/S 2210-2023 artfynd.xlsx", "S 2210-2023")</f>
        <v/>
      </c>
      <c r="X5">
        <f>HYPERLINK("https://klasma.github.io/Logging_0881/kartor/S 2210-2023 karta.png", "S 2210-2023")</f>
        <v/>
      </c>
      <c r="Y5">
        <f>HYPERLINK("https://klasma.github.io/Logging_0881/kartor_geotiff/S 2210-2023 georefererad karta.tif", "S 2210-2023")</f>
        <v/>
      </c>
      <c r="AA5">
        <f>HYPERLINK("https://klasma.github.io/Logging_0881/klagomål/S 2210-2023 FSC-klagomål.docx", "S 2210-2023")</f>
        <v/>
      </c>
      <c r="AB5">
        <f>HYPERLINK("https://klasma.github.io/Logging_0881/klagomålsmail/S 2210-2023 FSC-klagomål mail.docx", "S 2210-2023")</f>
        <v/>
      </c>
      <c r="AC5">
        <f>HYPERLINK("https://klasma.github.io/Logging_0881/tillsyn/S 2210-2023 tillsynsbegäran.docx", "S 2210-2023")</f>
        <v/>
      </c>
      <c r="AD5">
        <f>HYPERLINK("https://klasma.github.io/Logging_0881/tillsynsmail/S 2210-2023 tillsynsbegäran mail.docx", "S 2210-2023")</f>
        <v/>
      </c>
    </row>
    <row r="6" ht="15" customHeight="1">
      <c r="A6" t="inlineStr">
        <is>
          <t>A 22084-2026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46153</v>
      </c>
      <c r="E6" s="1" t="n">
        <v>46313</v>
      </c>
      <c r="F6" t="inlineStr">
        <is>
          <t>KALMAR LÄN</t>
        </is>
      </c>
      <c r="G6" t="inlineStr">
        <is>
          <t>NYBRO</t>
        </is>
      </c>
      <c r="H6" t="inlineStr">
        <is>
          <t>Sveaskog</t>
        </is>
      </c>
      <c r="I6" t="n">
        <v>4.6</v>
      </c>
      <c r="J6" t="n">
        <v>10</v>
      </c>
      <c r="K6" t="n">
        <v>1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11</v>
      </c>
      <c r="T6" t="n">
        <v>16</v>
      </c>
      <c r="U6" t="n">
        <v>0</v>
      </c>
      <c r="V6" s="2" t="inlineStr">
        <is>
          <t>Barbastell
Fransfladdermus
Nordfladdermus
Talltita
Blomkålssvamp
Järpe
Spillkråka
Dvärgpipistrell
Grönsiska
Kungsfågel
Större brunfladdermus</t>
        </is>
      </c>
      <c r="W6">
        <f>HYPERLINK("https://klasma.github.io/Logging_0881/artfynd/A 22084-2026 artfynd.xlsx", "A 22084-2026")</f>
        <v/>
      </c>
      <c r="X6">
        <f>HYPERLINK("https://klasma.github.io/Logging_0881/kartor/A 22084-2026 karta.png", "A 22084-2026")</f>
        <v/>
      </c>
      <c r="Y6">
        <f>HYPERLINK("https://klasma.github.io/Logging_0881/kartor_geotiff/A 22084-2026 georefererad karta.tif", "A 22084-2026")</f>
        <v/>
      </c>
      <c r="AA6">
        <f>HYPERLINK("https://klasma.github.io/Logging_0881/klagomål/A 22084-2026 FSC-klagomål.docx", "A 22084-2026")</f>
        <v/>
      </c>
      <c r="AB6">
        <f>HYPERLINK("https://klasma.github.io/Logging_0881/klagomålsmail/A 22084-2026 FSC-klagomål mail.docx", "A 22084-2026")</f>
        <v/>
      </c>
      <c r="AC6">
        <f>HYPERLINK("https://klasma.github.io/Logging_0881/tillsyn/A 22084-2026 tillsynsbegäran.docx", "A 22084-2026")</f>
        <v/>
      </c>
      <c r="AD6">
        <f>HYPERLINK("https://klasma.github.io/Logging_0881/tillsynsmail/A 22084-2026 tillsynsbegäran mail.docx", "A 22084-2026")</f>
        <v/>
      </c>
      <c r="AE6">
        <f>HYPERLINK("https://klasma.github.io/Logging_0881/fåglar/A 22084-2026 prioriterade fågelarter.docx", "A 22084-2026")</f>
        <v/>
      </c>
    </row>
    <row r="7" ht="15" customHeight="1">
      <c r="A7" t="inlineStr">
        <is>
          <t>S 3980-2024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45568</v>
      </c>
      <c r="E7" s="1" t="n">
        <v>46313</v>
      </c>
      <c r="F7" t="inlineStr">
        <is>
          <t>KALMAR LÄN</t>
        </is>
      </c>
      <c r="G7" t="inlineStr">
        <is>
          <t>NYBRO</t>
        </is>
      </c>
      <c r="I7" t="n">
        <v>8.300000000000001</v>
      </c>
      <c r="J7" t="n">
        <v>1</v>
      </c>
      <c r="K7" t="n">
        <v>7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2</v>
      </c>
      <c r="R7" t="n">
        <v>2</v>
      </c>
      <c r="S7" t="n">
        <v>9</v>
      </c>
      <c r="T7" t="n">
        <v>9</v>
      </c>
      <c r="U7" t="n">
        <v>1</v>
      </c>
      <c r="V7" s="2" t="inlineStr">
        <is>
          <t>Almlav
Gulvit blekspik
Ekoxe
Fällmossa
Guldlockmossa
Platt fjädermossa
Scytinium lichenoides s.lat.
Trubbfjädermossa
Underviol</t>
        </is>
      </c>
      <c r="W7">
        <f>HYPERLINK("https://klasma.github.io/Logging_0881/artfynd/S 3980-2024 artfynd.xlsx", "S 3980-2024")</f>
        <v/>
      </c>
      <c r="X7">
        <f>HYPERLINK("https://klasma.github.io/Logging_0881/kartor/S 3980-2024 karta.png", "S 3980-2024")</f>
        <v/>
      </c>
      <c r="Y7">
        <f>HYPERLINK("https://klasma.github.io/Logging_0881/kartor_geotiff/S 3980-2024 georefererad karta.tif", "S 3980-2024")</f>
        <v/>
      </c>
      <c r="AA7">
        <f>HYPERLINK("https://klasma.github.io/Logging_0881/klagomål/S 3980-2024 FSC-klagomål.docx", "S 3980-2024")</f>
        <v/>
      </c>
      <c r="AB7">
        <f>HYPERLINK("https://klasma.github.io/Logging_0881/klagomålsmail/S 3980-2024 FSC-klagomål mail.docx", "S 3980-2024")</f>
        <v/>
      </c>
      <c r="AC7">
        <f>HYPERLINK("https://klasma.github.io/Logging_0881/tillsyn/S 3980-2024 tillsynsbegäran.docx", "S 3980-2024")</f>
        <v/>
      </c>
      <c r="AD7">
        <f>HYPERLINK("https://klasma.github.io/Logging_0881/tillsynsmail/S 3980-2024 tillsynsbegäran mail.docx", "S 3980-2024")</f>
        <v/>
      </c>
    </row>
    <row r="8" ht="15" customHeight="1">
      <c r="A8" t="inlineStr">
        <is>
          <t>S 2365-2025</t>
        </is>
      </c>
      <c r="B8" t="inlineStr">
        <is>
          <t>samrådsanmälan</t>
        </is>
      </c>
      <c r="C8" t="inlineStr">
        <is>
          <t>Askåterföring</t>
        </is>
      </c>
      <c r="D8" s="1" t="n">
        <v>45889</v>
      </c>
      <c r="E8" s="1" t="n">
        <v>46313</v>
      </c>
      <c r="F8" t="inlineStr">
        <is>
          <t>KALMAR LÄN</t>
        </is>
      </c>
      <c r="G8" t="inlineStr">
        <is>
          <t>NYBRO</t>
        </is>
      </c>
      <c r="H8" t="inlineStr">
        <is>
          <t>Kyrkan</t>
        </is>
      </c>
      <c r="I8" t="n">
        <v>68.8</v>
      </c>
      <c r="J8" t="n">
        <v>8</v>
      </c>
      <c r="K8" t="n">
        <v>0</v>
      </c>
      <c r="L8" t="n">
        <v>3</v>
      </c>
      <c r="M8" t="n">
        <v>2</v>
      </c>
      <c r="N8" t="n">
        <v>0</v>
      </c>
      <c r="O8" t="n">
        <v>0</v>
      </c>
      <c r="P8" t="n">
        <v>0</v>
      </c>
      <c r="Q8" t="n">
        <v>5</v>
      </c>
      <c r="R8" t="n">
        <v>2</v>
      </c>
      <c r="S8" t="n">
        <v>9</v>
      </c>
      <c r="T8" t="n">
        <v>9</v>
      </c>
      <c r="U8" t="n">
        <v>1</v>
      </c>
      <c r="V8" s="2" t="inlineStr">
        <is>
          <t>Bredbrämad bastardsvärmare
Grönfink
Duvhök
Gulsparv
Mindre hackspett
Hasselmus
Kungsfågel
Trädlärka
Törnskata</t>
        </is>
      </c>
      <c r="W8">
        <f>HYPERLINK("https://klasma.github.io/Logging_0881/artfynd/S 2365-2025 artfynd.xlsx", "S 2365-2025")</f>
        <v/>
      </c>
      <c r="X8">
        <f>HYPERLINK("https://klasma.github.io/Logging_0881/kartor/S 2365-2025 karta.png", "S 2365-2025")</f>
        <v/>
      </c>
      <c r="Y8">
        <f>HYPERLINK("https://klasma.github.io/Logging_0881/kartor_geotiff/S 2365-2025 georefererad karta.tif", "S 2365-2025")</f>
        <v/>
      </c>
      <c r="AA8">
        <f>HYPERLINK("https://klasma.github.io/Logging_0881/klagomål/S 2365-2025 FSC-klagomål.docx", "S 2365-2025")</f>
        <v/>
      </c>
      <c r="AB8">
        <f>HYPERLINK("https://klasma.github.io/Logging_0881/klagomålsmail/S 2365-2025 FSC-klagomål mail.docx", "S 2365-2025")</f>
        <v/>
      </c>
      <c r="AC8">
        <f>HYPERLINK("https://klasma.github.io/Logging_0881/tillsyn/S 2365-2025 tillsynsbegäran.docx", "S 2365-2025")</f>
        <v/>
      </c>
      <c r="AD8">
        <f>HYPERLINK("https://klasma.github.io/Logging_0881/tillsynsmail/S 2365-2025 tillsynsbegäran mail.docx", "S 2365-2025")</f>
        <v/>
      </c>
      <c r="AE8">
        <f>HYPERLINK("https://klasma.github.io/Logging_0881/fåglar/S 2365-2025 prioriterade fågelarter.docx", "S 2365-2025")</f>
        <v/>
      </c>
    </row>
    <row r="9" ht="15" customHeight="1">
      <c r="A9" t="inlineStr">
        <is>
          <t>A 12506-2025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45730</v>
      </c>
      <c r="E9" s="1" t="n">
        <v>46313</v>
      </c>
      <c r="F9" t="inlineStr">
        <is>
          <t>KALMAR LÄN</t>
        </is>
      </c>
      <c r="G9" t="inlineStr">
        <is>
          <t>NYBRO</t>
        </is>
      </c>
      <c r="H9" t="inlineStr">
        <is>
          <t>Kommuner</t>
        </is>
      </c>
      <c r="I9" t="n">
        <v>2.3</v>
      </c>
      <c r="J9" t="n">
        <v>6</v>
      </c>
      <c r="K9" t="n">
        <v>0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4</v>
      </c>
      <c r="R9" t="n">
        <v>2</v>
      </c>
      <c r="S9" t="n">
        <v>8</v>
      </c>
      <c r="T9" t="n">
        <v>11</v>
      </c>
      <c r="U9" t="n">
        <v>9</v>
      </c>
      <c r="V9" s="2" t="inlineStr">
        <is>
          <t>Ask
Grönfink
Aspstumpbagge
Grönsångare
Gröngöling
Svartvit flugsnappare
Vanlig padda
Gullviva</t>
        </is>
      </c>
      <c r="W9">
        <f>HYPERLINK("https://klasma.github.io/Logging_0881/artfynd/A 12506-2025 artfynd.xlsx", "A 12506-2025")</f>
        <v/>
      </c>
      <c r="X9">
        <f>HYPERLINK("https://klasma.github.io/Logging_0881/kartor/A 12506-2025 karta.png", "A 12506-2025")</f>
        <v/>
      </c>
      <c r="Y9">
        <f>HYPERLINK("https://klasma.github.io/Logging_0881/kartor_geotiff/A 12506-2025 georefererad karta.tif", "A 12506-2025")</f>
        <v/>
      </c>
      <c r="AA9">
        <f>HYPERLINK("https://klasma.github.io/Logging_0881/klagomål/A 12506-2025 FSC-klagomål.docx", "A 12506-2025")</f>
        <v/>
      </c>
      <c r="AB9">
        <f>HYPERLINK("https://klasma.github.io/Logging_0881/klagomålsmail/A 12506-2025 FSC-klagomål mail.docx", "A 12506-2025")</f>
        <v/>
      </c>
      <c r="AC9">
        <f>HYPERLINK("https://klasma.github.io/Logging_0881/tillsyn/A 12506-2025 tillsynsbegäran.docx", "A 12506-2025")</f>
        <v/>
      </c>
      <c r="AD9">
        <f>HYPERLINK("https://klasma.github.io/Logging_0881/tillsynsmail/A 12506-2025 tillsynsbegäran mail.docx", "A 12506-2025")</f>
        <v/>
      </c>
      <c r="AE9">
        <f>HYPERLINK("https://klasma.github.io/Logging_0881/fåglar/A 12506-2025 prioriterade fågelarter.docx", "A 12506-2025")</f>
        <v/>
      </c>
    </row>
    <row r="10" ht="15" customHeight="1">
      <c r="A10" t="inlineStr">
        <is>
          <t>A 9186-2024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45358</v>
      </c>
      <c r="E10" s="1" t="n">
        <v>46313</v>
      </c>
      <c r="F10" t="inlineStr">
        <is>
          <t>KALMAR LÄN</t>
        </is>
      </c>
      <c r="G10" t="inlineStr">
        <is>
          <t>NYBRO</t>
        </is>
      </c>
      <c r="I10" t="n">
        <v>3.8</v>
      </c>
      <c r="J10" t="n">
        <v>5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7</v>
      </c>
      <c r="T10" t="n">
        <v>8</v>
      </c>
      <c r="U10" t="n">
        <v>0</v>
      </c>
      <c r="V10" s="2" t="inlineStr">
        <is>
          <t>Dropptaggsvamp
Blåmossa
Fläcknycklar
Nattviol
Lopplummer (aggregat)
Revlummer
Äkta lopplummer</t>
        </is>
      </c>
      <c r="W10">
        <f>HYPERLINK("https://klasma.github.io/Logging_0881/artfynd/A 9186-2024 artfynd.xlsx", "A 9186-2024")</f>
        <v/>
      </c>
      <c r="X10">
        <f>HYPERLINK("https://klasma.github.io/Logging_0881/kartor/A 9186-2024 karta.png", "A 9186-2024")</f>
        <v/>
      </c>
      <c r="Y10">
        <f>HYPERLINK("https://klasma.github.io/Logging_0881/kartor_geotiff/A 9186-2024 georefererad karta.tif", "A 9186-2024")</f>
        <v/>
      </c>
      <c r="AA10">
        <f>HYPERLINK("https://klasma.github.io/Logging_0881/klagomål/A 9186-2024 FSC-klagomål.docx", "A 9186-2024")</f>
        <v/>
      </c>
      <c r="AB10">
        <f>HYPERLINK("https://klasma.github.io/Logging_0881/klagomålsmail/A 9186-2024 FSC-klagomål mail.docx", "A 9186-2024")</f>
        <v/>
      </c>
      <c r="AC10">
        <f>HYPERLINK("https://klasma.github.io/Logging_0881/tillsyn/A 9186-2024 tillsynsbegäran.docx", "A 9186-2024")</f>
        <v/>
      </c>
      <c r="AD10">
        <f>HYPERLINK("https://klasma.github.io/Logging_0881/tillsynsmail/A 9186-2024 tillsynsbegäran mail.docx", "A 9186-2024")</f>
        <v/>
      </c>
    </row>
    <row r="11" ht="15" customHeight="1">
      <c r="A11" t="inlineStr">
        <is>
          <t>A 7218-2022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44606</v>
      </c>
      <c r="E11" s="1" t="n">
        <v>46313</v>
      </c>
      <c r="F11" t="inlineStr">
        <is>
          <t>KALMAR LÄN</t>
        </is>
      </c>
      <c r="G11" t="inlineStr">
        <is>
          <t>NYBRO</t>
        </is>
      </c>
      <c r="I11" t="n">
        <v>5.1</v>
      </c>
      <c r="J11" t="n">
        <v>0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6</v>
      </c>
      <c r="T11" t="n">
        <v>6</v>
      </c>
      <c r="U11" t="n">
        <v>6</v>
      </c>
      <c r="V11" s="2" t="inlineStr">
        <is>
          <t>Gransotdyna
Ullticka
Vedtrappmossa
Blåmossa
Brandticka
Vanlig flatbagge</t>
        </is>
      </c>
      <c r="W11">
        <f>HYPERLINK("https://klasma.github.io/Logging_0881/artfynd/A 7218-2022 artfynd.xlsx", "A 7218-2022")</f>
        <v/>
      </c>
      <c r="X11">
        <f>HYPERLINK("https://klasma.github.io/Logging_0881/kartor/A 7218-2022 karta.png", "A 7218-2022")</f>
        <v/>
      </c>
      <c r="Y11">
        <f>HYPERLINK("https://klasma.github.io/Logging_0881/kartor_geotiff/A 7218-2022 georefererad karta.tif", "A 7218-2022")</f>
        <v/>
      </c>
      <c r="AA11">
        <f>HYPERLINK("https://klasma.github.io/Logging_0881/klagomål/A 7218-2022 FSC-klagomål.docx", "A 7218-2022")</f>
        <v/>
      </c>
      <c r="AB11">
        <f>HYPERLINK("https://klasma.github.io/Logging_0881/klagomålsmail/A 7218-2022 FSC-klagomål mail.docx", "A 7218-2022")</f>
        <v/>
      </c>
      <c r="AC11">
        <f>HYPERLINK("https://klasma.github.io/Logging_0881/tillsyn/A 7218-2022 tillsynsbegäran.docx", "A 7218-2022")</f>
        <v/>
      </c>
      <c r="AD11">
        <f>HYPERLINK("https://klasma.github.io/Logging_0881/tillsynsmail/A 7218-2022 tillsynsbegäran mail.docx", "A 7218-2022")</f>
        <v/>
      </c>
    </row>
    <row r="12" ht="15" customHeight="1">
      <c r="A12" t="inlineStr">
        <is>
          <t>A 44358-2022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44839</v>
      </c>
      <c r="E12" s="1" t="n">
        <v>46313</v>
      </c>
      <c r="F12" t="inlineStr">
        <is>
          <t>KALMAR LÄN</t>
        </is>
      </c>
      <c r="G12" t="inlineStr">
        <is>
          <t>NYBRO</t>
        </is>
      </c>
      <c r="I12" t="n">
        <v>8.300000000000001</v>
      </c>
      <c r="J12" t="n">
        <v>6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6</v>
      </c>
      <c r="T12" t="n">
        <v>6</v>
      </c>
      <c r="U12" t="n">
        <v>1</v>
      </c>
      <c r="V12" s="2" t="inlineStr">
        <is>
          <t>Barbastell
Brunlångöra
Nordfladdermus
Dvärgpipistrell
Större brunfladdermus
Trollpipistrell</t>
        </is>
      </c>
      <c r="W12">
        <f>HYPERLINK("https://klasma.github.io/Logging_0881/artfynd/A 44358-2022 artfynd.xlsx", "A 44358-2022")</f>
        <v/>
      </c>
      <c r="X12">
        <f>HYPERLINK("https://klasma.github.io/Logging_0881/kartor/A 44358-2022 karta.png", "A 44358-2022")</f>
        <v/>
      </c>
      <c r="Y12">
        <f>HYPERLINK("https://klasma.github.io/Logging_0881/kartor_geotiff/A 44358-2022 georefererad karta.tif", "A 44358-2022")</f>
        <v/>
      </c>
      <c r="AA12">
        <f>HYPERLINK("https://klasma.github.io/Logging_0881/klagomål/A 44358-2022 FSC-klagomål.docx", "A 44358-2022")</f>
        <v/>
      </c>
      <c r="AB12">
        <f>HYPERLINK("https://klasma.github.io/Logging_0881/klagomålsmail/A 44358-2022 FSC-klagomål mail.docx", "A 44358-2022")</f>
        <v/>
      </c>
      <c r="AC12">
        <f>HYPERLINK("https://klasma.github.io/Logging_0881/tillsyn/A 44358-2022 tillsynsbegäran.docx", "A 44358-2022")</f>
        <v/>
      </c>
      <c r="AD12">
        <f>HYPERLINK("https://klasma.github.io/Logging_0881/tillsynsmail/A 44358-2022 tillsynsbegäran mail.docx", "A 44358-2022")</f>
        <v/>
      </c>
    </row>
    <row r="13" ht="15" customHeight="1">
      <c r="A13" t="inlineStr">
        <is>
          <t>A 22085-2026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46153</v>
      </c>
      <c r="E13" s="1" t="n">
        <v>46313</v>
      </c>
      <c r="F13" t="inlineStr">
        <is>
          <t>KALMAR LÄN</t>
        </is>
      </c>
      <c r="G13" t="inlineStr">
        <is>
          <t>NYBRO</t>
        </is>
      </c>
      <c r="H13" t="inlineStr">
        <is>
          <t>Sveaskog</t>
        </is>
      </c>
      <c r="I13" t="n">
        <v>1.5</v>
      </c>
      <c r="J13" t="n">
        <v>6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6</v>
      </c>
      <c r="T13" t="n">
        <v>8</v>
      </c>
      <c r="U13" t="n">
        <v>0</v>
      </c>
      <c r="V13" s="2" t="inlineStr">
        <is>
          <t>Barbastell
Fransfladdermus
Nordfladdermus
Talltita
Dvärgpipistrell
Större brunfladdermus</t>
        </is>
      </c>
      <c r="W13">
        <f>HYPERLINK("https://klasma.github.io/Logging_0881/artfynd/A 22085-2026 artfynd.xlsx", "A 22085-2026")</f>
        <v/>
      </c>
      <c r="X13">
        <f>HYPERLINK("https://klasma.github.io/Logging_0881/kartor/A 22085-2026 karta.png", "A 22085-2026")</f>
        <v/>
      </c>
      <c r="Y13">
        <f>HYPERLINK("https://klasma.github.io/Logging_0881/kartor_geotiff/A 22085-2026 georefererad karta.tif", "A 22085-2026")</f>
        <v/>
      </c>
      <c r="AA13">
        <f>HYPERLINK("https://klasma.github.io/Logging_0881/klagomål/A 22085-2026 FSC-klagomål.docx", "A 22085-2026")</f>
        <v/>
      </c>
      <c r="AB13">
        <f>HYPERLINK("https://klasma.github.io/Logging_0881/klagomålsmail/A 22085-2026 FSC-klagomål mail.docx", "A 22085-2026")</f>
        <v/>
      </c>
      <c r="AC13">
        <f>HYPERLINK("https://klasma.github.io/Logging_0881/tillsyn/A 22085-2026 tillsynsbegäran.docx", "A 22085-2026")</f>
        <v/>
      </c>
      <c r="AD13">
        <f>HYPERLINK("https://klasma.github.io/Logging_0881/tillsynsmail/A 22085-2026 tillsynsbegäran mail.docx", "A 22085-2026")</f>
        <v/>
      </c>
      <c r="AE13">
        <f>HYPERLINK("https://klasma.github.io/Logging_0881/fåglar/A 22085-2026 prioriterade fågelarter.docx", "A 22085-2026")</f>
        <v/>
      </c>
    </row>
    <row r="14" ht="15" customHeight="1">
      <c r="A14" t="inlineStr">
        <is>
          <t>A 62817-2021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44504</v>
      </c>
      <c r="E14" s="1" t="n">
        <v>46313</v>
      </c>
      <c r="F14" t="inlineStr">
        <is>
          <t>KALMAR LÄN</t>
        </is>
      </c>
      <c r="G14" t="inlineStr">
        <is>
          <t>NYBRO</t>
        </is>
      </c>
      <c r="H14" t="inlineStr">
        <is>
          <t>Sveaskog</t>
        </is>
      </c>
      <c r="I14" t="n">
        <v>0.9</v>
      </c>
      <c r="J14" t="n">
        <v>4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6</v>
      </c>
      <c r="T14" t="n">
        <v>10</v>
      </c>
      <c r="U14" t="n">
        <v>10</v>
      </c>
      <c r="V14" s="2" t="inlineStr">
        <is>
          <t>Slåttergubbe
Nordfladdermus
Skogshare
Nattskärra
Tjäder
Orre</t>
        </is>
      </c>
      <c r="W14">
        <f>HYPERLINK("https://klasma.github.io/Logging_0881/artfynd/A 62817-2021 artfynd.xlsx", "A 62817-2021")</f>
        <v/>
      </c>
      <c r="X14">
        <f>HYPERLINK("https://klasma.github.io/Logging_0881/kartor/A 62817-2021 karta.png", "A 62817-2021")</f>
        <v/>
      </c>
      <c r="Y14">
        <f>HYPERLINK("https://klasma.github.io/Logging_0881/kartor_geotiff/A 62817-2021 georefererad karta.tif", "A 62817-2021")</f>
        <v/>
      </c>
      <c r="AA14">
        <f>HYPERLINK("https://klasma.github.io/Logging_0881/klagomål/A 62817-2021 FSC-klagomål.docx", "A 62817-2021")</f>
        <v/>
      </c>
      <c r="AB14">
        <f>HYPERLINK("https://klasma.github.io/Logging_0881/klagomålsmail/A 62817-2021 FSC-klagomål mail.docx", "A 62817-2021")</f>
        <v/>
      </c>
      <c r="AC14">
        <f>HYPERLINK("https://klasma.github.io/Logging_0881/tillsyn/A 62817-2021 tillsynsbegäran.docx", "A 62817-2021")</f>
        <v/>
      </c>
      <c r="AD14">
        <f>HYPERLINK("https://klasma.github.io/Logging_0881/tillsynsmail/A 62817-2021 tillsynsbegäran mail.docx", "A 62817-2021")</f>
        <v/>
      </c>
      <c r="AE14">
        <f>HYPERLINK("https://klasma.github.io/Logging_0881/fåglar/A 62817-2021 prioriterade fågelarter.docx", "A 62817-2021")</f>
        <v/>
      </c>
    </row>
    <row r="15" ht="15" customHeight="1">
      <c r="A15" t="inlineStr">
        <is>
          <t>S 3888-2024</t>
        </is>
      </c>
      <c r="B15" t="inlineStr">
        <is>
          <t>samrådsanmälan</t>
        </is>
      </c>
      <c r="C15" t="inlineStr">
        <is>
          <t>Annan skogsbruksåtgärd</t>
        </is>
      </c>
      <c r="D15" s="1" t="n">
        <v>45561</v>
      </c>
      <c r="E15" s="1" t="n">
        <v>46313</v>
      </c>
      <c r="F15" t="inlineStr">
        <is>
          <t>KALMAR LÄN</t>
        </is>
      </c>
      <c r="G15" t="inlineStr">
        <is>
          <t>NYBRO</t>
        </is>
      </c>
      <c r="I15" t="n">
        <v>24.1</v>
      </c>
      <c r="J15" t="n">
        <v>5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8</v>
      </c>
      <c r="U15" t="n">
        <v>8</v>
      </c>
      <c r="V15" s="2" t="inlineStr">
        <is>
          <t>Gulsparv
Talltita
Blåmossa
Gröngöling
Kungsfågel
Revlummer</t>
        </is>
      </c>
      <c r="W15">
        <f>HYPERLINK("https://klasma.github.io/Logging_0881/artfynd/S 3888-2024 artfynd.xlsx", "S 3888-2024")</f>
        <v/>
      </c>
      <c r="X15">
        <f>HYPERLINK("https://klasma.github.io/Logging_0881/kartor/S 3888-2024 karta.png", "S 3888-2024")</f>
        <v/>
      </c>
      <c r="Y15">
        <f>HYPERLINK("https://klasma.github.io/Logging_0881/kartor_geotiff/S 3888-2024 georefererad karta.tif", "S 3888-2024")</f>
        <v/>
      </c>
      <c r="AA15">
        <f>HYPERLINK("https://klasma.github.io/Logging_0881/klagomål/S 3888-2024 FSC-klagomål.docx", "S 3888-2024")</f>
        <v/>
      </c>
      <c r="AB15">
        <f>HYPERLINK("https://klasma.github.io/Logging_0881/klagomålsmail/S 3888-2024 FSC-klagomål mail.docx", "S 3888-2024")</f>
        <v/>
      </c>
      <c r="AC15">
        <f>HYPERLINK("https://klasma.github.io/Logging_0881/tillsyn/S 3888-2024 tillsynsbegäran.docx", "S 3888-2024")</f>
        <v/>
      </c>
      <c r="AD15">
        <f>HYPERLINK("https://klasma.github.io/Logging_0881/tillsynsmail/S 3888-2024 tillsynsbegäran mail.docx", "S 3888-2024")</f>
        <v/>
      </c>
      <c r="AE15">
        <f>HYPERLINK("https://klasma.github.io/Logging_0881/fåglar/S 3888-2024 prioriterade fågelarter.docx", "S 3888-2024")</f>
        <v/>
      </c>
    </row>
    <row r="16" ht="15" customHeight="1">
      <c r="A16" t="inlineStr">
        <is>
          <t>A 22082-2026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46153</v>
      </c>
      <c r="E16" s="1" t="n">
        <v>46313</v>
      </c>
      <c r="F16" t="inlineStr">
        <is>
          <t>KALMAR LÄN</t>
        </is>
      </c>
      <c r="G16" t="inlineStr">
        <is>
          <t>NYBRO</t>
        </is>
      </c>
      <c r="H16" t="inlineStr">
        <is>
          <t>Sveaskog</t>
        </is>
      </c>
      <c r="I16" t="n">
        <v>2.8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5</v>
      </c>
      <c r="T16" t="n">
        <v>14</v>
      </c>
      <c r="U16" t="n">
        <v>0</v>
      </c>
      <c r="V16" s="2" t="inlineStr">
        <is>
          <t>Mindre bastardsvärmare
Spindelört
Talltita
Tjäder
Grönsiska</t>
        </is>
      </c>
      <c r="W16">
        <f>HYPERLINK("https://klasma.github.io/Logging_0881/artfynd/A 22082-2026 artfynd.xlsx", "A 22082-2026")</f>
        <v/>
      </c>
      <c r="X16">
        <f>HYPERLINK("https://klasma.github.io/Logging_0881/kartor/A 22082-2026 karta.png", "A 22082-2026")</f>
        <v/>
      </c>
      <c r="Y16">
        <f>HYPERLINK("https://klasma.github.io/Logging_0881/kartor_geotiff/A 22082-2026 georefererad karta.tif", "A 22082-2026")</f>
        <v/>
      </c>
      <c r="AA16">
        <f>HYPERLINK("https://klasma.github.io/Logging_0881/klagomål/A 22082-2026 FSC-klagomål.docx", "A 22082-2026")</f>
        <v/>
      </c>
      <c r="AB16">
        <f>HYPERLINK("https://klasma.github.io/Logging_0881/klagomålsmail/A 22082-2026 FSC-klagomål mail.docx", "A 22082-2026")</f>
        <v/>
      </c>
      <c r="AC16">
        <f>HYPERLINK("https://klasma.github.io/Logging_0881/tillsyn/A 22082-2026 tillsynsbegäran.docx", "A 22082-2026")</f>
        <v/>
      </c>
      <c r="AD16">
        <f>HYPERLINK("https://klasma.github.io/Logging_0881/tillsynsmail/A 22082-2026 tillsynsbegäran mail.docx", "A 22082-2026")</f>
        <v/>
      </c>
      <c r="AE16">
        <f>HYPERLINK("https://klasma.github.io/Logging_0881/fåglar/A 22082-2026 prioriterade fågelarter.docx", "A 22082-2026")</f>
        <v/>
      </c>
    </row>
    <row r="17" ht="15" customHeight="1">
      <c r="A17" t="inlineStr">
        <is>
          <t>A 22081-2026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46153</v>
      </c>
      <c r="E17" s="1" t="n">
        <v>46313</v>
      </c>
      <c r="F17" t="inlineStr">
        <is>
          <t>KALMAR LÄN</t>
        </is>
      </c>
      <c r="G17" t="inlineStr">
        <is>
          <t>NYBRO</t>
        </is>
      </c>
      <c r="H17" t="inlineStr">
        <is>
          <t>Sveaskog</t>
        </is>
      </c>
      <c r="I17" t="n">
        <v>0.9</v>
      </c>
      <c r="J17" t="n">
        <v>5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5</v>
      </c>
      <c r="U17" t="n">
        <v>0</v>
      </c>
      <c r="V17" s="2" t="inlineStr">
        <is>
          <t>Brunlångöra
Dammfladdermus
Nordfladdermus
Tjäder
Dvärgpipistrell</t>
        </is>
      </c>
      <c r="W17">
        <f>HYPERLINK("https://klasma.github.io/Logging_0881/artfynd/A 22081-2026 artfynd.xlsx", "A 22081-2026")</f>
        <v/>
      </c>
      <c r="X17">
        <f>HYPERLINK("https://klasma.github.io/Logging_0881/kartor/A 22081-2026 karta.png", "A 22081-2026")</f>
        <v/>
      </c>
      <c r="Y17">
        <f>HYPERLINK("https://klasma.github.io/Logging_0881/kartor_geotiff/A 22081-2026 georefererad karta.tif", "A 22081-2026")</f>
        <v/>
      </c>
      <c r="AA17">
        <f>HYPERLINK("https://klasma.github.io/Logging_0881/klagomål/A 22081-2026 FSC-klagomål.docx", "A 22081-2026")</f>
        <v/>
      </c>
      <c r="AB17">
        <f>HYPERLINK("https://klasma.github.io/Logging_0881/klagomålsmail/A 22081-2026 FSC-klagomål mail.docx", "A 22081-2026")</f>
        <v/>
      </c>
      <c r="AC17">
        <f>HYPERLINK("https://klasma.github.io/Logging_0881/tillsyn/A 22081-2026 tillsynsbegäran.docx", "A 22081-2026")</f>
        <v/>
      </c>
      <c r="AD17">
        <f>HYPERLINK("https://klasma.github.io/Logging_0881/tillsynsmail/A 22081-2026 tillsynsbegäran mail.docx", "A 22081-2026")</f>
        <v/>
      </c>
      <c r="AE17">
        <f>HYPERLINK("https://klasma.github.io/Logging_0881/fåglar/A 22081-2026 prioriterade fågelarter.docx", "A 22081-2026")</f>
        <v/>
      </c>
    </row>
    <row r="18" ht="15" customHeight="1">
      <c r="A18" t="inlineStr">
        <is>
          <t>A 50759-2022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44867</v>
      </c>
      <c r="E18" s="1" t="n">
        <v>46313</v>
      </c>
      <c r="F18" t="inlineStr">
        <is>
          <t>KALMAR LÄN</t>
        </is>
      </c>
      <c r="G18" t="inlineStr">
        <is>
          <t>NYBRO</t>
        </is>
      </c>
      <c r="I18" t="n">
        <v>5.1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5</v>
      </c>
      <c r="U18" t="n">
        <v>0</v>
      </c>
      <c r="V18" s="2" t="inlineStr">
        <is>
          <t>Sparvuggla
Blåmossa
Ljus vedstrit
Mindre märgborre
Tjäder</t>
        </is>
      </c>
      <c r="W18">
        <f>HYPERLINK("https://klasma.github.io/Logging_0881/artfynd/A 50759-2022 artfynd.xlsx", "A 50759-2022")</f>
        <v/>
      </c>
      <c r="X18">
        <f>HYPERLINK("https://klasma.github.io/Logging_0881/kartor/A 50759-2022 karta.png", "A 50759-2022")</f>
        <v/>
      </c>
      <c r="Y18">
        <f>HYPERLINK("https://klasma.github.io/Logging_0881/kartor_geotiff/A 50759-2022 georefererad karta.tif", "A 50759-2022")</f>
        <v/>
      </c>
      <c r="AA18">
        <f>HYPERLINK("https://klasma.github.io/Logging_0881/klagomål/A 50759-2022 FSC-klagomål.docx", "A 50759-2022")</f>
        <v/>
      </c>
      <c r="AB18">
        <f>HYPERLINK("https://klasma.github.io/Logging_0881/klagomålsmail/A 50759-2022 FSC-klagomål mail.docx", "A 50759-2022")</f>
        <v/>
      </c>
      <c r="AC18">
        <f>HYPERLINK("https://klasma.github.io/Logging_0881/tillsyn/A 50759-2022 tillsynsbegäran.docx", "A 50759-2022")</f>
        <v/>
      </c>
      <c r="AD18">
        <f>HYPERLINK("https://klasma.github.io/Logging_0881/tillsynsmail/A 50759-2022 tillsynsbegäran mail.docx", "A 50759-2022")</f>
        <v/>
      </c>
      <c r="AE18">
        <f>HYPERLINK("https://klasma.github.io/Logging_0881/fåglar/A 50759-2022 prioriterade fågelarter.docx", "A 50759-2022")</f>
        <v/>
      </c>
    </row>
    <row r="19" ht="15" customHeight="1">
      <c r="A19" t="inlineStr">
        <is>
          <t>S 5123-2024</t>
        </is>
      </c>
      <c r="B19" t="inlineStr">
        <is>
          <t>samrådsanmälan</t>
        </is>
      </c>
      <c r="C19" t="inlineStr">
        <is>
          <t>Åtgärd i nyckelbiotop</t>
        </is>
      </c>
      <c r="D19" s="1" t="n">
        <v>45643</v>
      </c>
      <c r="E19" s="1" t="n">
        <v>46313</v>
      </c>
      <c r="F19" t="inlineStr">
        <is>
          <t>KALMAR LÄN</t>
        </is>
      </c>
      <c r="G19" t="inlineStr">
        <is>
          <t>NYBRO</t>
        </is>
      </c>
      <c r="I19" t="n">
        <v>2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5</v>
      </c>
      <c r="U19" t="n">
        <v>3</v>
      </c>
      <c r="V19" s="2" t="inlineStr">
        <is>
          <t>Backtimjan
Guldlockmossa
Rostfläck
Tibast
Blåsippa</t>
        </is>
      </c>
      <c r="W19">
        <f>HYPERLINK("https://klasma.github.io/Logging_0881/artfynd/S 5123-2024 artfynd.xlsx", "S 5123-2024")</f>
        <v/>
      </c>
      <c r="X19">
        <f>HYPERLINK("https://klasma.github.io/Logging_0881/kartor/S 5123-2024 karta.png", "S 5123-2024")</f>
        <v/>
      </c>
      <c r="Y19">
        <f>HYPERLINK("https://klasma.github.io/Logging_0881/kartor_geotiff/S 5123-2024 georefererad karta.tif", "S 5123-2024")</f>
        <v/>
      </c>
      <c r="AA19">
        <f>HYPERLINK("https://klasma.github.io/Logging_0881/klagomål/S 5123-2024 FSC-klagomål.docx", "S 5123-2024")</f>
        <v/>
      </c>
      <c r="AB19">
        <f>HYPERLINK("https://klasma.github.io/Logging_0881/klagomålsmail/S 5123-2024 FSC-klagomål mail.docx", "S 5123-2024")</f>
        <v/>
      </c>
      <c r="AC19">
        <f>HYPERLINK("https://klasma.github.io/Logging_0881/tillsyn/S 5123-2024 tillsynsbegäran.docx", "S 5123-2024")</f>
        <v/>
      </c>
      <c r="AD19">
        <f>HYPERLINK("https://klasma.github.io/Logging_0881/tillsynsmail/S 5123-2024 tillsynsbegäran mail.docx", "S 5123-2024")</f>
        <v/>
      </c>
    </row>
    <row r="20" ht="15" customHeight="1">
      <c r="A20" t="inlineStr">
        <is>
          <t>A 4125-2022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44587</v>
      </c>
      <c r="E20" s="1" t="n">
        <v>46313</v>
      </c>
      <c r="F20" t="inlineStr">
        <is>
          <t>KALMAR LÄN</t>
        </is>
      </c>
      <c r="G20" t="inlineStr">
        <is>
          <t>NYBRO</t>
        </is>
      </c>
      <c r="I20" t="n">
        <v>0.9</v>
      </c>
      <c r="J20" t="n">
        <v>4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4</v>
      </c>
      <c r="U20" t="n">
        <v>1</v>
      </c>
      <c r="V20" s="2" t="inlineStr">
        <is>
          <t>Barbastell
Brunlångöra
Nordfladdermus
Dvärgpipistrell</t>
        </is>
      </c>
      <c r="W20">
        <f>HYPERLINK("https://klasma.github.io/Logging_0881/artfynd/A 4125-2022 artfynd.xlsx", "A 4125-2022")</f>
        <v/>
      </c>
      <c r="X20">
        <f>HYPERLINK("https://klasma.github.io/Logging_0881/kartor/A 4125-2022 karta.png", "A 4125-2022")</f>
        <v/>
      </c>
      <c r="Y20">
        <f>HYPERLINK("https://klasma.github.io/Logging_0881/kartor_geotiff/A 4125-2022 georefererad karta.tif", "A 4125-2022")</f>
        <v/>
      </c>
      <c r="AA20">
        <f>HYPERLINK("https://klasma.github.io/Logging_0881/klagomål/A 4125-2022 FSC-klagomål.docx", "A 4125-2022")</f>
        <v/>
      </c>
      <c r="AB20">
        <f>HYPERLINK("https://klasma.github.io/Logging_0881/klagomålsmail/A 4125-2022 FSC-klagomål mail.docx", "A 4125-2022")</f>
        <v/>
      </c>
      <c r="AC20">
        <f>HYPERLINK("https://klasma.github.io/Logging_0881/tillsyn/A 4125-2022 tillsynsbegäran.docx", "A 4125-2022")</f>
        <v/>
      </c>
      <c r="AD20">
        <f>HYPERLINK("https://klasma.github.io/Logging_0881/tillsynsmail/A 4125-2022 tillsynsbegäran mail.docx", "A 4125-2022")</f>
        <v/>
      </c>
    </row>
    <row r="21" ht="15" customHeight="1">
      <c r="A21" t="inlineStr">
        <is>
          <t>A 22080-2026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46153</v>
      </c>
      <c r="E21" s="1" t="n">
        <v>46313</v>
      </c>
      <c r="F21" t="inlineStr">
        <is>
          <t>KALMAR LÄN</t>
        </is>
      </c>
      <c r="G21" t="inlineStr">
        <is>
          <t>NYBRO</t>
        </is>
      </c>
      <c r="H21" t="inlineStr">
        <is>
          <t>Sveaskog</t>
        </is>
      </c>
      <c r="I21" t="n">
        <v>2.1</v>
      </c>
      <c r="J21" t="n">
        <v>4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4</v>
      </c>
      <c r="U21" t="n">
        <v>0</v>
      </c>
      <c r="V21" s="2" t="inlineStr">
        <is>
          <t>Göktyta
Sparvuggla
Talltita
Spillkråka</t>
        </is>
      </c>
      <c r="W21">
        <f>HYPERLINK("https://klasma.github.io/Logging_0881/artfynd/A 22080-2026 artfynd.xlsx", "A 22080-2026")</f>
        <v/>
      </c>
      <c r="X21">
        <f>HYPERLINK("https://klasma.github.io/Logging_0881/kartor/A 22080-2026 karta.png", "A 22080-2026")</f>
        <v/>
      </c>
      <c r="Y21">
        <f>HYPERLINK("https://klasma.github.io/Logging_0881/kartor_geotiff/A 22080-2026 georefererad karta.tif", "A 22080-2026")</f>
        <v/>
      </c>
      <c r="AA21">
        <f>HYPERLINK("https://klasma.github.io/Logging_0881/klagomål/A 22080-2026 FSC-klagomål.docx", "A 22080-2026")</f>
        <v/>
      </c>
      <c r="AB21">
        <f>HYPERLINK("https://klasma.github.io/Logging_0881/klagomålsmail/A 22080-2026 FSC-klagomål mail.docx", "A 22080-2026")</f>
        <v/>
      </c>
      <c r="AC21">
        <f>HYPERLINK("https://klasma.github.io/Logging_0881/tillsyn/A 22080-2026 tillsynsbegäran.docx", "A 22080-2026")</f>
        <v/>
      </c>
      <c r="AD21">
        <f>HYPERLINK("https://klasma.github.io/Logging_0881/tillsynsmail/A 22080-2026 tillsynsbegäran mail.docx", "A 22080-2026")</f>
        <v/>
      </c>
      <c r="AE21">
        <f>HYPERLINK("https://klasma.github.io/Logging_0881/fåglar/A 22080-2026 prioriterade fågelarter.docx", "A 22080-2026")</f>
        <v/>
      </c>
    </row>
    <row r="22" ht="15" customHeight="1">
      <c r="A22" t="inlineStr">
        <is>
          <t>A 23739-2026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46164</v>
      </c>
      <c r="E22" s="1" t="n">
        <v>46313</v>
      </c>
      <c r="F22" t="inlineStr">
        <is>
          <t>KALMAR LÄN</t>
        </is>
      </c>
      <c r="G22" t="inlineStr">
        <is>
          <t>NYBRO</t>
        </is>
      </c>
      <c r="I22" t="n">
        <v>2.2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4</v>
      </c>
      <c r="T22" t="n">
        <v>4</v>
      </c>
      <c r="U22" t="n">
        <v>0</v>
      </c>
      <c r="V22" s="2" t="inlineStr">
        <is>
          <t>Sandödla
Ekoxe
Myskbock
Vanlig groda</t>
        </is>
      </c>
      <c r="W22">
        <f>HYPERLINK("https://klasma.github.io/Logging_0881/artfynd/A 23739-2026 artfynd.xlsx", "A 23739-2026")</f>
        <v/>
      </c>
      <c r="X22">
        <f>HYPERLINK("https://klasma.github.io/Logging_0881/kartor/A 23739-2026 karta.png", "A 23739-2026")</f>
        <v/>
      </c>
      <c r="Y22">
        <f>HYPERLINK("https://klasma.github.io/Logging_0881/kartor_geotiff/A 23739-2026 georefererad karta.tif", "A 23739-2026")</f>
        <v/>
      </c>
      <c r="AA22">
        <f>HYPERLINK("https://klasma.github.io/Logging_0881/klagomål/A 23739-2026 FSC-klagomål.docx", "A 23739-2026")</f>
        <v/>
      </c>
      <c r="AB22">
        <f>HYPERLINK("https://klasma.github.io/Logging_0881/klagomålsmail/A 23739-2026 FSC-klagomål mail.docx", "A 23739-2026")</f>
        <v/>
      </c>
      <c r="AC22">
        <f>HYPERLINK("https://klasma.github.io/Logging_0881/tillsyn/A 23739-2026 tillsynsbegäran.docx", "A 23739-2026")</f>
        <v/>
      </c>
      <c r="AD22">
        <f>HYPERLINK("https://klasma.github.io/Logging_0881/tillsynsmail/A 23739-2026 tillsynsbegäran mail.docx", "A 23739-2026")</f>
        <v/>
      </c>
    </row>
    <row r="23" ht="15" customHeight="1">
      <c r="A23" t="inlineStr">
        <is>
          <t>A 46007-2023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45189</v>
      </c>
      <c r="E23" s="1" t="n">
        <v>46313</v>
      </c>
      <c r="F23" t="inlineStr">
        <is>
          <t>KALMAR LÄN</t>
        </is>
      </c>
      <c r="G23" t="inlineStr">
        <is>
          <t>NYBRO</t>
        </is>
      </c>
      <c r="H23" t="inlineStr">
        <is>
          <t>Kyrkan</t>
        </is>
      </c>
      <c r="I23" t="n">
        <v>0.5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6</v>
      </c>
      <c r="U23" t="n">
        <v>6</v>
      </c>
      <c r="V23" s="2" t="inlineStr">
        <is>
          <t>Brunlångöra
Nordfladdermus
Dvärgpipistrell
Större brunfladdermus</t>
        </is>
      </c>
      <c r="W23">
        <f>HYPERLINK("https://klasma.github.io/Logging_0881/artfynd/A 46007-2023 artfynd.xlsx", "A 46007-2023")</f>
        <v/>
      </c>
      <c r="X23">
        <f>HYPERLINK("https://klasma.github.io/Logging_0881/kartor/A 46007-2023 karta.png", "A 46007-2023")</f>
        <v/>
      </c>
      <c r="Y23">
        <f>HYPERLINK("https://klasma.github.io/Logging_0881/kartor_geotiff/A 46007-2023 georefererad karta.tif", "A 46007-2023")</f>
        <v/>
      </c>
      <c r="AA23">
        <f>HYPERLINK("https://klasma.github.io/Logging_0881/klagomål/A 46007-2023 FSC-klagomål.docx", "A 46007-2023")</f>
        <v/>
      </c>
      <c r="AB23">
        <f>HYPERLINK("https://klasma.github.io/Logging_0881/klagomålsmail/A 46007-2023 FSC-klagomål mail.docx", "A 46007-2023")</f>
        <v/>
      </c>
      <c r="AC23">
        <f>HYPERLINK("https://klasma.github.io/Logging_0881/tillsyn/A 46007-2023 tillsynsbegäran.docx", "A 46007-2023")</f>
        <v/>
      </c>
      <c r="AD23">
        <f>HYPERLINK("https://klasma.github.io/Logging_0881/tillsynsmail/A 46007-2023 tillsynsbegäran mail.docx", "A 46007-2023")</f>
        <v/>
      </c>
    </row>
    <row r="24" ht="15" customHeight="1">
      <c r="A24" t="inlineStr">
        <is>
          <t>A 60746-2025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45999</v>
      </c>
      <c r="E24" s="1" t="n">
        <v>46313</v>
      </c>
      <c r="F24" t="inlineStr">
        <is>
          <t>KALMAR LÄN</t>
        </is>
      </c>
      <c r="G24" t="inlineStr">
        <is>
          <t>NYBRO</t>
        </is>
      </c>
      <c r="I24" t="n">
        <v>5.5</v>
      </c>
      <c r="J24" t="n">
        <v>0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4</v>
      </c>
      <c r="T24" t="n">
        <v>6</v>
      </c>
      <c r="U24" t="n">
        <v>0</v>
      </c>
      <c r="V24" s="2" t="inlineStr">
        <is>
          <t>Tallgångbagge
Hårig blombock
Mindre träfjäril
Stekelbock</t>
        </is>
      </c>
      <c r="W24">
        <f>HYPERLINK("https://klasma.github.io/Logging_0881/artfynd/A 60746-2025 artfynd.xlsx", "A 60746-2025")</f>
        <v/>
      </c>
      <c r="X24">
        <f>HYPERLINK("https://klasma.github.io/Logging_0881/kartor/A 60746-2025 karta.png", "A 60746-2025")</f>
        <v/>
      </c>
      <c r="Y24">
        <f>HYPERLINK("https://klasma.github.io/Logging_0881/kartor_geotiff/A 60746-2025 georefererad karta.tif", "A 60746-2025")</f>
        <v/>
      </c>
      <c r="AA24">
        <f>HYPERLINK("https://klasma.github.io/Logging_0881/klagomål/A 60746-2025 FSC-klagomål.docx", "A 60746-2025")</f>
        <v/>
      </c>
      <c r="AB24">
        <f>HYPERLINK("https://klasma.github.io/Logging_0881/klagomålsmail/A 60746-2025 FSC-klagomål mail.docx", "A 60746-2025")</f>
        <v/>
      </c>
      <c r="AC24">
        <f>HYPERLINK("https://klasma.github.io/Logging_0881/tillsyn/A 60746-2025 tillsynsbegäran.docx", "A 60746-2025")</f>
        <v/>
      </c>
      <c r="AD24">
        <f>HYPERLINK("https://klasma.github.io/Logging_0881/tillsynsmail/A 60746-2025 tillsynsbegäran mail.docx", "A 60746-2025")</f>
        <v/>
      </c>
    </row>
    <row r="25" ht="15" customHeight="1">
      <c r="A25" t="inlineStr">
        <is>
          <t>A 25079-2026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46174</v>
      </c>
      <c r="E25" s="1" t="n">
        <v>46313</v>
      </c>
      <c r="F25" t="inlineStr">
        <is>
          <t>KALMAR LÄN</t>
        </is>
      </c>
      <c r="G25" t="inlineStr">
        <is>
          <t>NYBRO</t>
        </is>
      </c>
      <c r="I25" t="n">
        <v>3.3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7</v>
      </c>
      <c r="U25" t="n">
        <v>0</v>
      </c>
      <c r="V25" s="2" t="inlineStr">
        <is>
          <t>Talltita
Vågbandad barkbock
Kungsfågel
Skogsödla</t>
        </is>
      </c>
      <c r="W25">
        <f>HYPERLINK("https://klasma.github.io/Logging_0881/artfynd/A 25079-2026 artfynd.xlsx", "A 25079-2026")</f>
        <v/>
      </c>
      <c r="X25">
        <f>HYPERLINK("https://klasma.github.io/Logging_0881/kartor/A 25079-2026 karta.png", "A 25079-2026")</f>
        <v/>
      </c>
      <c r="Y25">
        <f>HYPERLINK("https://klasma.github.io/Logging_0881/kartor_geotiff/A 25079-2026 georefererad karta.tif", "A 25079-2026")</f>
        <v/>
      </c>
      <c r="AA25">
        <f>HYPERLINK("https://klasma.github.io/Logging_0881/klagomål/A 25079-2026 FSC-klagomål.docx", "A 25079-2026")</f>
        <v/>
      </c>
      <c r="AB25">
        <f>HYPERLINK("https://klasma.github.io/Logging_0881/klagomålsmail/A 25079-2026 FSC-klagomål mail.docx", "A 25079-2026")</f>
        <v/>
      </c>
      <c r="AC25">
        <f>HYPERLINK("https://klasma.github.io/Logging_0881/tillsyn/A 25079-2026 tillsynsbegäran.docx", "A 25079-2026")</f>
        <v/>
      </c>
      <c r="AD25">
        <f>HYPERLINK("https://klasma.github.io/Logging_0881/tillsynsmail/A 25079-2026 tillsynsbegäran mail.docx", "A 25079-2026")</f>
        <v/>
      </c>
      <c r="AE25">
        <f>HYPERLINK("https://klasma.github.io/Logging_0881/fåglar/A 25079-2026 prioriterade fågelarter.docx", "A 25079-2026")</f>
        <v/>
      </c>
    </row>
    <row r="26" ht="15" customHeight="1">
      <c r="A26" t="inlineStr">
        <is>
          <t>A 30500-2026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46210</v>
      </c>
      <c r="E26" s="1" t="n">
        <v>46313</v>
      </c>
      <c r="F26" t="inlineStr">
        <is>
          <t>KALMAR LÄN</t>
        </is>
      </c>
      <c r="G26" t="inlineStr">
        <is>
          <t>NYBRO</t>
        </is>
      </c>
      <c r="I26" t="n">
        <v>3.2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0</v>
      </c>
      <c r="V26" s="2" t="inlineStr">
        <is>
          <t>Ekskinn
Fällmossa
Lönnlav
Blåsippa</t>
        </is>
      </c>
      <c r="W26">
        <f>HYPERLINK("https://klasma.github.io/Logging_0881/artfynd/A 30500-2026 artfynd.xlsx", "A 30500-2026")</f>
        <v/>
      </c>
      <c r="X26">
        <f>HYPERLINK("https://klasma.github.io/Logging_0881/kartor/A 30500-2026 karta.png", "A 30500-2026")</f>
        <v/>
      </c>
      <c r="Y26">
        <f>HYPERLINK("https://klasma.github.io/Logging_0881/kartor_geotiff/A 30500-2026 georefererad karta.tif", "A 30500-2026")</f>
        <v/>
      </c>
      <c r="AA26">
        <f>HYPERLINK("https://klasma.github.io/Logging_0881/klagomål/A 30500-2026 FSC-klagomål.docx", "A 30500-2026")</f>
        <v/>
      </c>
      <c r="AB26">
        <f>HYPERLINK("https://klasma.github.io/Logging_0881/klagomålsmail/A 30500-2026 FSC-klagomål mail.docx", "A 30500-2026")</f>
        <v/>
      </c>
      <c r="AC26">
        <f>HYPERLINK("https://klasma.github.io/Logging_0881/tillsyn/A 30500-2026 tillsynsbegäran.docx", "A 30500-2026")</f>
        <v/>
      </c>
      <c r="AD26">
        <f>HYPERLINK("https://klasma.github.io/Logging_0881/tillsynsmail/A 30500-2026 tillsynsbegäran mail.docx", "A 30500-2026")</f>
        <v/>
      </c>
    </row>
    <row r="27" ht="15" customHeight="1">
      <c r="A27" t="inlineStr">
        <is>
          <t>A 26695-2023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45093</v>
      </c>
      <c r="E27" s="1" t="n">
        <v>46313</v>
      </c>
      <c r="F27" t="inlineStr">
        <is>
          <t>KALMAR LÄN</t>
        </is>
      </c>
      <c r="G27" t="inlineStr">
        <is>
          <t>NYBRO</t>
        </is>
      </c>
      <c r="I27" t="n">
        <v>1.4</v>
      </c>
      <c r="J27" t="n">
        <v>3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4</v>
      </c>
      <c r="T27" t="n">
        <v>4</v>
      </c>
      <c r="U27" t="n">
        <v>4</v>
      </c>
      <c r="V27" s="2" t="inlineStr">
        <is>
          <t>Järnsparv
Talltita
Vågbandad barkbock
Kungsfågel</t>
        </is>
      </c>
      <c r="W27">
        <f>HYPERLINK("https://klasma.github.io/Logging_0881/artfynd/A 26695-2023 artfynd.xlsx", "A 26695-2023")</f>
        <v/>
      </c>
      <c r="X27">
        <f>HYPERLINK("https://klasma.github.io/Logging_0881/kartor/A 26695-2023 karta.png", "A 26695-2023")</f>
        <v/>
      </c>
      <c r="Y27">
        <f>HYPERLINK("https://klasma.github.io/Logging_0881/kartor_geotiff/A 26695-2023 georefererad karta.tif", "A 26695-2023")</f>
        <v/>
      </c>
      <c r="AA27">
        <f>HYPERLINK("https://klasma.github.io/Logging_0881/klagomål/A 26695-2023 FSC-klagomål.docx", "A 26695-2023")</f>
        <v/>
      </c>
      <c r="AB27">
        <f>HYPERLINK("https://klasma.github.io/Logging_0881/klagomålsmail/A 26695-2023 FSC-klagomål mail.docx", "A 26695-2023")</f>
        <v/>
      </c>
      <c r="AC27">
        <f>HYPERLINK("https://klasma.github.io/Logging_0881/tillsyn/A 26695-2023 tillsynsbegäran.docx", "A 26695-2023")</f>
        <v/>
      </c>
      <c r="AD27">
        <f>HYPERLINK("https://klasma.github.io/Logging_0881/tillsynsmail/A 26695-2023 tillsynsbegäran mail.docx", "A 26695-2023")</f>
        <v/>
      </c>
      <c r="AE27">
        <f>HYPERLINK("https://klasma.github.io/Logging_0881/fåglar/A 26695-2023 prioriterade fågelarter.docx", "A 26695-2023")</f>
        <v/>
      </c>
    </row>
    <row r="28" ht="15" customHeight="1">
      <c r="A28" t="inlineStr">
        <is>
          <t>A 33405-2026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46247</v>
      </c>
      <c r="E28" s="1" t="n">
        <v>46313</v>
      </c>
      <c r="F28" t="inlineStr">
        <is>
          <t>KALMAR LÄN</t>
        </is>
      </c>
      <c r="G28" t="inlineStr">
        <is>
          <t>NYBRO</t>
        </is>
      </c>
      <c r="H28" t="inlineStr">
        <is>
          <t>Sveaskog</t>
        </is>
      </c>
      <c r="I28" t="n">
        <v>10.1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4</v>
      </c>
      <c r="T28" t="n">
        <v>6</v>
      </c>
      <c r="U28" t="n">
        <v>0</v>
      </c>
      <c r="V28" s="2" t="inlineStr">
        <is>
          <t>Svinrot
Blåmossa
Mattlummer
Nattskärra</t>
        </is>
      </c>
      <c r="W28">
        <f>HYPERLINK("https://klasma.github.io/Logging_0881/artfynd/A 33405-2026 artfynd.xlsx", "A 33405-2026")</f>
        <v/>
      </c>
      <c r="X28">
        <f>HYPERLINK("https://klasma.github.io/Logging_0881/kartor/A 33405-2026 karta.png", "A 33405-2026")</f>
        <v/>
      </c>
      <c r="Y28">
        <f>HYPERLINK("https://klasma.github.io/Logging_0881/kartor_geotiff/A 33405-2026 georefererad karta.tif", "A 33405-2026")</f>
        <v/>
      </c>
      <c r="AA28">
        <f>HYPERLINK("https://klasma.github.io/Logging_0881/klagomål/A 33405-2026 FSC-klagomål.docx", "A 33405-2026")</f>
        <v/>
      </c>
      <c r="AB28">
        <f>HYPERLINK("https://klasma.github.io/Logging_0881/klagomålsmail/A 33405-2026 FSC-klagomål mail.docx", "A 33405-2026")</f>
        <v/>
      </c>
      <c r="AC28">
        <f>HYPERLINK("https://klasma.github.io/Logging_0881/tillsyn/A 33405-2026 tillsynsbegäran.docx", "A 33405-2026")</f>
        <v/>
      </c>
      <c r="AD28">
        <f>HYPERLINK("https://klasma.github.io/Logging_0881/tillsynsmail/A 33405-2026 tillsynsbegäran mail.docx", "A 33405-2026")</f>
        <v/>
      </c>
      <c r="AE28">
        <f>HYPERLINK("https://klasma.github.io/Logging_0881/fåglar/A 33405-2026 prioriterade fågelarter.docx", "A 33405-2026")</f>
        <v/>
      </c>
    </row>
    <row r="29" ht="15" customHeight="1">
      <c r="A29" t="inlineStr">
        <is>
          <t>S 1343-2022</t>
        </is>
      </c>
      <c r="B29" t="inlineStr">
        <is>
          <t>samrådsanmälan</t>
        </is>
      </c>
      <c r="C29" t="inlineStr">
        <is>
          <t>Åtgärd i nyckelbiotop</t>
        </is>
      </c>
      <c r="D29" s="1" t="n">
        <v>44628</v>
      </c>
      <c r="E29" s="1" t="n">
        <v>46313</v>
      </c>
      <c r="F29" t="inlineStr">
        <is>
          <t>KALMAR LÄN</t>
        </is>
      </c>
      <c r="G29" t="inlineStr">
        <is>
          <t>NYBRO</t>
        </is>
      </c>
      <c r="I29" t="n">
        <v>2.3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4</v>
      </c>
      <c r="T29" t="n">
        <v>4</v>
      </c>
      <c r="U29" t="n">
        <v>2</v>
      </c>
      <c r="V29" s="2" t="inlineStr">
        <is>
          <t>Gråbrun ängsfingersvamp
Skruvbusksvamp
Hasselticka
Vätteros</t>
        </is>
      </c>
      <c r="W29">
        <f>HYPERLINK("https://klasma.github.io/Logging_0881/artfynd/S 1343-2022 artfynd.xlsx", "S 1343-2022")</f>
        <v/>
      </c>
      <c r="X29">
        <f>HYPERLINK("https://klasma.github.io/Logging_0881/kartor/S 1343-2022 karta.png", "S 1343-2022")</f>
        <v/>
      </c>
      <c r="Y29">
        <f>HYPERLINK("https://klasma.github.io/Logging_0881/kartor_geotiff/S 1343-2022 georefererad karta.tif", "S 1343-2022")</f>
        <v/>
      </c>
      <c r="AA29">
        <f>HYPERLINK("https://klasma.github.io/Logging_0881/klagomål/S 1343-2022 FSC-klagomål.docx", "S 1343-2022")</f>
        <v/>
      </c>
      <c r="AB29">
        <f>HYPERLINK("https://klasma.github.io/Logging_0881/klagomålsmail/S 1343-2022 FSC-klagomål mail.docx", "S 1343-2022")</f>
        <v/>
      </c>
      <c r="AC29">
        <f>HYPERLINK("https://klasma.github.io/Logging_0881/tillsyn/S 1343-2022 tillsynsbegäran.docx", "S 1343-2022")</f>
        <v/>
      </c>
      <c r="AD29">
        <f>HYPERLINK("https://klasma.github.io/Logging_0881/tillsynsmail/S 1343-2022 tillsynsbegäran mail.docx", "S 1343-2022")</f>
        <v/>
      </c>
    </row>
    <row r="30" ht="15" customHeight="1">
      <c r="A30" t="inlineStr">
        <is>
          <t>S 1609-2023</t>
        </is>
      </c>
      <c r="B30" t="inlineStr">
        <is>
          <t>samrådsanmälan</t>
        </is>
      </c>
      <c r="C30" t="inlineStr">
        <is>
          <t>Askåterföring</t>
        </is>
      </c>
      <c r="D30" s="1" t="n">
        <v>45056</v>
      </c>
      <c r="E30" s="1" t="n">
        <v>46313</v>
      </c>
      <c r="F30" t="inlineStr">
        <is>
          <t>KALMAR LÄN</t>
        </is>
      </c>
      <c r="G30" t="inlineStr">
        <is>
          <t>NYBRO</t>
        </is>
      </c>
      <c r="I30" t="n">
        <v>10.3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5</v>
      </c>
      <c r="U30" t="n">
        <v>5</v>
      </c>
      <c r="V30" s="2" t="inlineStr">
        <is>
          <t>Talltita
Vågbandad barkbock
Kråka
Kungsfågel</t>
        </is>
      </c>
      <c r="W30">
        <f>HYPERLINK("https://klasma.github.io/Logging_0881/artfynd/S 1609-2023 artfynd.xlsx", "S 1609-2023")</f>
        <v/>
      </c>
      <c r="X30">
        <f>HYPERLINK("https://klasma.github.io/Logging_0881/kartor/S 1609-2023 karta.png", "S 1609-2023")</f>
        <v/>
      </c>
      <c r="Y30">
        <f>HYPERLINK("https://klasma.github.io/Logging_0881/kartor_geotiff/S 1609-2023 georefererad karta.tif", "S 1609-2023")</f>
        <v/>
      </c>
      <c r="AA30">
        <f>HYPERLINK("https://klasma.github.io/Logging_0881/klagomål/S 1609-2023 FSC-klagomål.docx", "S 1609-2023")</f>
        <v/>
      </c>
      <c r="AB30">
        <f>HYPERLINK("https://klasma.github.io/Logging_0881/klagomålsmail/S 1609-2023 FSC-klagomål mail.docx", "S 1609-2023")</f>
        <v/>
      </c>
      <c r="AC30">
        <f>HYPERLINK("https://klasma.github.io/Logging_0881/tillsyn/S 1609-2023 tillsynsbegäran.docx", "S 1609-2023")</f>
        <v/>
      </c>
      <c r="AD30">
        <f>HYPERLINK("https://klasma.github.io/Logging_0881/tillsynsmail/S 1609-2023 tillsynsbegäran mail.docx", "S 1609-2023")</f>
        <v/>
      </c>
      <c r="AE30">
        <f>HYPERLINK("https://klasma.github.io/Logging_0881/fåglar/S 1609-2023 prioriterade fågelarter.docx", "S 1609-2023")</f>
        <v/>
      </c>
    </row>
    <row r="31" ht="15" customHeight="1">
      <c r="A31" t="inlineStr">
        <is>
          <t>A 59111-2021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44490</v>
      </c>
      <c r="E31" s="1" t="n">
        <v>46313</v>
      </c>
      <c r="F31" t="inlineStr">
        <is>
          <t>KALMAR LÄN</t>
        </is>
      </c>
      <c r="G31" t="inlineStr">
        <is>
          <t>NYBRO</t>
        </is>
      </c>
      <c r="H31" t="inlineStr">
        <is>
          <t>Kommuner</t>
        </is>
      </c>
      <c r="I31" t="n">
        <v>3.2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4</v>
      </c>
      <c r="U31" t="n">
        <v>0</v>
      </c>
      <c r="V31" s="2" t="inlineStr">
        <is>
          <t>Tjockfotad fingersvamp
Brandticka
Grovticka</t>
        </is>
      </c>
      <c r="W31">
        <f>HYPERLINK("https://klasma.github.io/Logging_0881/artfynd/A 59111-2021 artfynd.xlsx", "A 59111-2021")</f>
        <v/>
      </c>
      <c r="X31">
        <f>HYPERLINK("https://klasma.github.io/Logging_0881/kartor/A 59111-2021 karta.png", "A 59111-2021")</f>
        <v/>
      </c>
      <c r="Y31">
        <f>HYPERLINK("https://klasma.github.io/Logging_0881/kartor_geotiff/A 59111-2021 georefererad karta.tif", "A 59111-2021")</f>
        <v/>
      </c>
      <c r="AA31">
        <f>HYPERLINK("https://klasma.github.io/Logging_0881/klagomål/A 59111-2021 FSC-klagomål.docx", "A 59111-2021")</f>
        <v/>
      </c>
      <c r="AB31">
        <f>HYPERLINK("https://klasma.github.io/Logging_0881/klagomålsmail/A 59111-2021 FSC-klagomål mail.docx", "A 59111-2021")</f>
        <v/>
      </c>
      <c r="AC31">
        <f>HYPERLINK("https://klasma.github.io/Logging_0881/tillsyn/A 59111-2021 tillsynsbegäran.docx", "A 59111-2021")</f>
        <v/>
      </c>
      <c r="AD31">
        <f>HYPERLINK("https://klasma.github.io/Logging_0881/tillsynsmail/A 59111-2021 tillsynsbegäran mail.docx", "A 59111-2021")</f>
        <v/>
      </c>
    </row>
    <row r="32" ht="15" customHeight="1">
      <c r="A32" t="inlineStr">
        <is>
          <t>A 8303-2024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45352</v>
      </c>
      <c r="E32" s="1" t="n">
        <v>46313</v>
      </c>
      <c r="F32" t="inlineStr">
        <is>
          <t>KALMAR LÄN</t>
        </is>
      </c>
      <c r="G32" t="inlineStr">
        <is>
          <t>NYBRO</t>
        </is>
      </c>
      <c r="I32" t="n">
        <v>1.9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3</v>
      </c>
      <c r="T32" t="n">
        <v>4</v>
      </c>
      <c r="U32" t="n">
        <v>1</v>
      </c>
      <c r="V32" s="2" t="inlineStr">
        <is>
          <t>Slåttergubbe
Spindelört
Spindelörtskinnbagge</t>
        </is>
      </c>
      <c r="W32">
        <f>HYPERLINK("https://klasma.github.io/Logging_0881/artfynd/A 8303-2024 artfynd.xlsx", "A 8303-2024")</f>
        <v/>
      </c>
      <c r="X32">
        <f>HYPERLINK("https://klasma.github.io/Logging_0881/kartor/A 8303-2024 karta.png", "A 8303-2024")</f>
        <v/>
      </c>
      <c r="Y32">
        <f>HYPERLINK("https://klasma.github.io/Logging_0881/kartor_geotiff/A 8303-2024 georefererad karta.tif", "A 8303-2024")</f>
        <v/>
      </c>
      <c r="AA32">
        <f>HYPERLINK("https://klasma.github.io/Logging_0881/klagomål/A 8303-2024 FSC-klagomål.docx", "A 8303-2024")</f>
        <v/>
      </c>
      <c r="AB32">
        <f>HYPERLINK("https://klasma.github.io/Logging_0881/klagomålsmail/A 8303-2024 FSC-klagomål mail.docx", "A 8303-2024")</f>
        <v/>
      </c>
      <c r="AC32">
        <f>HYPERLINK("https://klasma.github.io/Logging_0881/tillsyn/A 8303-2024 tillsynsbegäran.docx", "A 8303-2024")</f>
        <v/>
      </c>
      <c r="AD32">
        <f>HYPERLINK("https://klasma.github.io/Logging_0881/tillsynsmail/A 8303-2024 tillsynsbegäran mail.docx", "A 8303-2024")</f>
        <v/>
      </c>
    </row>
    <row r="33" ht="15" customHeight="1">
      <c r="A33" t="inlineStr">
        <is>
          <t>A 6062-2025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45695</v>
      </c>
      <c r="E33" s="1" t="n">
        <v>46313</v>
      </c>
      <c r="F33" t="inlineStr">
        <is>
          <t>KALMAR LÄN</t>
        </is>
      </c>
      <c r="G33" t="inlineStr">
        <is>
          <t>NYBRO</t>
        </is>
      </c>
      <c r="I33" t="n">
        <v>5.1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4</v>
      </c>
      <c r="U33" t="n">
        <v>0</v>
      </c>
      <c r="V33" s="2" t="inlineStr">
        <is>
          <t>Fjällig taggsvamp s.str.
Skarp dropptaggsvamp
Blåsippa</t>
        </is>
      </c>
      <c r="W33">
        <f>HYPERLINK("https://klasma.github.io/Logging_0881/artfynd/A 6062-2025 artfynd.xlsx", "A 6062-2025")</f>
        <v/>
      </c>
      <c r="X33">
        <f>HYPERLINK("https://klasma.github.io/Logging_0881/kartor/A 6062-2025 karta.png", "A 6062-2025")</f>
        <v/>
      </c>
      <c r="Y33">
        <f>HYPERLINK("https://klasma.github.io/Logging_0881/kartor_geotiff/A 6062-2025 georefererad karta.tif", "A 6062-2025")</f>
        <v/>
      </c>
      <c r="Z33">
        <f>HYPERLINK("https://klasma.github.io/Logging_0881/knärot/A 6062-2025 karta knärot.png", "A 6062-2025")</f>
        <v/>
      </c>
      <c r="AA33">
        <f>HYPERLINK("https://klasma.github.io/Logging_0881/klagomål/A 6062-2025 FSC-klagomål.docx", "A 6062-2025")</f>
        <v/>
      </c>
      <c r="AB33">
        <f>HYPERLINK("https://klasma.github.io/Logging_0881/klagomålsmail/A 6062-2025 FSC-klagomål mail.docx", "A 6062-2025")</f>
        <v/>
      </c>
      <c r="AC33">
        <f>HYPERLINK("https://klasma.github.io/Logging_0881/tillsyn/A 6062-2025 tillsynsbegäran.docx", "A 6062-2025")</f>
        <v/>
      </c>
      <c r="AD33">
        <f>HYPERLINK("https://klasma.github.io/Logging_0881/tillsynsmail/A 6062-2025 tillsynsbegäran mail.docx", "A 6062-2025")</f>
        <v/>
      </c>
    </row>
    <row r="34" ht="15" customHeight="1">
      <c r="A34" t="inlineStr">
        <is>
          <t>A 61894-2024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45652</v>
      </c>
      <c r="E34" s="1" t="n">
        <v>46313</v>
      </c>
      <c r="F34" t="inlineStr">
        <is>
          <t>KALMAR LÄN</t>
        </is>
      </c>
      <c r="G34" t="inlineStr">
        <is>
          <t>NYBRO</t>
        </is>
      </c>
      <c r="I34" t="n">
        <v>2.3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4</v>
      </c>
      <c r="U34" t="n">
        <v>0</v>
      </c>
      <c r="V34" s="2" t="inlineStr">
        <is>
          <t>Blåmossa
Skogsknipprot
Spillkråka</t>
        </is>
      </c>
      <c r="W34">
        <f>HYPERLINK("https://klasma.github.io/Logging_0881/artfynd/A 61894-2024 artfynd.xlsx", "A 61894-2024")</f>
        <v/>
      </c>
      <c r="X34">
        <f>HYPERLINK("https://klasma.github.io/Logging_0881/kartor/A 61894-2024 karta.png", "A 61894-2024")</f>
        <v/>
      </c>
      <c r="Y34">
        <f>HYPERLINK("https://klasma.github.io/Logging_0881/kartor_geotiff/A 61894-2024 georefererad karta.tif", "A 61894-2024")</f>
        <v/>
      </c>
      <c r="AA34">
        <f>HYPERLINK("https://klasma.github.io/Logging_0881/klagomål/A 61894-2024 FSC-klagomål.docx", "A 61894-2024")</f>
        <v/>
      </c>
      <c r="AB34">
        <f>HYPERLINK("https://klasma.github.io/Logging_0881/klagomålsmail/A 61894-2024 FSC-klagomål mail.docx", "A 61894-2024")</f>
        <v/>
      </c>
      <c r="AC34">
        <f>HYPERLINK("https://klasma.github.io/Logging_0881/tillsyn/A 61894-2024 tillsynsbegäran.docx", "A 61894-2024")</f>
        <v/>
      </c>
      <c r="AD34">
        <f>HYPERLINK("https://klasma.github.io/Logging_0881/tillsynsmail/A 61894-2024 tillsynsbegäran mail.docx", "A 61894-2024")</f>
        <v/>
      </c>
      <c r="AE34">
        <f>HYPERLINK("https://klasma.github.io/Logging_0881/fåglar/A 61894-2024 prioriterade fågelarter.docx", "A 61894-2024")</f>
        <v/>
      </c>
    </row>
    <row r="35" ht="15" customHeight="1">
      <c r="A35" t="inlineStr">
        <is>
          <t>A 18404-2023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45042</v>
      </c>
      <c r="E35" s="1" t="n">
        <v>46313</v>
      </c>
      <c r="F35" t="inlineStr">
        <is>
          <t>KALMAR LÄN</t>
        </is>
      </c>
      <c r="G35" t="inlineStr">
        <is>
          <t>NYBRO</t>
        </is>
      </c>
      <c r="I35" t="n">
        <v>5.3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3</v>
      </c>
      <c r="U35" t="n">
        <v>3</v>
      </c>
      <c r="V35" s="2" t="inlineStr">
        <is>
          <t>Drillsnäppa
Kricka
Havsörn</t>
        </is>
      </c>
      <c r="W35">
        <f>HYPERLINK("https://klasma.github.io/Logging_0881/artfynd/A 18404-2023 artfynd.xlsx", "A 18404-2023")</f>
        <v/>
      </c>
      <c r="X35">
        <f>HYPERLINK("https://klasma.github.io/Logging_0881/kartor/A 18404-2023 karta.png", "A 18404-2023")</f>
        <v/>
      </c>
      <c r="Y35">
        <f>HYPERLINK("https://klasma.github.io/Logging_0881/kartor_geotiff/A 18404-2023 georefererad karta.tif", "A 18404-2023")</f>
        <v/>
      </c>
      <c r="AA35">
        <f>HYPERLINK("https://klasma.github.io/Logging_0881/klagomål/A 18404-2023 FSC-klagomål.docx", "A 18404-2023")</f>
        <v/>
      </c>
      <c r="AB35">
        <f>HYPERLINK("https://klasma.github.io/Logging_0881/klagomålsmail/A 18404-2023 FSC-klagomål mail.docx", "A 18404-2023")</f>
        <v/>
      </c>
      <c r="AC35">
        <f>HYPERLINK("https://klasma.github.io/Logging_0881/tillsyn/A 18404-2023 tillsynsbegäran.docx", "A 18404-2023")</f>
        <v/>
      </c>
      <c r="AD35">
        <f>HYPERLINK("https://klasma.github.io/Logging_0881/tillsynsmail/A 18404-2023 tillsynsbegäran mail.docx", "A 18404-2023")</f>
        <v/>
      </c>
      <c r="AE35">
        <f>HYPERLINK("https://klasma.github.io/Logging_0881/fåglar/A 18404-2023 prioriterade fågelarter.docx", "A 18404-2023")</f>
        <v/>
      </c>
    </row>
    <row r="36" ht="15" customHeight="1">
      <c r="A36" t="inlineStr">
        <is>
          <t>A 3053-2024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45316</v>
      </c>
      <c r="E36" s="1" t="n">
        <v>46313</v>
      </c>
      <c r="F36" t="inlineStr">
        <is>
          <t>KALMAR LÄN</t>
        </is>
      </c>
      <c r="G36" t="inlineStr">
        <is>
          <t>NYBRO</t>
        </is>
      </c>
      <c r="I36" t="n">
        <v>1.7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3</v>
      </c>
      <c r="T36" t="n">
        <v>3</v>
      </c>
      <c r="U36" t="n">
        <v>0</v>
      </c>
      <c r="V36" s="2" t="inlineStr">
        <is>
          <t>Mindre bastardsvärmare
Klubbsprötad bastardsvärmare
Slåtterfibbla</t>
        </is>
      </c>
      <c r="W36">
        <f>HYPERLINK("https://klasma.github.io/Logging_0881/artfynd/A 3053-2024 artfynd.xlsx", "A 3053-2024")</f>
        <v/>
      </c>
      <c r="X36">
        <f>HYPERLINK("https://klasma.github.io/Logging_0881/kartor/A 3053-2024 karta.png", "A 3053-2024")</f>
        <v/>
      </c>
      <c r="Y36">
        <f>HYPERLINK("https://klasma.github.io/Logging_0881/kartor_geotiff/A 3053-2024 georefererad karta.tif", "A 3053-2024")</f>
        <v/>
      </c>
      <c r="AA36">
        <f>HYPERLINK("https://klasma.github.io/Logging_0881/klagomål/A 3053-2024 FSC-klagomål.docx", "A 3053-2024")</f>
        <v/>
      </c>
      <c r="AB36">
        <f>HYPERLINK("https://klasma.github.io/Logging_0881/klagomålsmail/A 3053-2024 FSC-klagomål mail.docx", "A 3053-2024")</f>
        <v/>
      </c>
      <c r="AC36">
        <f>HYPERLINK("https://klasma.github.io/Logging_0881/tillsyn/A 3053-2024 tillsynsbegäran.docx", "A 3053-2024")</f>
        <v/>
      </c>
      <c r="AD36">
        <f>HYPERLINK("https://klasma.github.io/Logging_0881/tillsynsmail/A 3053-2024 tillsynsbegäran mail.docx", "A 3053-2024")</f>
        <v/>
      </c>
    </row>
    <row r="37" ht="15" customHeight="1">
      <c r="A37" t="inlineStr">
        <is>
          <t>A 39000-2025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45888</v>
      </c>
      <c r="E37" s="1" t="n">
        <v>46313</v>
      </c>
      <c r="F37" t="inlineStr">
        <is>
          <t>KALMAR LÄN</t>
        </is>
      </c>
      <c r="G37" t="inlineStr">
        <is>
          <t>NYBRO</t>
        </is>
      </c>
      <c r="I37" t="n">
        <v>1.7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3</v>
      </c>
      <c r="U37" t="n">
        <v>1</v>
      </c>
      <c r="V37" s="2" t="inlineStr">
        <is>
          <t>Barbastell
Nordfladdermus
Gråskimlig fladdermus</t>
        </is>
      </c>
      <c r="W37">
        <f>HYPERLINK("https://klasma.github.io/Logging_0881/artfynd/A 39000-2025 artfynd.xlsx", "A 39000-2025")</f>
        <v/>
      </c>
      <c r="X37">
        <f>HYPERLINK("https://klasma.github.io/Logging_0881/kartor/A 39000-2025 karta.png", "A 39000-2025")</f>
        <v/>
      </c>
      <c r="Y37">
        <f>HYPERLINK("https://klasma.github.io/Logging_0881/kartor_geotiff/A 39000-2025 georefererad karta.tif", "A 39000-2025")</f>
        <v/>
      </c>
      <c r="AA37">
        <f>HYPERLINK("https://klasma.github.io/Logging_0881/klagomål/A 39000-2025 FSC-klagomål.docx", "A 39000-2025")</f>
        <v/>
      </c>
      <c r="AB37">
        <f>HYPERLINK("https://klasma.github.io/Logging_0881/klagomålsmail/A 39000-2025 FSC-klagomål mail.docx", "A 39000-2025")</f>
        <v/>
      </c>
      <c r="AC37">
        <f>HYPERLINK("https://klasma.github.io/Logging_0881/tillsyn/A 39000-2025 tillsynsbegäran.docx", "A 39000-2025")</f>
        <v/>
      </c>
      <c r="AD37">
        <f>HYPERLINK("https://klasma.github.io/Logging_0881/tillsynsmail/A 39000-2025 tillsynsbegäran mail.docx", "A 39000-2025")</f>
        <v/>
      </c>
    </row>
    <row r="38" ht="15" customHeight="1">
      <c r="A38" t="inlineStr">
        <is>
          <t>A 18399-2026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46126</v>
      </c>
      <c r="E38" s="1" t="n">
        <v>46313</v>
      </c>
      <c r="F38" t="inlineStr">
        <is>
          <t>KALMAR LÄN</t>
        </is>
      </c>
      <c r="G38" t="inlineStr">
        <is>
          <t>NYBRO</t>
        </is>
      </c>
      <c r="H38" t="inlineStr">
        <is>
          <t>Sveaskog</t>
        </is>
      </c>
      <c r="I38" t="n">
        <v>12.2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4</v>
      </c>
      <c r="U38" t="n">
        <v>0</v>
      </c>
      <c r="V38" s="2" t="inlineStr">
        <is>
          <t>Aspstumpbagge
Stekelbock
Spillkråka</t>
        </is>
      </c>
      <c r="W38">
        <f>HYPERLINK("https://klasma.github.io/Logging_0881/artfynd/A 18399-2026 artfynd.xlsx", "A 18399-2026")</f>
        <v/>
      </c>
      <c r="X38">
        <f>HYPERLINK("https://klasma.github.io/Logging_0881/kartor/A 18399-2026 karta.png", "A 18399-2026")</f>
        <v/>
      </c>
      <c r="Y38">
        <f>HYPERLINK("https://klasma.github.io/Logging_0881/kartor_geotiff/A 18399-2026 georefererad karta.tif", "A 18399-2026")</f>
        <v/>
      </c>
      <c r="AA38">
        <f>HYPERLINK("https://klasma.github.io/Logging_0881/klagomål/A 18399-2026 FSC-klagomål.docx", "A 18399-2026")</f>
        <v/>
      </c>
      <c r="AB38">
        <f>HYPERLINK("https://klasma.github.io/Logging_0881/klagomålsmail/A 18399-2026 FSC-klagomål mail.docx", "A 18399-2026")</f>
        <v/>
      </c>
      <c r="AC38">
        <f>HYPERLINK("https://klasma.github.io/Logging_0881/tillsyn/A 18399-2026 tillsynsbegäran.docx", "A 18399-2026")</f>
        <v/>
      </c>
      <c r="AD38">
        <f>HYPERLINK("https://klasma.github.io/Logging_0881/tillsynsmail/A 18399-2026 tillsynsbegäran mail.docx", "A 18399-2026")</f>
        <v/>
      </c>
      <c r="AE38">
        <f>HYPERLINK("https://klasma.github.io/Logging_0881/fåglar/A 18399-2026 prioriterade fågelarter.docx", "A 18399-2026")</f>
        <v/>
      </c>
    </row>
    <row r="39" ht="15" customHeight="1">
      <c r="A39" t="inlineStr">
        <is>
          <t>A 14858-2022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44656</v>
      </c>
      <c r="E39" s="1" t="n">
        <v>46313</v>
      </c>
      <c r="F39" t="inlineStr">
        <is>
          <t>KALMAR LÄN</t>
        </is>
      </c>
      <c r="G39" t="inlineStr">
        <is>
          <t>NYBRO</t>
        </is>
      </c>
      <c r="H39" t="inlineStr">
        <is>
          <t>Kommuner</t>
        </is>
      </c>
      <c r="I39" t="n">
        <v>4.9</v>
      </c>
      <c r="J39" t="n">
        <v>1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3</v>
      </c>
      <c r="T39" t="n">
        <v>3</v>
      </c>
      <c r="U39" t="n">
        <v>2</v>
      </c>
      <c r="V39" s="2" t="inlineStr">
        <is>
          <t>Apelticka
Rosenryggat ordensfly
Sparvuggla</t>
        </is>
      </c>
      <c r="W39">
        <f>HYPERLINK("https://klasma.github.io/Logging_0881/artfynd/A 14858-2022 artfynd.xlsx", "A 14858-2022")</f>
        <v/>
      </c>
      <c r="X39">
        <f>HYPERLINK("https://klasma.github.io/Logging_0881/kartor/A 14858-2022 karta.png", "A 14858-2022")</f>
        <v/>
      </c>
      <c r="Y39">
        <f>HYPERLINK("https://klasma.github.io/Logging_0881/kartor_geotiff/A 14858-2022 georefererad karta.tif", "A 14858-2022")</f>
        <v/>
      </c>
      <c r="AA39">
        <f>HYPERLINK("https://klasma.github.io/Logging_0881/klagomål/A 14858-2022 FSC-klagomål.docx", "A 14858-2022")</f>
        <v/>
      </c>
      <c r="AB39">
        <f>HYPERLINK("https://klasma.github.io/Logging_0881/klagomålsmail/A 14858-2022 FSC-klagomål mail.docx", "A 14858-2022")</f>
        <v/>
      </c>
      <c r="AC39">
        <f>HYPERLINK("https://klasma.github.io/Logging_0881/tillsyn/A 14858-2022 tillsynsbegäran.docx", "A 14858-2022")</f>
        <v/>
      </c>
      <c r="AD39">
        <f>HYPERLINK("https://klasma.github.io/Logging_0881/tillsynsmail/A 14858-2022 tillsynsbegäran mail.docx", "A 14858-2022")</f>
        <v/>
      </c>
      <c r="AE39">
        <f>HYPERLINK("https://klasma.github.io/Logging_0881/fåglar/A 14858-2022 prioriterade fågelarter.docx", "A 14858-2022")</f>
        <v/>
      </c>
    </row>
    <row r="40" ht="15" customHeight="1">
      <c r="A40" t="inlineStr">
        <is>
          <t>S 301-2026</t>
        </is>
      </c>
      <c r="B40" t="inlineStr">
        <is>
          <t>samrådsanmälan</t>
        </is>
      </c>
      <c r="C40" t="inlineStr">
        <is>
          <t>Askåterföring</t>
        </is>
      </c>
      <c r="D40" s="1" t="n">
        <v>46058</v>
      </c>
      <c r="E40" s="1" t="n">
        <v>46313</v>
      </c>
      <c r="F40" t="inlineStr">
        <is>
          <t>KALMAR LÄN</t>
        </is>
      </c>
      <c r="G40" t="inlineStr">
        <is>
          <t>NYBRO</t>
        </is>
      </c>
      <c r="I40" t="n">
        <v>4.6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3</v>
      </c>
      <c r="U40" t="n">
        <v>0</v>
      </c>
      <c r="V40" s="2" t="inlineStr">
        <is>
          <t>Motaggsvamp
Orange taggsvamp
Blåmossa</t>
        </is>
      </c>
      <c r="W40">
        <f>HYPERLINK("https://klasma.github.io/Logging_0881/artfynd/S 301-2026 artfynd.xlsx", "S 301-2026")</f>
        <v/>
      </c>
      <c r="X40">
        <f>HYPERLINK("https://klasma.github.io/Logging_0881/kartor/S 301-2026 karta.png", "S 301-2026")</f>
        <v/>
      </c>
      <c r="Y40">
        <f>HYPERLINK("https://klasma.github.io/Logging_0881/kartor_geotiff/S 301-2026 georefererad karta.tif", "S 301-2026")</f>
        <v/>
      </c>
      <c r="AA40">
        <f>HYPERLINK("https://klasma.github.io/Logging_0881/klagomål/S 301-2026 FSC-klagomål.docx", "S 301-2026")</f>
        <v/>
      </c>
      <c r="AB40">
        <f>HYPERLINK("https://klasma.github.io/Logging_0881/klagomålsmail/S 301-2026 FSC-klagomål mail.docx", "S 301-2026")</f>
        <v/>
      </c>
      <c r="AC40">
        <f>HYPERLINK("https://klasma.github.io/Logging_0881/tillsyn/S 301-2026 tillsynsbegäran.docx", "S 301-2026")</f>
        <v/>
      </c>
      <c r="AD40">
        <f>HYPERLINK("https://klasma.github.io/Logging_0881/tillsynsmail/S 301-2026 tillsynsbegäran mail.docx", "S 301-2026")</f>
        <v/>
      </c>
    </row>
    <row r="41" ht="15" customHeight="1">
      <c r="A41" t="inlineStr">
        <is>
          <t>A 28537-2022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44748</v>
      </c>
      <c r="E41" s="1" t="n">
        <v>46313</v>
      </c>
      <c r="F41" t="inlineStr">
        <is>
          <t>KALMAR LÄN</t>
        </is>
      </c>
      <c r="G41" t="inlineStr">
        <is>
          <t>NYBRO</t>
        </is>
      </c>
      <c r="I41" t="n">
        <v>0.5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5</v>
      </c>
      <c r="U41" t="n">
        <v>5</v>
      </c>
      <c r="V41" s="2" t="inlineStr">
        <is>
          <t>Ask
Gulvit blekspik</t>
        </is>
      </c>
      <c r="W41">
        <f>HYPERLINK("https://klasma.github.io/Logging_0881/artfynd/A 28537-2022 artfynd.xlsx", "A 28537-2022")</f>
        <v/>
      </c>
      <c r="X41">
        <f>HYPERLINK("https://klasma.github.io/Logging_0881/kartor/A 28537-2022 karta.png", "A 28537-2022")</f>
        <v/>
      </c>
      <c r="Y41">
        <f>HYPERLINK("https://klasma.github.io/Logging_0881/kartor_geotiff/A 28537-2022 georefererad karta.tif", "A 28537-2022")</f>
        <v/>
      </c>
      <c r="AA41">
        <f>HYPERLINK("https://klasma.github.io/Logging_0881/klagomål/A 28537-2022 FSC-klagomål.docx", "A 28537-2022")</f>
        <v/>
      </c>
      <c r="AB41">
        <f>HYPERLINK("https://klasma.github.io/Logging_0881/klagomålsmail/A 28537-2022 FSC-klagomål mail.docx", "A 28537-2022")</f>
        <v/>
      </c>
      <c r="AC41">
        <f>HYPERLINK("https://klasma.github.io/Logging_0881/tillsyn/A 28537-2022 tillsynsbegäran.docx", "A 28537-2022")</f>
        <v/>
      </c>
      <c r="AD41">
        <f>HYPERLINK("https://klasma.github.io/Logging_0881/tillsynsmail/A 28537-2022 tillsynsbegäran mail.docx", "A 28537-2022")</f>
        <v/>
      </c>
    </row>
    <row r="42" ht="15" customHeight="1">
      <c r="A42" t="inlineStr">
        <is>
          <t>A 47326-2022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44853</v>
      </c>
      <c r="E42" s="1" t="n">
        <v>46313</v>
      </c>
      <c r="F42" t="inlineStr">
        <is>
          <t>KALMAR LÄN</t>
        </is>
      </c>
      <c r="G42" t="inlineStr">
        <is>
          <t>NYBRO</t>
        </is>
      </c>
      <c r="I42" t="n">
        <v>2.7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3</v>
      </c>
      <c r="U42" t="n">
        <v>0</v>
      </c>
      <c r="V42" s="2" t="inlineStr">
        <is>
          <t>Veckticka
Västlig hakmossa</t>
        </is>
      </c>
      <c r="W42">
        <f>HYPERLINK("https://klasma.github.io/Logging_0881/artfynd/A 47326-2022 artfynd.xlsx", "A 47326-2022")</f>
        <v/>
      </c>
      <c r="X42">
        <f>HYPERLINK("https://klasma.github.io/Logging_0881/kartor/A 47326-2022 karta.png", "A 47326-2022")</f>
        <v/>
      </c>
      <c r="Y42">
        <f>HYPERLINK("https://klasma.github.io/Logging_0881/kartor_geotiff/A 47326-2022 georefererad karta.tif", "A 47326-2022")</f>
        <v/>
      </c>
      <c r="AA42">
        <f>HYPERLINK("https://klasma.github.io/Logging_0881/klagomål/A 47326-2022 FSC-klagomål.docx", "A 47326-2022")</f>
        <v/>
      </c>
      <c r="AB42">
        <f>HYPERLINK("https://klasma.github.io/Logging_0881/klagomålsmail/A 47326-2022 FSC-klagomål mail.docx", "A 47326-2022")</f>
        <v/>
      </c>
      <c r="AC42">
        <f>HYPERLINK("https://klasma.github.io/Logging_0881/tillsyn/A 47326-2022 tillsynsbegäran.docx", "A 47326-2022")</f>
        <v/>
      </c>
      <c r="AD42">
        <f>HYPERLINK("https://klasma.github.io/Logging_0881/tillsynsmail/A 47326-2022 tillsynsbegäran mail.docx", "A 47326-2022")</f>
        <v/>
      </c>
    </row>
    <row r="43" ht="15" customHeight="1">
      <c r="A43" t="inlineStr">
        <is>
          <t>A 5099-2022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44593</v>
      </c>
      <c r="E43" s="1" t="n">
        <v>46313</v>
      </c>
      <c r="F43" t="inlineStr">
        <is>
          <t>KALMAR LÄN</t>
        </is>
      </c>
      <c r="G43" t="inlineStr">
        <is>
          <t>NYBRO</t>
        </is>
      </c>
      <c r="I43" t="n">
        <v>1.9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2</v>
      </c>
      <c r="V43" s="2" t="inlineStr">
        <is>
          <t>Blomkålssvamp
Vanlig padda</t>
        </is>
      </c>
      <c r="W43">
        <f>HYPERLINK("https://klasma.github.io/Logging_0881/artfynd/A 5099-2022 artfynd.xlsx", "A 5099-2022")</f>
        <v/>
      </c>
      <c r="X43">
        <f>HYPERLINK("https://klasma.github.io/Logging_0881/kartor/A 5099-2022 karta.png", "A 5099-2022")</f>
        <v/>
      </c>
      <c r="Y43">
        <f>HYPERLINK("https://klasma.github.io/Logging_0881/kartor_geotiff/A 5099-2022 georefererad karta.tif", "A 5099-2022")</f>
        <v/>
      </c>
      <c r="AA43">
        <f>HYPERLINK("https://klasma.github.io/Logging_0881/klagomål/A 5099-2022 FSC-klagomål.docx", "A 5099-2022")</f>
        <v/>
      </c>
      <c r="AB43">
        <f>HYPERLINK("https://klasma.github.io/Logging_0881/klagomålsmail/A 5099-2022 FSC-klagomål mail.docx", "A 5099-2022")</f>
        <v/>
      </c>
      <c r="AC43">
        <f>HYPERLINK("https://klasma.github.io/Logging_0881/tillsyn/A 5099-2022 tillsynsbegäran.docx", "A 5099-2022")</f>
        <v/>
      </c>
      <c r="AD43">
        <f>HYPERLINK("https://klasma.github.io/Logging_0881/tillsynsmail/A 5099-2022 tillsynsbegäran mail.docx", "A 5099-2022")</f>
        <v/>
      </c>
    </row>
    <row r="44" ht="15" customHeight="1">
      <c r="A44" t="inlineStr">
        <is>
          <t>A 30121-2023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45110</v>
      </c>
      <c r="E44" s="1" t="n">
        <v>46313</v>
      </c>
      <c r="F44" t="inlineStr">
        <is>
          <t>KALMAR LÄN</t>
        </is>
      </c>
      <c r="G44" t="inlineStr">
        <is>
          <t>NYBRO</t>
        </is>
      </c>
      <c r="H44" t="inlineStr">
        <is>
          <t>Kommuner</t>
        </is>
      </c>
      <c r="I44" t="n">
        <v>4.9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s="2" t="inlineStr">
        <is>
          <t>Vanlig flatbagge
Grönsiska</t>
        </is>
      </c>
      <c r="W44">
        <f>HYPERLINK("https://klasma.github.io/Logging_0881/artfynd/A 30121-2023 artfynd.xlsx", "A 30121-2023")</f>
        <v/>
      </c>
      <c r="X44">
        <f>HYPERLINK("https://klasma.github.io/Logging_0881/kartor/A 30121-2023 karta.png", "A 30121-2023")</f>
        <v/>
      </c>
      <c r="Y44">
        <f>HYPERLINK("https://klasma.github.io/Logging_0881/kartor_geotiff/A 30121-2023 georefererad karta.tif", "A 30121-2023")</f>
        <v/>
      </c>
      <c r="AA44">
        <f>HYPERLINK("https://klasma.github.io/Logging_0881/klagomål/A 30121-2023 FSC-klagomål.docx", "A 30121-2023")</f>
        <v/>
      </c>
      <c r="AB44">
        <f>HYPERLINK("https://klasma.github.io/Logging_0881/klagomålsmail/A 30121-2023 FSC-klagomål mail.docx", "A 30121-2023")</f>
        <v/>
      </c>
      <c r="AC44">
        <f>HYPERLINK("https://klasma.github.io/Logging_0881/tillsyn/A 30121-2023 tillsynsbegäran.docx", "A 30121-2023")</f>
        <v/>
      </c>
      <c r="AD44">
        <f>HYPERLINK("https://klasma.github.io/Logging_0881/tillsynsmail/A 30121-2023 tillsynsbegäran mail.docx", "A 30121-2023")</f>
        <v/>
      </c>
    </row>
    <row r="45" ht="15" customHeight="1">
      <c r="A45" t="inlineStr">
        <is>
          <t>A 51784-2023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45222</v>
      </c>
      <c r="E45" s="1" t="n">
        <v>46313</v>
      </c>
      <c r="F45" t="inlineStr">
        <is>
          <t>KALMAR LÄN</t>
        </is>
      </c>
      <c r="G45" t="inlineStr">
        <is>
          <t>NYBRO</t>
        </is>
      </c>
      <c r="I45" t="n">
        <v>1.2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2</v>
      </c>
      <c r="U45" t="n">
        <v>2</v>
      </c>
      <c r="V45" s="2" t="inlineStr">
        <is>
          <t>Solvända
Tvåblad</t>
        </is>
      </c>
      <c r="W45">
        <f>HYPERLINK("https://klasma.github.io/Logging_0881/artfynd/A 51784-2023 artfynd.xlsx", "A 51784-2023")</f>
        <v/>
      </c>
      <c r="X45">
        <f>HYPERLINK("https://klasma.github.io/Logging_0881/kartor/A 51784-2023 karta.png", "A 51784-2023")</f>
        <v/>
      </c>
      <c r="Y45">
        <f>HYPERLINK("https://klasma.github.io/Logging_0881/kartor_geotiff/A 51784-2023 georefererad karta.tif", "A 51784-2023")</f>
        <v/>
      </c>
      <c r="AA45">
        <f>HYPERLINK("https://klasma.github.io/Logging_0881/klagomål/A 51784-2023 FSC-klagomål.docx", "A 51784-2023")</f>
        <v/>
      </c>
      <c r="AB45">
        <f>HYPERLINK("https://klasma.github.io/Logging_0881/klagomålsmail/A 51784-2023 FSC-klagomål mail.docx", "A 51784-2023")</f>
        <v/>
      </c>
      <c r="AC45">
        <f>HYPERLINK("https://klasma.github.io/Logging_0881/tillsyn/A 51784-2023 tillsynsbegäran.docx", "A 51784-2023")</f>
        <v/>
      </c>
      <c r="AD45">
        <f>HYPERLINK("https://klasma.github.io/Logging_0881/tillsynsmail/A 51784-2023 tillsynsbegäran mail.docx", "A 51784-2023")</f>
        <v/>
      </c>
    </row>
    <row r="46" ht="15" customHeight="1">
      <c r="A46" t="inlineStr">
        <is>
          <t>A 44064-2023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45188</v>
      </c>
      <c r="E46" s="1" t="n">
        <v>46313</v>
      </c>
      <c r="F46" t="inlineStr">
        <is>
          <t>KALMAR LÄN</t>
        </is>
      </c>
      <c r="G46" t="inlineStr">
        <is>
          <t>NYBRO</t>
        </is>
      </c>
      <c r="I46" t="n">
        <v>1.8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3</v>
      </c>
      <c r="U46" t="n">
        <v>0</v>
      </c>
      <c r="V46" s="2" t="inlineStr">
        <is>
          <t>Rostfläck
Sotlav</t>
        </is>
      </c>
      <c r="W46">
        <f>HYPERLINK("https://klasma.github.io/Logging_0881/artfynd/A 44064-2023 artfynd.xlsx", "A 44064-2023")</f>
        <v/>
      </c>
      <c r="X46">
        <f>HYPERLINK("https://klasma.github.io/Logging_0881/kartor/A 44064-2023 karta.png", "A 44064-2023")</f>
        <v/>
      </c>
      <c r="Y46">
        <f>HYPERLINK("https://klasma.github.io/Logging_0881/kartor_geotiff/A 44064-2023 georefererad karta.tif", "A 44064-2023")</f>
        <v/>
      </c>
      <c r="AA46">
        <f>HYPERLINK("https://klasma.github.io/Logging_0881/klagomål/A 44064-2023 FSC-klagomål.docx", "A 44064-2023")</f>
        <v/>
      </c>
      <c r="AB46">
        <f>HYPERLINK("https://klasma.github.io/Logging_0881/klagomålsmail/A 44064-2023 FSC-klagomål mail.docx", "A 44064-2023")</f>
        <v/>
      </c>
      <c r="AC46">
        <f>HYPERLINK("https://klasma.github.io/Logging_0881/tillsyn/A 44064-2023 tillsynsbegäran.docx", "A 44064-2023")</f>
        <v/>
      </c>
      <c r="AD46">
        <f>HYPERLINK("https://klasma.github.io/Logging_0881/tillsynsmail/A 44064-2023 tillsynsbegäran mail.docx", "A 44064-2023")</f>
        <v/>
      </c>
    </row>
    <row r="47" ht="15" customHeight="1">
      <c r="A47" t="inlineStr">
        <is>
          <t>A 22316-2024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45446</v>
      </c>
      <c r="E47" s="1" t="n">
        <v>46313</v>
      </c>
      <c r="F47" t="inlineStr">
        <is>
          <t>KALMAR LÄN</t>
        </is>
      </c>
      <c r="G47" t="inlineStr">
        <is>
          <t>NYBRO</t>
        </is>
      </c>
      <c r="H47" t="inlineStr">
        <is>
          <t>Sveaskog</t>
        </is>
      </c>
      <c r="I47" t="n">
        <v>3</v>
      </c>
      <c r="J47" t="n">
        <v>2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2</v>
      </c>
      <c r="T47" t="n">
        <v>2</v>
      </c>
      <c r="U47" t="n">
        <v>0</v>
      </c>
      <c r="V47" s="2" t="inlineStr">
        <is>
          <t>Nordfladdermus
Dvärgpipistrell</t>
        </is>
      </c>
      <c r="W47">
        <f>HYPERLINK("https://klasma.github.io/Logging_0881/artfynd/A 22316-2024 artfynd.xlsx", "A 22316-2024")</f>
        <v/>
      </c>
      <c r="X47">
        <f>HYPERLINK("https://klasma.github.io/Logging_0881/kartor/A 22316-2024 karta.png", "A 22316-2024")</f>
        <v/>
      </c>
      <c r="Y47">
        <f>HYPERLINK("https://klasma.github.io/Logging_0881/kartor_geotiff/A 22316-2024 georefererad karta.tif", "A 22316-2024")</f>
        <v/>
      </c>
      <c r="AA47">
        <f>HYPERLINK("https://klasma.github.io/Logging_0881/klagomål/A 22316-2024 FSC-klagomål.docx", "A 22316-2024")</f>
        <v/>
      </c>
      <c r="AB47">
        <f>HYPERLINK("https://klasma.github.io/Logging_0881/klagomålsmail/A 22316-2024 FSC-klagomål mail.docx", "A 22316-2024")</f>
        <v/>
      </c>
      <c r="AC47">
        <f>HYPERLINK("https://klasma.github.io/Logging_0881/tillsyn/A 22316-2024 tillsynsbegäran.docx", "A 22316-2024")</f>
        <v/>
      </c>
      <c r="AD47">
        <f>HYPERLINK("https://klasma.github.io/Logging_0881/tillsynsmail/A 22316-2024 tillsynsbegäran mail.docx", "A 22316-2024")</f>
        <v/>
      </c>
    </row>
    <row r="48" ht="15" customHeight="1">
      <c r="A48" t="inlineStr">
        <is>
          <t>A 33067-2022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44785</v>
      </c>
      <c r="E48" s="1" t="n">
        <v>46313</v>
      </c>
      <c r="F48" t="inlineStr">
        <is>
          <t>KALMAR LÄN</t>
        </is>
      </c>
      <c r="G48" t="inlineStr">
        <is>
          <t>NYBRO</t>
        </is>
      </c>
      <c r="I48" t="n">
        <v>14.1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2</v>
      </c>
      <c r="U48" t="n">
        <v>2</v>
      </c>
      <c r="V48" s="2" t="inlineStr">
        <is>
          <t>Sommarfibbla
Tjäder</t>
        </is>
      </c>
      <c r="W48">
        <f>HYPERLINK("https://klasma.github.io/Logging_0881/artfynd/A 33067-2022 artfynd.xlsx", "A 33067-2022")</f>
        <v/>
      </c>
      <c r="X48">
        <f>HYPERLINK("https://klasma.github.io/Logging_0881/kartor/A 33067-2022 karta.png", "A 33067-2022")</f>
        <v/>
      </c>
      <c r="Y48">
        <f>HYPERLINK("https://klasma.github.io/Logging_0881/kartor_geotiff/A 33067-2022 georefererad karta.tif", "A 33067-2022")</f>
        <v/>
      </c>
      <c r="AA48">
        <f>HYPERLINK("https://klasma.github.io/Logging_0881/klagomål/A 33067-2022 FSC-klagomål.docx", "A 33067-2022")</f>
        <v/>
      </c>
      <c r="AB48">
        <f>HYPERLINK("https://klasma.github.io/Logging_0881/klagomålsmail/A 33067-2022 FSC-klagomål mail.docx", "A 33067-2022")</f>
        <v/>
      </c>
      <c r="AC48">
        <f>HYPERLINK("https://klasma.github.io/Logging_0881/tillsyn/A 33067-2022 tillsynsbegäran.docx", "A 33067-2022")</f>
        <v/>
      </c>
      <c r="AD48">
        <f>HYPERLINK("https://klasma.github.io/Logging_0881/tillsynsmail/A 33067-2022 tillsynsbegäran mail.docx", "A 33067-2022")</f>
        <v/>
      </c>
      <c r="AE48">
        <f>HYPERLINK("https://klasma.github.io/Logging_0881/fåglar/A 33067-2022 prioriterade fågelarter.docx", "A 33067-2022")</f>
        <v/>
      </c>
    </row>
    <row r="49" ht="15" customHeight="1">
      <c r="A49" t="inlineStr">
        <is>
          <t>A 51473-2024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45604</v>
      </c>
      <c r="E49" s="1" t="n">
        <v>46313</v>
      </c>
      <c r="F49" t="inlineStr">
        <is>
          <t>KALMAR LÄN</t>
        </is>
      </c>
      <c r="G49" t="inlineStr">
        <is>
          <t>NYBRO</t>
        </is>
      </c>
      <c r="I49" t="n">
        <v>3.4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1</v>
      </c>
      <c r="V49" s="2" t="inlineStr">
        <is>
          <t>Orre
Törnskata</t>
        </is>
      </c>
      <c r="W49">
        <f>HYPERLINK("https://klasma.github.io/Logging_0881/artfynd/A 51473-2024 artfynd.xlsx", "A 51473-2024")</f>
        <v/>
      </c>
      <c r="X49">
        <f>HYPERLINK("https://klasma.github.io/Logging_0881/kartor/A 51473-2024 karta.png", "A 51473-2024")</f>
        <v/>
      </c>
      <c r="Y49">
        <f>HYPERLINK("https://klasma.github.io/Logging_0881/kartor_geotiff/A 51473-2024 georefererad karta.tif", "A 51473-2024")</f>
        <v/>
      </c>
      <c r="AA49">
        <f>HYPERLINK("https://klasma.github.io/Logging_0881/klagomål/A 51473-2024 FSC-klagomål.docx", "A 51473-2024")</f>
        <v/>
      </c>
      <c r="AB49">
        <f>HYPERLINK("https://klasma.github.io/Logging_0881/klagomålsmail/A 51473-2024 FSC-klagomål mail.docx", "A 51473-2024")</f>
        <v/>
      </c>
      <c r="AC49">
        <f>HYPERLINK("https://klasma.github.io/Logging_0881/tillsyn/A 51473-2024 tillsynsbegäran.docx", "A 51473-2024")</f>
        <v/>
      </c>
      <c r="AD49">
        <f>HYPERLINK("https://klasma.github.io/Logging_0881/tillsynsmail/A 51473-2024 tillsynsbegäran mail.docx", "A 51473-2024")</f>
        <v/>
      </c>
      <c r="AE49">
        <f>HYPERLINK("https://klasma.github.io/Logging_0881/fåglar/A 51473-2024 prioriterade fågelarter.docx", "A 51473-2024")</f>
        <v/>
      </c>
    </row>
    <row r="50" ht="15" customHeight="1">
      <c r="A50" t="inlineStr">
        <is>
          <t>A 39038-2025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45888</v>
      </c>
      <c r="E50" s="1" t="n">
        <v>46313</v>
      </c>
      <c r="F50" t="inlineStr">
        <is>
          <t>KALMAR LÄN</t>
        </is>
      </c>
      <c r="G50" t="inlineStr">
        <is>
          <t>NYBRO</t>
        </is>
      </c>
      <c r="I50" t="n">
        <v>1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2</v>
      </c>
      <c r="T50" t="n">
        <v>2</v>
      </c>
      <c r="U50" t="n">
        <v>0</v>
      </c>
      <c r="V50" s="2" t="inlineStr">
        <is>
          <t>Talltita
Revlummer</t>
        </is>
      </c>
      <c r="W50">
        <f>HYPERLINK("https://klasma.github.io/Logging_0881/artfynd/A 39038-2025 artfynd.xlsx", "A 39038-2025")</f>
        <v/>
      </c>
      <c r="X50">
        <f>HYPERLINK("https://klasma.github.io/Logging_0881/kartor/A 39038-2025 karta.png", "A 39038-2025")</f>
        <v/>
      </c>
      <c r="Y50">
        <f>HYPERLINK("https://klasma.github.io/Logging_0881/kartor_geotiff/A 39038-2025 georefererad karta.tif", "A 39038-2025")</f>
        <v/>
      </c>
      <c r="AA50">
        <f>HYPERLINK("https://klasma.github.io/Logging_0881/klagomål/A 39038-2025 FSC-klagomål.docx", "A 39038-2025")</f>
        <v/>
      </c>
      <c r="AB50">
        <f>HYPERLINK("https://klasma.github.io/Logging_0881/klagomålsmail/A 39038-2025 FSC-klagomål mail.docx", "A 39038-2025")</f>
        <v/>
      </c>
      <c r="AC50">
        <f>HYPERLINK("https://klasma.github.io/Logging_0881/tillsyn/A 39038-2025 tillsynsbegäran.docx", "A 39038-2025")</f>
        <v/>
      </c>
      <c r="AD50">
        <f>HYPERLINK("https://klasma.github.io/Logging_0881/tillsynsmail/A 39038-2025 tillsynsbegäran mail.docx", "A 39038-2025")</f>
        <v/>
      </c>
      <c r="AE50">
        <f>HYPERLINK("https://klasma.github.io/Logging_0881/fåglar/A 39038-2025 prioriterade fågelarter.docx", "A 39038-2025")</f>
        <v/>
      </c>
    </row>
    <row r="51" ht="15" customHeight="1">
      <c r="A51" t="inlineStr">
        <is>
          <t>A 20639-2026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46141</v>
      </c>
      <c r="E51" s="1" t="n">
        <v>46313</v>
      </c>
      <c r="F51" t="inlineStr">
        <is>
          <t>KALMAR LÄN</t>
        </is>
      </c>
      <c r="G51" t="inlineStr">
        <is>
          <t>NYBRO</t>
        </is>
      </c>
      <c r="H51" t="inlineStr">
        <is>
          <t>Sveaskog</t>
        </is>
      </c>
      <c r="I51" t="n">
        <v>2.5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2</v>
      </c>
      <c r="R51" t="n">
        <v>2</v>
      </c>
      <c r="S51" t="n">
        <v>2</v>
      </c>
      <c r="T51" t="n">
        <v>2</v>
      </c>
      <c r="U51" t="n">
        <v>0</v>
      </c>
      <c r="V51" s="2" t="inlineStr">
        <is>
          <t>Ljungögontröst
Dvärglin</t>
        </is>
      </c>
      <c r="W51">
        <f>HYPERLINK("https://klasma.github.io/Logging_0881/artfynd/A 20639-2026 artfynd.xlsx", "A 20639-2026")</f>
        <v/>
      </c>
      <c r="X51">
        <f>HYPERLINK("https://klasma.github.io/Logging_0881/kartor/A 20639-2026 karta.png", "A 20639-2026")</f>
        <v/>
      </c>
      <c r="Y51">
        <f>HYPERLINK("https://klasma.github.io/Logging_0881/kartor_geotiff/A 20639-2026 georefererad karta.tif", "A 20639-2026")</f>
        <v/>
      </c>
      <c r="AA51">
        <f>HYPERLINK("https://klasma.github.io/Logging_0881/klagomål/A 20639-2026 FSC-klagomål.docx", "A 20639-2026")</f>
        <v/>
      </c>
      <c r="AB51">
        <f>HYPERLINK("https://klasma.github.io/Logging_0881/klagomålsmail/A 20639-2026 FSC-klagomål mail.docx", "A 20639-2026")</f>
        <v/>
      </c>
      <c r="AC51">
        <f>HYPERLINK("https://klasma.github.io/Logging_0881/tillsyn/A 20639-2026 tillsynsbegäran.docx", "A 20639-2026")</f>
        <v/>
      </c>
      <c r="AD51">
        <f>HYPERLINK("https://klasma.github.io/Logging_0881/tillsynsmail/A 20639-2026 tillsynsbegäran mail.docx", "A 20639-2026")</f>
        <v/>
      </c>
    </row>
    <row r="52" ht="15" customHeight="1">
      <c r="A52" t="inlineStr">
        <is>
          <t>A 23106-2023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45075</v>
      </c>
      <c r="E52" s="1" t="n">
        <v>46313</v>
      </c>
      <c r="F52" t="inlineStr">
        <is>
          <t>KALMAR LÄN</t>
        </is>
      </c>
      <c r="G52" t="inlineStr">
        <is>
          <t>NYBRO</t>
        </is>
      </c>
      <c r="I52" t="n">
        <v>9.6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2</v>
      </c>
      <c r="T52" t="n">
        <v>2</v>
      </c>
      <c r="U52" t="n">
        <v>0</v>
      </c>
      <c r="V52" s="2" t="inlineStr">
        <is>
          <t>Fjällig taggsvamp s.str.
Grovticka</t>
        </is>
      </c>
      <c r="W52">
        <f>HYPERLINK("https://klasma.github.io/Logging_0881/artfynd/A 23106-2023 artfynd.xlsx", "A 23106-2023")</f>
        <v/>
      </c>
      <c r="X52">
        <f>HYPERLINK("https://klasma.github.io/Logging_0881/kartor/A 23106-2023 karta.png", "A 23106-2023")</f>
        <v/>
      </c>
      <c r="Y52">
        <f>HYPERLINK("https://klasma.github.io/Logging_0881/kartor_geotiff/A 23106-2023 georefererad karta.tif", "A 23106-2023")</f>
        <v/>
      </c>
      <c r="AA52">
        <f>HYPERLINK("https://klasma.github.io/Logging_0881/klagomål/A 23106-2023 FSC-klagomål.docx", "A 23106-2023")</f>
        <v/>
      </c>
      <c r="AB52">
        <f>HYPERLINK("https://klasma.github.io/Logging_0881/klagomålsmail/A 23106-2023 FSC-klagomål mail.docx", "A 23106-2023")</f>
        <v/>
      </c>
      <c r="AC52">
        <f>HYPERLINK("https://klasma.github.io/Logging_0881/tillsyn/A 23106-2023 tillsynsbegäran.docx", "A 23106-2023")</f>
        <v/>
      </c>
      <c r="AD52">
        <f>HYPERLINK("https://klasma.github.io/Logging_0881/tillsynsmail/A 23106-2023 tillsynsbegäran mail.docx", "A 23106-2023")</f>
        <v/>
      </c>
    </row>
    <row r="53" ht="15" customHeight="1">
      <c r="A53" t="inlineStr">
        <is>
          <t>A 63006-2025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46009</v>
      </c>
      <c r="E53" s="1" t="n">
        <v>46313</v>
      </c>
      <c r="F53" t="inlineStr">
        <is>
          <t>KALMAR LÄN</t>
        </is>
      </c>
      <c r="G53" t="inlineStr">
        <is>
          <t>NYBRO</t>
        </is>
      </c>
      <c r="I53" t="n">
        <v>6.8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s="2" t="inlineStr">
        <is>
          <t>Bronshjon
Mindre märgborre</t>
        </is>
      </c>
      <c r="W53">
        <f>HYPERLINK("https://klasma.github.io/Logging_0881/artfynd/A 63006-2025 artfynd.xlsx", "A 63006-2025")</f>
        <v/>
      </c>
      <c r="X53">
        <f>HYPERLINK("https://klasma.github.io/Logging_0881/kartor/A 63006-2025 karta.png", "A 63006-2025")</f>
        <v/>
      </c>
      <c r="Y53">
        <f>HYPERLINK("https://klasma.github.io/Logging_0881/kartor_geotiff/A 63006-2025 georefererad karta.tif", "A 63006-2025")</f>
        <v/>
      </c>
      <c r="AA53">
        <f>HYPERLINK("https://klasma.github.io/Logging_0881/klagomål/A 63006-2025 FSC-klagomål.docx", "A 63006-2025")</f>
        <v/>
      </c>
      <c r="AB53">
        <f>HYPERLINK("https://klasma.github.io/Logging_0881/klagomålsmail/A 63006-2025 FSC-klagomål mail.docx", "A 63006-2025")</f>
        <v/>
      </c>
      <c r="AC53">
        <f>HYPERLINK("https://klasma.github.io/Logging_0881/tillsyn/A 63006-2025 tillsynsbegäran.docx", "A 63006-2025")</f>
        <v/>
      </c>
      <c r="AD53">
        <f>HYPERLINK("https://klasma.github.io/Logging_0881/tillsynsmail/A 63006-2025 tillsynsbegäran mail.docx", "A 63006-2025")</f>
        <v/>
      </c>
    </row>
    <row r="54" ht="15" customHeight="1">
      <c r="A54" t="inlineStr">
        <is>
          <t>A 51406-2022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44869</v>
      </c>
      <c r="E54" s="1" t="n">
        <v>46313</v>
      </c>
      <c r="F54" t="inlineStr">
        <is>
          <t>KALMAR LÄN</t>
        </is>
      </c>
      <c r="G54" t="inlineStr">
        <is>
          <t>NYBRO</t>
        </is>
      </c>
      <c r="I54" t="n">
        <v>2.6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2</v>
      </c>
      <c r="U54" t="n">
        <v>2</v>
      </c>
      <c r="V54" s="2" t="inlineStr">
        <is>
          <t>Nordfladdermus
Större brunfladdermus</t>
        </is>
      </c>
      <c r="W54">
        <f>HYPERLINK("https://klasma.github.io/Logging_0881/artfynd/A 51406-2022 artfynd.xlsx", "A 51406-2022")</f>
        <v/>
      </c>
      <c r="X54">
        <f>HYPERLINK("https://klasma.github.io/Logging_0881/kartor/A 51406-2022 karta.png", "A 51406-2022")</f>
        <v/>
      </c>
      <c r="Y54">
        <f>HYPERLINK("https://klasma.github.io/Logging_0881/kartor_geotiff/A 51406-2022 georefererad karta.tif", "A 51406-2022")</f>
        <v/>
      </c>
      <c r="AA54">
        <f>HYPERLINK("https://klasma.github.io/Logging_0881/klagomål/A 51406-2022 FSC-klagomål.docx", "A 51406-2022")</f>
        <v/>
      </c>
      <c r="AB54">
        <f>HYPERLINK("https://klasma.github.io/Logging_0881/klagomålsmail/A 51406-2022 FSC-klagomål mail.docx", "A 51406-2022")</f>
        <v/>
      </c>
      <c r="AC54">
        <f>HYPERLINK("https://klasma.github.io/Logging_0881/tillsyn/A 51406-2022 tillsynsbegäran.docx", "A 51406-2022")</f>
        <v/>
      </c>
      <c r="AD54">
        <f>HYPERLINK("https://klasma.github.io/Logging_0881/tillsynsmail/A 51406-2022 tillsynsbegäran mail.docx", "A 51406-2022")</f>
        <v/>
      </c>
    </row>
    <row r="55" ht="15" customHeight="1">
      <c r="A55" t="inlineStr">
        <is>
          <t>A 36825-2023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45154</v>
      </c>
      <c r="E55" s="1" t="n">
        <v>46313</v>
      </c>
      <c r="F55" t="inlineStr">
        <is>
          <t>KALMAR LÄN</t>
        </is>
      </c>
      <c r="G55" t="inlineStr">
        <is>
          <t>NYBRO</t>
        </is>
      </c>
      <c r="H55" t="inlineStr">
        <is>
          <t>Sveaskog</t>
        </is>
      </c>
      <c r="I55" t="n">
        <v>20.3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3</v>
      </c>
      <c r="U55" t="n">
        <v>0</v>
      </c>
      <c r="V55" s="2" t="inlineStr">
        <is>
          <t>Tjäder
Kungsfågel</t>
        </is>
      </c>
      <c r="W55">
        <f>HYPERLINK("https://klasma.github.io/Logging_0881/artfynd/A 36825-2023 artfynd.xlsx", "A 36825-2023")</f>
        <v/>
      </c>
      <c r="X55">
        <f>HYPERLINK("https://klasma.github.io/Logging_0881/kartor/A 36825-2023 karta.png", "A 36825-2023")</f>
        <v/>
      </c>
      <c r="Y55">
        <f>HYPERLINK("https://klasma.github.io/Logging_0881/kartor_geotiff/A 36825-2023 georefererad karta.tif", "A 36825-2023")</f>
        <v/>
      </c>
      <c r="AA55">
        <f>HYPERLINK("https://klasma.github.io/Logging_0881/klagomål/A 36825-2023 FSC-klagomål.docx", "A 36825-2023")</f>
        <v/>
      </c>
      <c r="AB55">
        <f>HYPERLINK("https://klasma.github.io/Logging_0881/klagomålsmail/A 36825-2023 FSC-klagomål mail.docx", "A 36825-2023")</f>
        <v/>
      </c>
      <c r="AC55">
        <f>HYPERLINK("https://klasma.github.io/Logging_0881/tillsyn/A 36825-2023 tillsynsbegäran.docx", "A 36825-2023")</f>
        <v/>
      </c>
      <c r="AD55">
        <f>HYPERLINK("https://klasma.github.io/Logging_0881/tillsynsmail/A 36825-2023 tillsynsbegäran mail.docx", "A 36825-2023")</f>
        <v/>
      </c>
      <c r="AE55">
        <f>HYPERLINK("https://klasma.github.io/Logging_0881/fåglar/A 36825-2023 prioriterade fågelarter.docx", "A 36825-2023")</f>
        <v/>
      </c>
    </row>
    <row r="56" ht="15" customHeight="1">
      <c r="A56" t="inlineStr">
        <is>
          <t>A 61771-2022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44917</v>
      </c>
      <c r="E56" s="1" t="n">
        <v>46313</v>
      </c>
      <c r="F56" t="inlineStr">
        <is>
          <t>KALMAR LÄN</t>
        </is>
      </c>
      <c r="G56" t="inlineStr">
        <is>
          <t>NYBRO</t>
        </is>
      </c>
      <c r="H56" t="inlineStr">
        <is>
          <t>Kommuner</t>
        </is>
      </c>
      <c r="I56" t="n">
        <v>10.4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2</v>
      </c>
      <c r="T56" t="n">
        <v>2</v>
      </c>
      <c r="U56" t="n">
        <v>2</v>
      </c>
      <c r="V56" s="2" t="inlineStr">
        <is>
          <t>Talltita
Kungsfågel</t>
        </is>
      </c>
      <c r="W56">
        <f>HYPERLINK("https://klasma.github.io/Logging_0881/artfynd/A 61771-2022 artfynd.xlsx", "A 61771-2022")</f>
        <v/>
      </c>
      <c r="X56">
        <f>HYPERLINK("https://klasma.github.io/Logging_0881/kartor/A 61771-2022 karta.png", "A 61771-2022")</f>
        <v/>
      </c>
      <c r="Y56">
        <f>HYPERLINK("https://klasma.github.io/Logging_0881/kartor_geotiff/A 61771-2022 georefererad karta.tif", "A 61771-2022")</f>
        <v/>
      </c>
      <c r="AA56">
        <f>HYPERLINK("https://klasma.github.io/Logging_0881/klagomål/A 61771-2022 FSC-klagomål.docx", "A 61771-2022")</f>
        <v/>
      </c>
      <c r="AB56">
        <f>HYPERLINK("https://klasma.github.io/Logging_0881/klagomålsmail/A 61771-2022 FSC-klagomål mail.docx", "A 61771-2022")</f>
        <v/>
      </c>
      <c r="AC56">
        <f>HYPERLINK("https://klasma.github.io/Logging_0881/tillsyn/A 61771-2022 tillsynsbegäran.docx", "A 61771-2022")</f>
        <v/>
      </c>
      <c r="AD56">
        <f>HYPERLINK("https://klasma.github.io/Logging_0881/tillsynsmail/A 61771-2022 tillsynsbegäran mail.docx", "A 61771-2022")</f>
        <v/>
      </c>
      <c r="AE56">
        <f>HYPERLINK("https://klasma.github.io/Logging_0881/fåglar/A 61771-2022 prioriterade fågelarter.docx", "A 61771-2022")</f>
        <v/>
      </c>
    </row>
    <row r="57" ht="15" customHeight="1">
      <c r="A57" t="inlineStr">
        <is>
          <t>A 1529-2023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44937</v>
      </c>
      <c r="E57" s="1" t="n">
        <v>46313</v>
      </c>
      <c r="F57" t="inlineStr">
        <is>
          <t>KALMAR LÄN</t>
        </is>
      </c>
      <c r="G57" t="inlineStr">
        <is>
          <t>NYBRO</t>
        </is>
      </c>
      <c r="H57" t="inlineStr">
        <is>
          <t>Sveaskog</t>
        </is>
      </c>
      <c r="I57" t="n">
        <v>4.1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2</v>
      </c>
      <c r="V57" s="2" t="inlineStr">
        <is>
          <t>Gröngöling
Trana</t>
        </is>
      </c>
      <c r="W57">
        <f>HYPERLINK("https://klasma.github.io/Logging_0881/artfynd/A 1529-2023 artfynd.xlsx", "A 1529-2023")</f>
        <v/>
      </c>
      <c r="X57">
        <f>HYPERLINK("https://klasma.github.io/Logging_0881/kartor/A 1529-2023 karta.png", "A 1529-2023")</f>
        <v/>
      </c>
      <c r="Y57">
        <f>HYPERLINK("https://klasma.github.io/Logging_0881/kartor_geotiff/A 1529-2023 georefererad karta.tif", "A 1529-2023")</f>
        <v/>
      </c>
      <c r="AA57">
        <f>HYPERLINK("https://klasma.github.io/Logging_0881/klagomål/A 1529-2023 FSC-klagomål.docx", "A 1529-2023")</f>
        <v/>
      </c>
      <c r="AB57">
        <f>HYPERLINK("https://klasma.github.io/Logging_0881/klagomålsmail/A 1529-2023 FSC-klagomål mail.docx", "A 1529-2023")</f>
        <v/>
      </c>
      <c r="AC57">
        <f>HYPERLINK("https://klasma.github.io/Logging_0881/tillsyn/A 1529-2023 tillsynsbegäran.docx", "A 1529-2023")</f>
        <v/>
      </c>
      <c r="AD57">
        <f>HYPERLINK("https://klasma.github.io/Logging_0881/tillsynsmail/A 1529-2023 tillsynsbegäran mail.docx", "A 1529-2023")</f>
        <v/>
      </c>
      <c r="AE57">
        <f>HYPERLINK("https://klasma.github.io/Logging_0881/fåglar/A 1529-2023 prioriterade fågelarter.docx", "A 1529-2023")</f>
        <v/>
      </c>
    </row>
    <row r="58" ht="15" customHeight="1">
      <c r="A58" t="inlineStr">
        <is>
          <t>A 41164-2023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45174</v>
      </c>
      <c r="E58" s="1" t="n">
        <v>46313</v>
      </c>
      <c r="F58" t="inlineStr">
        <is>
          <t>KALMAR LÄN</t>
        </is>
      </c>
      <c r="G58" t="inlineStr">
        <is>
          <t>NYBRO</t>
        </is>
      </c>
      <c r="I58" t="n">
        <v>1.2</v>
      </c>
      <c r="J58" t="n">
        <v>1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2</v>
      </c>
      <c r="T58" t="n">
        <v>2</v>
      </c>
      <c r="U58" t="n">
        <v>2</v>
      </c>
      <c r="V58" s="2" t="inlineStr">
        <is>
          <t>Duvhök
Tallticka</t>
        </is>
      </c>
      <c r="W58">
        <f>HYPERLINK("https://klasma.github.io/Logging_0881/artfynd/A 41164-2023 artfynd.xlsx", "A 41164-2023")</f>
        <v/>
      </c>
      <c r="X58">
        <f>HYPERLINK("https://klasma.github.io/Logging_0881/kartor/A 41164-2023 karta.png", "A 41164-2023")</f>
        <v/>
      </c>
      <c r="Y58">
        <f>HYPERLINK("https://klasma.github.io/Logging_0881/kartor_geotiff/A 41164-2023 georefererad karta.tif", "A 41164-2023")</f>
        <v/>
      </c>
      <c r="AA58">
        <f>HYPERLINK("https://klasma.github.io/Logging_0881/klagomål/A 41164-2023 FSC-klagomål.docx", "A 41164-2023")</f>
        <v/>
      </c>
      <c r="AB58">
        <f>HYPERLINK("https://klasma.github.io/Logging_0881/klagomålsmail/A 41164-2023 FSC-klagomål mail.docx", "A 41164-2023")</f>
        <v/>
      </c>
      <c r="AC58">
        <f>HYPERLINK("https://klasma.github.io/Logging_0881/tillsyn/A 41164-2023 tillsynsbegäran.docx", "A 41164-2023")</f>
        <v/>
      </c>
      <c r="AD58">
        <f>HYPERLINK("https://klasma.github.io/Logging_0881/tillsynsmail/A 41164-2023 tillsynsbegäran mail.docx", "A 41164-2023")</f>
        <v/>
      </c>
      <c r="AE58">
        <f>HYPERLINK("https://klasma.github.io/Logging_0881/fåglar/A 41164-2023 prioriterade fågelarter.docx", "A 41164-2023")</f>
        <v/>
      </c>
    </row>
    <row r="59" ht="15" customHeight="1">
      <c r="A59" t="inlineStr">
        <is>
          <t>A 28880-2023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45104</v>
      </c>
      <c r="E59" s="1" t="n">
        <v>46313</v>
      </c>
      <c r="F59" t="inlineStr">
        <is>
          <t>KALMAR LÄN</t>
        </is>
      </c>
      <c r="G59" t="inlineStr">
        <is>
          <t>NYBRO</t>
        </is>
      </c>
      <c r="H59" t="inlineStr">
        <is>
          <t>Sveaskog</t>
        </is>
      </c>
      <c r="I59" t="n">
        <v>1.9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0</v>
      </c>
      <c r="V59" s="2" t="inlineStr">
        <is>
          <t>Mattlummer
Nattskärra</t>
        </is>
      </c>
      <c r="W59">
        <f>HYPERLINK("https://klasma.github.io/Logging_0881/artfynd/A 28880-2023 artfynd.xlsx", "A 28880-2023")</f>
        <v/>
      </c>
      <c r="X59">
        <f>HYPERLINK("https://klasma.github.io/Logging_0881/kartor/A 28880-2023 karta.png", "A 28880-2023")</f>
        <v/>
      </c>
      <c r="Y59">
        <f>HYPERLINK("https://klasma.github.io/Logging_0881/kartor_geotiff/A 28880-2023 georefererad karta.tif", "A 28880-2023")</f>
        <v/>
      </c>
      <c r="AA59">
        <f>HYPERLINK("https://klasma.github.io/Logging_0881/klagomål/A 28880-2023 FSC-klagomål.docx", "A 28880-2023")</f>
        <v/>
      </c>
      <c r="AB59">
        <f>HYPERLINK("https://klasma.github.io/Logging_0881/klagomålsmail/A 28880-2023 FSC-klagomål mail.docx", "A 28880-2023")</f>
        <v/>
      </c>
      <c r="AC59">
        <f>HYPERLINK("https://klasma.github.io/Logging_0881/tillsyn/A 28880-2023 tillsynsbegäran.docx", "A 28880-2023")</f>
        <v/>
      </c>
      <c r="AD59">
        <f>HYPERLINK("https://klasma.github.io/Logging_0881/tillsynsmail/A 28880-2023 tillsynsbegäran mail.docx", "A 28880-2023")</f>
        <v/>
      </c>
      <c r="AE59">
        <f>HYPERLINK("https://klasma.github.io/Logging_0881/fåglar/A 28880-2023 prioriterade fågelarter.docx", "A 28880-2023")</f>
        <v/>
      </c>
    </row>
    <row r="60" ht="15" customHeight="1">
      <c r="A60" t="inlineStr">
        <is>
          <t>A 9153-2023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44980</v>
      </c>
      <c r="E60" s="1" t="n">
        <v>46313</v>
      </c>
      <c r="F60" t="inlineStr">
        <is>
          <t>KALMAR LÄN</t>
        </is>
      </c>
      <c r="G60" t="inlineStr">
        <is>
          <t>NYBRO</t>
        </is>
      </c>
      <c r="I60" t="n">
        <v>2</v>
      </c>
      <c r="J60" t="n">
        <v>2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2</v>
      </c>
      <c r="T60" t="n">
        <v>3</v>
      </c>
      <c r="U60" t="n">
        <v>3</v>
      </c>
      <c r="V60" s="2" t="inlineStr">
        <is>
          <t>Sandödla
Mindre hackspett</t>
        </is>
      </c>
      <c r="W60">
        <f>HYPERLINK("https://klasma.github.io/Logging_0881/artfynd/A 9153-2023 artfynd.xlsx", "A 9153-2023")</f>
        <v/>
      </c>
      <c r="X60">
        <f>HYPERLINK("https://klasma.github.io/Logging_0881/kartor/A 9153-2023 karta.png", "A 9153-2023")</f>
        <v/>
      </c>
      <c r="Y60">
        <f>HYPERLINK("https://klasma.github.io/Logging_0881/kartor_geotiff/A 9153-2023 georefererad karta.tif", "A 9153-2023")</f>
        <v/>
      </c>
      <c r="AA60">
        <f>HYPERLINK("https://klasma.github.io/Logging_0881/klagomål/A 9153-2023 FSC-klagomål.docx", "A 9153-2023")</f>
        <v/>
      </c>
      <c r="AB60">
        <f>HYPERLINK("https://klasma.github.io/Logging_0881/klagomålsmail/A 9153-2023 FSC-klagomål mail.docx", "A 9153-2023")</f>
        <v/>
      </c>
      <c r="AC60">
        <f>HYPERLINK("https://klasma.github.io/Logging_0881/tillsyn/A 9153-2023 tillsynsbegäran.docx", "A 9153-2023")</f>
        <v/>
      </c>
      <c r="AD60">
        <f>HYPERLINK("https://klasma.github.io/Logging_0881/tillsynsmail/A 9153-2023 tillsynsbegäran mail.docx", "A 9153-2023")</f>
        <v/>
      </c>
      <c r="AE60">
        <f>HYPERLINK("https://klasma.github.io/Logging_0881/fåglar/A 9153-2023 prioriterade fågelarter.docx", "A 9153-2023")</f>
        <v/>
      </c>
    </row>
    <row r="61" ht="15" customHeight="1">
      <c r="A61" t="inlineStr">
        <is>
          <t>A 26699-2023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45093</v>
      </c>
      <c r="E61" s="1" t="n">
        <v>46313</v>
      </c>
      <c r="F61" t="inlineStr">
        <is>
          <t>KALMAR LÄN</t>
        </is>
      </c>
      <c r="G61" t="inlineStr">
        <is>
          <t>NYBRO</t>
        </is>
      </c>
      <c r="I61" t="n">
        <v>2.1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</v>
      </c>
      <c r="T61" t="n">
        <v>2</v>
      </c>
      <c r="U61" t="n">
        <v>2</v>
      </c>
      <c r="V61" s="2" t="inlineStr">
        <is>
          <t>Grönhjon
Vågbandad barkbock</t>
        </is>
      </c>
      <c r="W61">
        <f>HYPERLINK("https://klasma.github.io/Logging_0881/artfynd/A 26699-2023 artfynd.xlsx", "A 26699-2023")</f>
        <v/>
      </c>
      <c r="X61">
        <f>HYPERLINK("https://klasma.github.io/Logging_0881/kartor/A 26699-2023 karta.png", "A 26699-2023")</f>
        <v/>
      </c>
      <c r="Y61">
        <f>HYPERLINK("https://klasma.github.io/Logging_0881/kartor_geotiff/A 26699-2023 georefererad karta.tif", "A 26699-2023")</f>
        <v/>
      </c>
      <c r="AA61">
        <f>HYPERLINK("https://klasma.github.io/Logging_0881/klagomål/A 26699-2023 FSC-klagomål.docx", "A 26699-2023")</f>
        <v/>
      </c>
      <c r="AB61">
        <f>HYPERLINK("https://klasma.github.io/Logging_0881/klagomålsmail/A 26699-2023 FSC-klagomål mail.docx", "A 26699-2023")</f>
        <v/>
      </c>
      <c r="AC61">
        <f>HYPERLINK("https://klasma.github.io/Logging_0881/tillsyn/A 26699-2023 tillsynsbegäran.docx", "A 26699-2023")</f>
        <v/>
      </c>
      <c r="AD61">
        <f>HYPERLINK("https://klasma.github.io/Logging_0881/tillsynsmail/A 26699-2023 tillsynsbegäran mail.docx", "A 26699-2023")</f>
        <v/>
      </c>
    </row>
    <row r="62" ht="15" customHeight="1">
      <c r="A62" t="inlineStr">
        <is>
          <t>A 22683-2024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45447</v>
      </c>
      <c r="E62" s="1" t="n">
        <v>46313</v>
      </c>
      <c r="F62" t="inlineStr">
        <is>
          <t>KALMAR LÄN</t>
        </is>
      </c>
      <c r="G62" t="inlineStr">
        <is>
          <t>NYBRO</t>
        </is>
      </c>
      <c r="I62" t="n">
        <v>6.7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2</v>
      </c>
      <c r="U62" t="n">
        <v>2</v>
      </c>
      <c r="V62" s="2" t="inlineStr">
        <is>
          <t>Purpurknipprot
Skogsknipprot</t>
        </is>
      </c>
      <c r="W62">
        <f>HYPERLINK("https://klasma.github.io/Logging_0881/artfynd/A 22683-2024 artfynd.xlsx", "A 22683-2024")</f>
        <v/>
      </c>
      <c r="X62">
        <f>HYPERLINK("https://klasma.github.io/Logging_0881/kartor/A 22683-2024 karta.png", "A 22683-2024")</f>
        <v/>
      </c>
      <c r="Y62">
        <f>HYPERLINK("https://klasma.github.io/Logging_0881/kartor_geotiff/A 22683-2024 georefererad karta.tif", "A 22683-2024")</f>
        <v/>
      </c>
      <c r="AA62">
        <f>HYPERLINK("https://klasma.github.io/Logging_0881/klagomål/A 22683-2024 FSC-klagomål.docx", "A 22683-2024")</f>
        <v/>
      </c>
      <c r="AB62">
        <f>HYPERLINK("https://klasma.github.io/Logging_0881/klagomålsmail/A 22683-2024 FSC-klagomål mail.docx", "A 22683-2024")</f>
        <v/>
      </c>
      <c r="AC62">
        <f>HYPERLINK("https://klasma.github.io/Logging_0881/tillsyn/A 22683-2024 tillsynsbegäran.docx", "A 22683-2024")</f>
        <v/>
      </c>
      <c r="AD62">
        <f>HYPERLINK("https://klasma.github.io/Logging_0881/tillsynsmail/A 22683-2024 tillsynsbegäran mail.docx", "A 22683-2024")</f>
        <v/>
      </c>
    </row>
    <row r="63" ht="15" customHeight="1">
      <c r="A63" t="inlineStr">
        <is>
          <t>A 28131-2025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45818</v>
      </c>
      <c r="E63" s="1" t="n">
        <v>46313</v>
      </c>
      <c r="F63" t="inlineStr">
        <is>
          <t>KALMAR LÄN</t>
        </is>
      </c>
      <c r="G63" t="inlineStr">
        <is>
          <t>NYBRO</t>
        </is>
      </c>
      <c r="I63" t="n">
        <v>1.1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2</v>
      </c>
      <c r="U63" t="n">
        <v>0</v>
      </c>
      <c r="V63" s="2" t="inlineStr">
        <is>
          <t>Blåmossa
Spillkråka</t>
        </is>
      </c>
      <c r="W63">
        <f>HYPERLINK("https://klasma.github.io/Logging_0881/artfynd/A 28131-2025 artfynd.xlsx", "A 28131-2025")</f>
        <v/>
      </c>
      <c r="X63">
        <f>HYPERLINK("https://klasma.github.io/Logging_0881/kartor/A 28131-2025 karta.png", "A 28131-2025")</f>
        <v/>
      </c>
      <c r="Y63">
        <f>HYPERLINK("https://klasma.github.io/Logging_0881/kartor_geotiff/A 28131-2025 georefererad karta.tif", "A 28131-2025")</f>
        <v/>
      </c>
      <c r="AA63">
        <f>HYPERLINK("https://klasma.github.io/Logging_0881/klagomål/A 28131-2025 FSC-klagomål.docx", "A 28131-2025")</f>
        <v/>
      </c>
      <c r="AB63">
        <f>HYPERLINK("https://klasma.github.io/Logging_0881/klagomålsmail/A 28131-2025 FSC-klagomål mail.docx", "A 28131-2025")</f>
        <v/>
      </c>
      <c r="AC63">
        <f>HYPERLINK("https://klasma.github.io/Logging_0881/tillsyn/A 28131-2025 tillsynsbegäran.docx", "A 28131-2025")</f>
        <v/>
      </c>
      <c r="AD63">
        <f>HYPERLINK("https://klasma.github.io/Logging_0881/tillsynsmail/A 28131-2025 tillsynsbegäran mail.docx", "A 28131-2025")</f>
        <v/>
      </c>
      <c r="AE63">
        <f>HYPERLINK("https://klasma.github.io/Logging_0881/fåglar/A 28131-2025 prioriterade fågelarter.docx", "A 28131-2025")</f>
        <v/>
      </c>
    </row>
    <row r="64" ht="15" customHeight="1">
      <c r="A64" t="inlineStr">
        <is>
          <t>A 35002-2025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45850</v>
      </c>
      <c r="E64" s="1" t="n">
        <v>46313</v>
      </c>
      <c r="F64" t="inlineStr">
        <is>
          <t>KALMAR LÄN</t>
        </is>
      </c>
      <c r="G64" t="inlineStr">
        <is>
          <t>NYBRO</t>
        </is>
      </c>
      <c r="I64" t="n">
        <v>1.9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2</v>
      </c>
      <c r="T64" t="n">
        <v>10</v>
      </c>
      <c r="U64" t="n">
        <v>0</v>
      </c>
      <c r="V64" s="2" t="inlineStr">
        <is>
          <t>Knärot
Blomkålssvamp</t>
        </is>
      </c>
      <c r="W64">
        <f>HYPERLINK("https://klasma.github.io/Logging_0881/artfynd/A 35002-2025 artfynd.xlsx", "A 35002-2025")</f>
        <v/>
      </c>
      <c r="X64">
        <f>HYPERLINK("https://klasma.github.io/Logging_0881/kartor/A 35002-2025 karta.png", "A 35002-2025")</f>
        <v/>
      </c>
      <c r="Y64">
        <f>HYPERLINK("https://klasma.github.io/Logging_0881/kartor_geotiff/A 35002-2025 georefererad karta.tif", "A 35002-2025")</f>
        <v/>
      </c>
      <c r="Z64">
        <f>HYPERLINK("https://klasma.github.io/Logging_0881/knärot/A 35002-2025 karta knärot.png", "A 35002-2025")</f>
        <v/>
      </c>
      <c r="AA64">
        <f>HYPERLINK("https://klasma.github.io/Logging_0881/klagomål/A 35002-2025 FSC-klagomål.docx", "A 35002-2025")</f>
        <v/>
      </c>
      <c r="AB64">
        <f>HYPERLINK("https://klasma.github.io/Logging_0881/klagomålsmail/A 35002-2025 FSC-klagomål mail.docx", "A 35002-2025")</f>
        <v/>
      </c>
      <c r="AC64">
        <f>HYPERLINK("https://klasma.github.io/Logging_0881/tillsyn/A 35002-2025 tillsynsbegäran.docx", "A 35002-2025")</f>
        <v/>
      </c>
      <c r="AD64">
        <f>HYPERLINK("https://klasma.github.io/Logging_0881/tillsynsmail/A 35002-2025 tillsynsbegäran mail.docx", "A 35002-2025")</f>
        <v/>
      </c>
    </row>
    <row r="65" ht="15" customHeight="1">
      <c r="A65" t="inlineStr">
        <is>
          <t>S 5868-2022</t>
        </is>
      </c>
      <c r="B65" t="inlineStr">
        <is>
          <t>samrådsanmälan</t>
        </is>
      </c>
      <c r="C65" t="inlineStr">
        <is>
          <t>Annan skogsbruksåtgärd</t>
        </is>
      </c>
      <c r="D65" s="1" t="n">
        <v>44853</v>
      </c>
      <c r="E65" s="1" t="n">
        <v>46313</v>
      </c>
      <c r="F65" t="inlineStr">
        <is>
          <t>KALMAR LÄN</t>
        </is>
      </c>
      <c r="G65" t="inlineStr">
        <is>
          <t>NYBRO</t>
        </is>
      </c>
      <c r="I65" t="n">
        <v>19.2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2</v>
      </c>
      <c r="T65" t="n">
        <v>2</v>
      </c>
      <c r="U65" t="n">
        <v>0</v>
      </c>
      <c r="V65" s="2" t="inlineStr">
        <is>
          <t>Almlav
Fällmossa</t>
        </is>
      </c>
      <c r="W65">
        <f>HYPERLINK("https://klasma.github.io/Logging_0881/artfynd/S 5868-2022 artfynd.xlsx", "S 5868-2022")</f>
        <v/>
      </c>
      <c r="X65">
        <f>HYPERLINK("https://klasma.github.io/Logging_0881/kartor/S 5868-2022 karta.png", "S 5868-2022")</f>
        <v/>
      </c>
      <c r="Y65">
        <f>HYPERLINK("https://klasma.github.io/Logging_0881/kartor_geotiff/S 5868-2022 georefererad karta.tif", "S 5868-2022")</f>
        <v/>
      </c>
      <c r="AA65">
        <f>HYPERLINK("https://klasma.github.io/Logging_0881/klagomål/S 5868-2022 FSC-klagomål.docx", "S 5868-2022")</f>
        <v/>
      </c>
      <c r="AB65">
        <f>HYPERLINK("https://klasma.github.io/Logging_0881/klagomålsmail/S 5868-2022 FSC-klagomål mail.docx", "S 5868-2022")</f>
        <v/>
      </c>
      <c r="AC65">
        <f>HYPERLINK("https://klasma.github.io/Logging_0881/tillsyn/S 5868-2022 tillsynsbegäran.docx", "S 5868-2022")</f>
        <v/>
      </c>
      <c r="AD65">
        <f>HYPERLINK("https://klasma.github.io/Logging_0881/tillsynsmail/S 5868-2022 tillsynsbegäran mail.docx", "S 5868-2022")</f>
        <v/>
      </c>
    </row>
    <row r="66" ht="15" customHeight="1">
      <c r="A66" t="inlineStr">
        <is>
          <t>S 418-2024</t>
        </is>
      </c>
      <c r="B66" t="inlineStr">
        <is>
          <t>samrådsanmälan</t>
        </is>
      </c>
      <c r="C66" t="inlineStr">
        <is>
          <t>Annan skogsbruksåtgärd</t>
        </is>
      </c>
      <c r="D66" s="1" t="n">
        <v>45335</v>
      </c>
      <c r="E66" s="1" t="n">
        <v>46313</v>
      </c>
      <c r="F66" t="inlineStr">
        <is>
          <t>KALMAR LÄN</t>
        </is>
      </c>
      <c r="G66" t="inlineStr">
        <is>
          <t>NYBRO</t>
        </is>
      </c>
      <c r="I66" t="n">
        <v>9.199999999999999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2</v>
      </c>
      <c r="T66" t="n">
        <v>5</v>
      </c>
      <c r="U66" t="n">
        <v>1</v>
      </c>
      <c r="V66" s="2" t="inlineStr">
        <is>
          <t>Ask
Lopplummer (aggregat)</t>
        </is>
      </c>
      <c r="W66">
        <f>HYPERLINK("https://klasma.github.io/Logging_0881/artfynd/S 418-2024 artfynd.xlsx", "S 418-2024")</f>
        <v/>
      </c>
      <c r="X66">
        <f>HYPERLINK("https://klasma.github.io/Logging_0881/kartor/S 418-2024 karta.png", "S 418-2024")</f>
        <v/>
      </c>
      <c r="Y66">
        <f>HYPERLINK("https://klasma.github.io/Logging_0881/kartor_geotiff/S 418-2024 georefererad karta.tif", "S 418-2024")</f>
        <v/>
      </c>
      <c r="AA66">
        <f>HYPERLINK("https://klasma.github.io/Logging_0881/klagomål/S 418-2024 FSC-klagomål.docx", "S 418-2024")</f>
        <v/>
      </c>
      <c r="AB66">
        <f>HYPERLINK("https://klasma.github.io/Logging_0881/klagomålsmail/S 418-2024 FSC-klagomål mail.docx", "S 418-2024")</f>
        <v/>
      </c>
      <c r="AC66">
        <f>HYPERLINK("https://klasma.github.io/Logging_0881/tillsyn/S 418-2024 tillsynsbegäran.docx", "S 418-2024")</f>
        <v/>
      </c>
      <c r="AD66">
        <f>HYPERLINK("https://klasma.github.io/Logging_0881/tillsynsmail/S 418-2024 tillsynsbegäran mail.docx", "S 418-2024")</f>
        <v/>
      </c>
    </row>
    <row r="67" ht="15" customHeight="1">
      <c r="A67" t="inlineStr">
        <is>
          <t>S 659-2022</t>
        </is>
      </c>
      <c r="B67" t="inlineStr">
        <is>
          <t>samrådsanmälan</t>
        </is>
      </c>
      <c r="C67" t="inlineStr">
        <is>
          <t>Askåterföring</t>
        </is>
      </c>
      <c r="D67" s="1" t="n">
        <v>44595</v>
      </c>
      <c r="E67" s="1" t="n">
        <v>46313</v>
      </c>
      <c r="F67" t="inlineStr">
        <is>
          <t>KALMAR LÄN</t>
        </is>
      </c>
      <c r="G67" t="inlineStr">
        <is>
          <t>NYBRO</t>
        </is>
      </c>
      <c r="I67" t="n">
        <v>22.5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2</v>
      </c>
      <c r="U67" t="n">
        <v>2</v>
      </c>
      <c r="V67" s="2" t="inlineStr">
        <is>
          <t>Svart skogssnigel
Ängskovall</t>
        </is>
      </c>
      <c r="W67">
        <f>HYPERLINK("https://klasma.github.io/Logging_0881/artfynd/S 659-2022 artfynd.xlsx", "S 659-2022")</f>
        <v/>
      </c>
      <c r="X67">
        <f>HYPERLINK("https://klasma.github.io/Logging_0881/kartor/S 659-2022 karta.png", "S 659-2022")</f>
        <v/>
      </c>
      <c r="Y67">
        <f>HYPERLINK("https://klasma.github.io/Logging_0881/kartor_geotiff/S 659-2022 georefererad karta.tif", "S 659-2022")</f>
        <v/>
      </c>
      <c r="AA67">
        <f>HYPERLINK("https://klasma.github.io/Logging_0881/klagomål/S 659-2022 FSC-klagomål.docx", "S 659-2022")</f>
        <v/>
      </c>
      <c r="AB67">
        <f>HYPERLINK("https://klasma.github.io/Logging_0881/klagomålsmail/S 659-2022 FSC-klagomål mail.docx", "S 659-2022")</f>
        <v/>
      </c>
      <c r="AC67">
        <f>HYPERLINK("https://klasma.github.io/Logging_0881/tillsyn/S 659-2022 tillsynsbegäran.docx", "S 659-2022")</f>
        <v/>
      </c>
      <c r="AD67">
        <f>HYPERLINK("https://klasma.github.io/Logging_0881/tillsynsmail/S 659-2022 tillsynsbegäran mail.docx", "S 659-2022")</f>
        <v/>
      </c>
    </row>
    <row r="68" ht="15" customHeight="1">
      <c r="A68" t="inlineStr">
        <is>
          <t>S 988-2022</t>
        </is>
      </c>
      <c r="B68" t="inlineStr">
        <is>
          <t>samrådsanmälan</t>
        </is>
      </c>
      <c r="C68" t="inlineStr">
        <is>
          <t>Askåterföring</t>
        </is>
      </c>
      <c r="D68" s="1" t="n">
        <v>44607</v>
      </c>
      <c r="E68" s="1" t="n">
        <v>46313</v>
      </c>
      <c r="F68" t="inlineStr">
        <is>
          <t>KALMAR LÄN</t>
        </is>
      </c>
      <c r="G68" t="inlineStr">
        <is>
          <t>NYBRO</t>
        </is>
      </c>
      <c r="H68" t="inlineStr">
        <is>
          <t>Sveaskog</t>
        </is>
      </c>
      <c r="I68" t="n">
        <v>488.6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2</v>
      </c>
      <c r="T68" t="n">
        <v>4</v>
      </c>
      <c r="U68" t="n">
        <v>0</v>
      </c>
      <c r="V68" s="2" t="inlineStr">
        <is>
          <t>Cryptophagus cylindrellus
Kolsvart trädbasbagge</t>
        </is>
      </c>
      <c r="W68">
        <f>HYPERLINK("https://klasma.github.io/Logging_0881/artfynd/S 988-2022 artfynd.xlsx", "S 988-2022")</f>
        <v/>
      </c>
      <c r="X68">
        <f>HYPERLINK("https://klasma.github.io/Logging_0881/kartor/S 988-2022 karta.png", "S 988-2022")</f>
        <v/>
      </c>
      <c r="Y68">
        <f>HYPERLINK("https://klasma.github.io/Logging_0881/kartor_geotiff/S 988-2022 georefererad karta.tif", "S 988-2022")</f>
        <v/>
      </c>
      <c r="AA68">
        <f>HYPERLINK("https://klasma.github.io/Logging_0881/klagomål/S 988-2022 FSC-klagomål.docx", "S 988-2022")</f>
        <v/>
      </c>
      <c r="AB68">
        <f>HYPERLINK("https://klasma.github.io/Logging_0881/klagomålsmail/S 988-2022 FSC-klagomål mail.docx", "S 988-2022")</f>
        <v/>
      </c>
      <c r="AC68">
        <f>HYPERLINK("https://klasma.github.io/Logging_0881/tillsyn/S 988-2022 tillsynsbegäran.docx", "S 988-2022")</f>
        <v/>
      </c>
      <c r="AD68">
        <f>HYPERLINK("https://klasma.github.io/Logging_0881/tillsynsmail/S 988-2022 tillsynsbegäran mail.docx", "S 988-2022")</f>
        <v/>
      </c>
    </row>
    <row r="69" ht="15" customHeight="1">
      <c r="A69" t="inlineStr">
        <is>
          <t>S 5958-2022</t>
        </is>
      </c>
      <c r="B69" t="inlineStr">
        <is>
          <t>samrådsanmälan</t>
        </is>
      </c>
      <c r="C69" t="inlineStr">
        <is>
          <t>Annan skogsbruksåtgärd</t>
        </is>
      </c>
      <c r="D69" s="1" t="n">
        <v>44860</v>
      </c>
      <c r="E69" s="1" t="n">
        <v>46313</v>
      </c>
      <c r="F69" t="inlineStr">
        <is>
          <t>KALMAR LÄN</t>
        </is>
      </c>
      <c r="G69" t="inlineStr">
        <is>
          <t>NYBRO</t>
        </is>
      </c>
      <c r="I69" t="n">
        <v>2.6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2</v>
      </c>
      <c r="T69" t="n">
        <v>9</v>
      </c>
      <c r="U69" t="n">
        <v>0</v>
      </c>
      <c r="V69" s="2" t="inlineStr">
        <is>
          <t>Ask
Huggorm</t>
        </is>
      </c>
      <c r="W69">
        <f>HYPERLINK("https://klasma.github.io/Logging_0881/artfynd/S 5958-2022 artfynd.xlsx", "S 5958-2022")</f>
        <v/>
      </c>
      <c r="X69">
        <f>HYPERLINK("https://klasma.github.io/Logging_0881/kartor/S 5958-2022 karta.png", "S 5958-2022")</f>
        <v/>
      </c>
      <c r="Y69">
        <f>HYPERLINK("https://klasma.github.io/Logging_0881/kartor_geotiff/S 5958-2022 georefererad karta.tif", "S 5958-2022")</f>
        <v/>
      </c>
      <c r="AA69">
        <f>HYPERLINK("https://klasma.github.io/Logging_0881/klagomål/S 5958-2022 FSC-klagomål.docx", "S 5958-2022")</f>
        <v/>
      </c>
      <c r="AB69">
        <f>HYPERLINK("https://klasma.github.io/Logging_0881/klagomålsmail/S 5958-2022 FSC-klagomål mail.docx", "S 5958-2022")</f>
        <v/>
      </c>
      <c r="AC69">
        <f>HYPERLINK("https://klasma.github.io/Logging_0881/tillsyn/S 5958-2022 tillsynsbegäran.docx", "S 5958-2022")</f>
        <v/>
      </c>
      <c r="AD69">
        <f>HYPERLINK("https://klasma.github.io/Logging_0881/tillsynsmail/S 5958-2022 tillsynsbegäran mail.docx", "S 5958-2022")</f>
        <v/>
      </c>
    </row>
    <row r="70" ht="15" customHeight="1">
      <c r="A70" t="inlineStr">
        <is>
          <t>S 1776-2025</t>
        </is>
      </c>
      <c r="B70" t="inlineStr">
        <is>
          <t>samrådsanmälan</t>
        </is>
      </c>
      <c r="C70" t="inlineStr">
        <is>
          <t>Askåterföring</t>
        </is>
      </c>
      <c r="D70" s="1" t="n">
        <v>45813</v>
      </c>
      <c r="E70" s="1" t="n">
        <v>46313</v>
      </c>
      <c r="F70" t="inlineStr">
        <is>
          <t>KALMAR LÄN</t>
        </is>
      </c>
      <c r="G70" t="inlineStr">
        <is>
          <t>NYBRO</t>
        </is>
      </c>
      <c r="I70" t="n">
        <v>42.7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2</v>
      </c>
      <c r="U70" t="n">
        <v>0</v>
      </c>
      <c r="V70" s="2" t="inlineStr">
        <is>
          <t>Loppstarr
Blåmossa</t>
        </is>
      </c>
      <c r="W70">
        <f>HYPERLINK("https://klasma.github.io/Logging_0881/artfynd/S 1776-2025 artfynd.xlsx", "S 1776-2025")</f>
        <v/>
      </c>
      <c r="X70">
        <f>HYPERLINK("https://klasma.github.io/Logging_0881/kartor/S 1776-2025 karta.png", "S 1776-2025")</f>
        <v/>
      </c>
      <c r="Y70">
        <f>HYPERLINK("https://klasma.github.io/Logging_0881/kartor_geotiff/S 1776-2025 georefererad karta.tif", "S 1776-2025")</f>
        <v/>
      </c>
      <c r="AA70">
        <f>HYPERLINK("https://klasma.github.io/Logging_0881/klagomål/S 1776-2025 FSC-klagomål.docx", "S 1776-2025")</f>
        <v/>
      </c>
      <c r="AB70">
        <f>HYPERLINK("https://klasma.github.io/Logging_0881/klagomålsmail/S 1776-2025 FSC-klagomål mail.docx", "S 1776-2025")</f>
        <v/>
      </c>
      <c r="AC70">
        <f>HYPERLINK("https://klasma.github.io/Logging_0881/tillsyn/S 1776-2025 tillsynsbegäran.docx", "S 1776-2025")</f>
        <v/>
      </c>
      <c r="AD70">
        <f>HYPERLINK("https://klasma.github.io/Logging_0881/tillsynsmail/S 1776-2025 tillsynsbegäran mail.docx", "S 1776-2025")</f>
        <v/>
      </c>
    </row>
    <row r="71" ht="15" customHeight="1">
      <c r="A71" t="inlineStr">
        <is>
          <t>S 2662-2026</t>
        </is>
      </c>
      <c r="B71" t="inlineStr">
        <is>
          <t>samrådsanmälan</t>
        </is>
      </c>
      <c r="C71" t="inlineStr">
        <is>
          <t>Askåterföring</t>
        </is>
      </c>
      <c r="D71" s="1" t="n">
        <v>46308</v>
      </c>
      <c r="E71" s="1" t="n">
        <v>46313</v>
      </c>
      <c r="F71" t="inlineStr">
        <is>
          <t>KALMAR LÄN</t>
        </is>
      </c>
      <c r="G71" t="inlineStr">
        <is>
          <t>NYBRO</t>
        </is>
      </c>
      <c r="I71" t="n">
        <v>7.2</v>
      </c>
      <c r="J71" t="n">
        <v>2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2</v>
      </c>
      <c r="U71" t="n">
        <v>0</v>
      </c>
      <c r="V71" s="2" t="inlineStr">
        <is>
          <t>Purpurknipprot
Skogsknipprot</t>
        </is>
      </c>
      <c r="W71">
        <f>HYPERLINK("https://klasma.github.io/Logging_0881/artfynd/S 2662-2026 artfynd.xlsx", "S 2662-2026")</f>
        <v/>
      </c>
      <c r="X71">
        <f>HYPERLINK("https://klasma.github.io/Logging_0881/kartor/S 2662-2026 karta.png", "S 2662-2026")</f>
        <v/>
      </c>
      <c r="Y71">
        <f>HYPERLINK("https://klasma.github.io/Logging_0881/kartor_geotiff/S 2662-2026 georefererad karta.tif", "S 2662-2026")</f>
        <v/>
      </c>
      <c r="AA71">
        <f>HYPERLINK("https://klasma.github.io/Logging_0881/klagomål/S 2662-2026 FSC-klagomål.docx", "S 2662-2026")</f>
        <v/>
      </c>
      <c r="AB71">
        <f>HYPERLINK("https://klasma.github.io/Logging_0881/klagomålsmail/S 2662-2026 FSC-klagomål mail.docx", "S 2662-2026")</f>
        <v/>
      </c>
      <c r="AC71">
        <f>HYPERLINK("https://klasma.github.io/Logging_0881/tillsyn/S 2662-2026 tillsynsbegäran.docx", "S 2662-2026")</f>
        <v/>
      </c>
      <c r="AD71">
        <f>HYPERLINK("https://klasma.github.io/Logging_0881/tillsynsmail/S 2662-2026 tillsynsbegäran mail.docx", "S 2662-2026")</f>
        <v/>
      </c>
    </row>
    <row r="72" ht="15" customHeight="1">
      <c r="A72" t="inlineStr">
        <is>
          <t>A 8444-2022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44612</v>
      </c>
      <c r="E72" s="1" t="n">
        <v>46313</v>
      </c>
      <c r="F72" t="inlineStr">
        <is>
          <t>KALMAR LÄN</t>
        </is>
      </c>
      <c r="G72" t="inlineStr">
        <is>
          <t>NYBRO</t>
        </is>
      </c>
      <c r="I72" t="n">
        <v>1.9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Tjäder</t>
        </is>
      </c>
      <c r="W72">
        <f>HYPERLINK("https://klasma.github.io/Logging_0881/artfynd/A 8444-2022 artfynd.xlsx", "A 8444-2022")</f>
        <v/>
      </c>
      <c r="X72">
        <f>HYPERLINK("https://klasma.github.io/Logging_0881/kartor/A 8444-2022 karta.png", "A 8444-2022")</f>
        <v/>
      </c>
      <c r="Y72">
        <f>HYPERLINK("https://klasma.github.io/Logging_0881/kartor_geotiff/A 8444-2022 georefererad karta.tif", "A 8444-2022")</f>
        <v/>
      </c>
      <c r="AA72">
        <f>HYPERLINK("https://klasma.github.io/Logging_0881/klagomål/A 8444-2022 FSC-klagomål.docx", "A 8444-2022")</f>
        <v/>
      </c>
      <c r="AB72">
        <f>HYPERLINK("https://klasma.github.io/Logging_0881/klagomålsmail/A 8444-2022 FSC-klagomål mail.docx", "A 8444-2022")</f>
        <v/>
      </c>
      <c r="AC72">
        <f>HYPERLINK("https://klasma.github.io/Logging_0881/tillsyn/A 8444-2022 tillsynsbegäran.docx", "A 8444-2022")</f>
        <v/>
      </c>
      <c r="AD72">
        <f>HYPERLINK("https://klasma.github.io/Logging_0881/tillsynsmail/A 8444-2022 tillsynsbegäran mail.docx", "A 8444-2022")</f>
        <v/>
      </c>
      <c r="AE72">
        <f>HYPERLINK("https://klasma.github.io/Logging_0881/fåglar/A 8444-2022 prioriterade fågelarter.docx", "A 8444-2022")</f>
        <v/>
      </c>
    </row>
    <row r="73" ht="15" customHeight="1">
      <c r="A73" t="inlineStr">
        <is>
          <t>A 6849-2022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44602</v>
      </c>
      <c r="E73" s="1" t="n">
        <v>46313</v>
      </c>
      <c r="F73" t="inlineStr">
        <is>
          <t>KALMAR LÄN</t>
        </is>
      </c>
      <c r="G73" t="inlineStr">
        <is>
          <t>NYBRO</t>
        </is>
      </c>
      <c r="I73" t="n">
        <v>1.8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Vågbandad barkbock</t>
        </is>
      </c>
      <c r="W73">
        <f>HYPERLINK("https://klasma.github.io/Logging_0881/artfynd/A 6849-2022 artfynd.xlsx", "A 6849-2022")</f>
        <v/>
      </c>
      <c r="X73">
        <f>HYPERLINK("https://klasma.github.io/Logging_0881/kartor/A 6849-2022 karta.png", "A 6849-2022")</f>
        <v/>
      </c>
      <c r="Y73">
        <f>HYPERLINK("https://klasma.github.io/Logging_0881/kartor_geotiff/A 6849-2022 georefererad karta.tif", "A 6849-2022")</f>
        <v/>
      </c>
      <c r="AA73">
        <f>HYPERLINK("https://klasma.github.io/Logging_0881/klagomål/A 6849-2022 FSC-klagomål.docx", "A 6849-2022")</f>
        <v/>
      </c>
      <c r="AB73">
        <f>HYPERLINK("https://klasma.github.io/Logging_0881/klagomålsmail/A 6849-2022 FSC-klagomål mail.docx", "A 6849-2022")</f>
        <v/>
      </c>
      <c r="AC73">
        <f>HYPERLINK("https://klasma.github.io/Logging_0881/tillsyn/A 6849-2022 tillsynsbegäran.docx", "A 6849-2022")</f>
        <v/>
      </c>
      <c r="AD73">
        <f>HYPERLINK("https://klasma.github.io/Logging_0881/tillsynsmail/A 6849-2022 tillsynsbegäran mail.docx", "A 6849-2022")</f>
        <v/>
      </c>
    </row>
    <row r="74" ht="15" customHeight="1">
      <c r="A74" t="inlineStr">
        <is>
          <t>A 48980-2024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45594</v>
      </c>
      <c r="E74" s="1" t="n">
        <v>46313</v>
      </c>
      <c r="F74" t="inlineStr">
        <is>
          <t>KALMAR LÄN</t>
        </is>
      </c>
      <c r="G74" t="inlineStr">
        <is>
          <t>NYBRO</t>
        </is>
      </c>
      <c r="I74" t="n">
        <v>41.9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s="2" t="inlineStr">
        <is>
          <t>Hjärtstilla</t>
        </is>
      </c>
      <c r="W74">
        <f>HYPERLINK("https://klasma.github.io/Logging_0881/artfynd/A 48980-2024 artfynd.xlsx", "A 48980-2024")</f>
        <v/>
      </c>
      <c r="X74">
        <f>HYPERLINK("https://klasma.github.io/Logging_0881/kartor/A 48980-2024 karta.png", "A 48980-2024")</f>
        <v/>
      </c>
      <c r="Y74">
        <f>HYPERLINK("https://klasma.github.io/Logging_0881/kartor_geotiff/A 48980-2024 georefererad karta.tif", "A 48980-2024")</f>
        <v/>
      </c>
      <c r="AA74">
        <f>HYPERLINK("https://klasma.github.io/Logging_0881/klagomål/A 48980-2024 FSC-klagomål.docx", "A 48980-2024")</f>
        <v/>
      </c>
      <c r="AB74">
        <f>HYPERLINK("https://klasma.github.io/Logging_0881/klagomålsmail/A 48980-2024 FSC-klagomål mail.docx", "A 48980-2024")</f>
        <v/>
      </c>
      <c r="AC74">
        <f>HYPERLINK("https://klasma.github.io/Logging_0881/tillsyn/A 48980-2024 tillsynsbegäran.docx", "A 48980-2024")</f>
        <v/>
      </c>
      <c r="AD74">
        <f>HYPERLINK("https://klasma.github.io/Logging_0881/tillsynsmail/A 48980-2024 tillsynsbegäran mail.docx", "A 48980-2024")</f>
        <v/>
      </c>
    </row>
    <row r="75" ht="15" customHeight="1">
      <c r="A75" t="inlineStr">
        <is>
          <t>A 6676-2023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44966</v>
      </c>
      <c r="E75" s="1" t="n">
        <v>46313</v>
      </c>
      <c r="F75" t="inlineStr">
        <is>
          <t>KALMAR LÄN</t>
        </is>
      </c>
      <c r="G75" t="inlineStr">
        <is>
          <t>NYBRO</t>
        </is>
      </c>
      <c r="I75" t="n">
        <v>0.7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s="2" t="inlineStr">
        <is>
          <t>Etternässla</t>
        </is>
      </c>
      <c r="W75">
        <f>HYPERLINK("https://klasma.github.io/Logging_0881/artfynd/A 6676-2023 artfynd.xlsx", "A 6676-2023")</f>
        <v/>
      </c>
      <c r="X75">
        <f>HYPERLINK("https://klasma.github.io/Logging_0881/kartor/A 6676-2023 karta.png", "A 6676-2023")</f>
        <v/>
      </c>
      <c r="Y75">
        <f>HYPERLINK("https://klasma.github.io/Logging_0881/kartor_geotiff/A 6676-2023 georefererad karta.tif", "A 6676-2023")</f>
        <v/>
      </c>
      <c r="AA75">
        <f>HYPERLINK("https://klasma.github.io/Logging_0881/klagomål/A 6676-2023 FSC-klagomål.docx", "A 6676-2023")</f>
        <v/>
      </c>
      <c r="AB75">
        <f>HYPERLINK("https://klasma.github.io/Logging_0881/klagomålsmail/A 6676-2023 FSC-klagomål mail.docx", "A 6676-2023")</f>
        <v/>
      </c>
      <c r="AC75">
        <f>HYPERLINK("https://klasma.github.io/Logging_0881/tillsyn/A 6676-2023 tillsynsbegäran.docx", "A 6676-2023")</f>
        <v/>
      </c>
      <c r="AD75">
        <f>HYPERLINK("https://klasma.github.io/Logging_0881/tillsynsmail/A 6676-2023 tillsynsbegäran mail.docx", "A 6676-2023")</f>
        <v/>
      </c>
    </row>
    <row r="76" ht="15" customHeight="1">
      <c r="A76" t="inlineStr">
        <is>
          <t>A 30510-2023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45111</v>
      </c>
      <c r="E76" s="1" t="n">
        <v>46313</v>
      </c>
      <c r="F76" t="inlineStr">
        <is>
          <t>KALMAR LÄN</t>
        </is>
      </c>
      <c r="G76" t="inlineStr">
        <is>
          <t>NYBRO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s="2" t="inlineStr">
        <is>
          <t>Tjäder</t>
        </is>
      </c>
      <c r="W76">
        <f>HYPERLINK("https://klasma.github.io/Logging_0881/artfynd/A 30510-2023 artfynd.xlsx", "A 30510-2023")</f>
        <v/>
      </c>
      <c r="X76">
        <f>HYPERLINK("https://klasma.github.io/Logging_0881/kartor/A 30510-2023 karta.png", "A 30510-2023")</f>
        <v/>
      </c>
      <c r="Y76">
        <f>HYPERLINK("https://klasma.github.io/Logging_0881/kartor_geotiff/A 30510-2023 georefererad karta.tif", "A 30510-2023")</f>
        <v/>
      </c>
      <c r="AA76">
        <f>HYPERLINK("https://klasma.github.io/Logging_0881/klagomål/A 30510-2023 FSC-klagomål.docx", "A 30510-2023")</f>
        <v/>
      </c>
      <c r="AB76">
        <f>HYPERLINK("https://klasma.github.io/Logging_0881/klagomålsmail/A 30510-2023 FSC-klagomål mail.docx", "A 30510-2023")</f>
        <v/>
      </c>
      <c r="AC76">
        <f>HYPERLINK("https://klasma.github.io/Logging_0881/tillsyn/A 30510-2023 tillsynsbegäran.docx", "A 30510-2023")</f>
        <v/>
      </c>
      <c r="AD76">
        <f>HYPERLINK("https://klasma.github.io/Logging_0881/tillsynsmail/A 30510-2023 tillsynsbegäran mail.docx", "A 30510-2023")</f>
        <v/>
      </c>
      <c r="AE76">
        <f>HYPERLINK("https://klasma.github.io/Logging_0881/fåglar/A 30510-2023 prioriterade fågelarter.docx", "A 30510-2023")</f>
        <v/>
      </c>
    </row>
    <row r="77" ht="15" customHeight="1">
      <c r="A77" t="inlineStr">
        <is>
          <t>A 61790-2022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44917</v>
      </c>
      <c r="E77" s="1" t="n">
        <v>46313</v>
      </c>
      <c r="F77" t="inlineStr">
        <is>
          <t>KALMAR LÄN</t>
        </is>
      </c>
      <c r="G77" t="inlineStr">
        <is>
          <t>NYBRO</t>
        </is>
      </c>
      <c r="H77" t="inlineStr">
        <is>
          <t>Kommuner</t>
        </is>
      </c>
      <c r="I77" t="n">
        <v>3.7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Grönpyrola</t>
        </is>
      </c>
      <c r="W77">
        <f>HYPERLINK("https://klasma.github.io/Logging_0881/artfynd/A 61790-2022 artfynd.xlsx", "A 61790-2022")</f>
        <v/>
      </c>
      <c r="X77">
        <f>HYPERLINK("https://klasma.github.io/Logging_0881/kartor/A 61790-2022 karta.png", "A 61790-2022")</f>
        <v/>
      </c>
      <c r="Y77">
        <f>HYPERLINK("https://klasma.github.io/Logging_0881/kartor_geotiff/A 61790-2022 georefererad karta.tif", "A 61790-2022")</f>
        <v/>
      </c>
      <c r="AA77">
        <f>HYPERLINK("https://klasma.github.io/Logging_0881/klagomål/A 61790-2022 FSC-klagomål.docx", "A 61790-2022")</f>
        <v/>
      </c>
      <c r="AB77">
        <f>HYPERLINK("https://klasma.github.io/Logging_0881/klagomålsmail/A 61790-2022 FSC-klagomål mail.docx", "A 61790-2022")</f>
        <v/>
      </c>
      <c r="AC77">
        <f>HYPERLINK("https://klasma.github.io/Logging_0881/tillsyn/A 61790-2022 tillsynsbegäran.docx", "A 61790-2022")</f>
        <v/>
      </c>
      <c r="AD77">
        <f>HYPERLINK("https://klasma.github.io/Logging_0881/tillsynsmail/A 61790-2022 tillsynsbegäran mail.docx", "A 61790-2022")</f>
        <v/>
      </c>
    </row>
    <row r="78" ht="15" customHeight="1">
      <c r="A78" t="inlineStr">
        <is>
          <t>A 3726-2023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44951</v>
      </c>
      <c r="E78" s="1" t="n">
        <v>46313</v>
      </c>
      <c r="F78" t="inlineStr">
        <is>
          <t>KALMAR LÄN</t>
        </is>
      </c>
      <c r="G78" t="inlineStr">
        <is>
          <t>NYBRO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s="2" t="inlineStr">
        <is>
          <t>Ask</t>
        </is>
      </c>
      <c r="W78">
        <f>HYPERLINK("https://klasma.github.io/Logging_0881/artfynd/A 3726-2023 artfynd.xlsx", "A 3726-2023")</f>
        <v/>
      </c>
      <c r="X78">
        <f>HYPERLINK("https://klasma.github.io/Logging_0881/kartor/A 3726-2023 karta.png", "A 3726-2023")</f>
        <v/>
      </c>
      <c r="Y78">
        <f>HYPERLINK("https://klasma.github.io/Logging_0881/kartor_geotiff/A 3726-2023 georefererad karta.tif", "A 3726-2023")</f>
        <v/>
      </c>
      <c r="AA78">
        <f>HYPERLINK("https://klasma.github.io/Logging_0881/klagomål/A 3726-2023 FSC-klagomål.docx", "A 3726-2023")</f>
        <v/>
      </c>
      <c r="AB78">
        <f>HYPERLINK("https://klasma.github.io/Logging_0881/klagomålsmail/A 3726-2023 FSC-klagomål mail.docx", "A 3726-2023")</f>
        <v/>
      </c>
      <c r="AC78">
        <f>HYPERLINK("https://klasma.github.io/Logging_0881/tillsyn/A 3726-2023 tillsynsbegäran.docx", "A 3726-2023")</f>
        <v/>
      </c>
      <c r="AD78">
        <f>HYPERLINK("https://klasma.github.io/Logging_0881/tillsynsmail/A 3726-2023 tillsynsbegäran mail.docx", "A 3726-2023")</f>
        <v/>
      </c>
    </row>
    <row r="79" ht="15" customHeight="1">
      <c r="A79" t="inlineStr">
        <is>
          <t>A 64315-2023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45279</v>
      </c>
      <c r="E79" s="1" t="n">
        <v>46313</v>
      </c>
      <c r="F79" t="inlineStr">
        <is>
          <t>KALMAR LÄN</t>
        </is>
      </c>
      <c r="G79" t="inlineStr">
        <is>
          <t>NYBRO</t>
        </is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s="2" t="inlineStr">
        <is>
          <t>Ask</t>
        </is>
      </c>
      <c r="W79">
        <f>HYPERLINK("https://klasma.github.io/Logging_0881/artfynd/A 64315-2023 artfynd.xlsx", "A 64315-2023")</f>
        <v/>
      </c>
      <c r="X79">
        <f>HYPERLINK("https://klasma.github.io/Logging_0881/kartor/A 64315-2023 karta.png", "A 64315-2023")</f>
        <v/>
      </c>
      <c r="Y79">
        <f>HYPERLINK("https://klasma.github.io/Logging_0881/kartor_geotiff/A 64315-2023 georefererad karta.tif", "A 64315-2023")</f>
        <v/>
      </c>
      <c r="AA79">
        <f>HYPERLINK("https://klasma.github.io/Logging_0881/klagomål/A 64315-2023 FSC-klagomål.docx", "A 64315-2023")</f>
        <v/>
      </c>
      <c r="AB79">
        <f>HYPERLINK("https://klasma.github.io/Logging_0881/klagomålsmail/A 64315-2023 FSC-klagomål mail.docx", "A 64315-2023")</f>
        <v/>
      </c>
      <c r="AC79">
        <f>HYPERLINK("https://klasma.github.io/Logging_0881/tillsyn/A 64315-2023 tillsynsbegäran.docx", "A 64315-2023")</f>
        <v/>
      </c>
      <c r="AD79">
        <f>HYPERLINK("https://klasma.github.io/Logging_0881/tillsynsmail/A 64315-2023 tillsynsbegäran mail.docx", "A 64315-2023")</f>
        <v/>
      </c>
    </row>
    <row r="80" ht="15" customHeight="1">
      <c r="A80" t="inlineStr">
        <is>
          <t>A 27346-2023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45096</v>
      </c>
      <c r="E80" s="1" t="n">
        <v>46313</v>
      </c>
      <c r="F80" t="inlineStr">
        <is>
          <t>KALMAR LÄN</t>
        </is>
      </c>
      <c r="G80" t="inlineStr">
        <is>
          <t>NYBRO</t>
        </is>
      </c>
      <c r="I80" t="n">
        <v>1.2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Blanksvart trämyra</t>
        </is>
      </c>
      <c r="W80">
        <f>HYPERLINK("https://klasma.github.io/Logging_0881/artfynd/A 27346-2023 artfynd.xlsx", "A 27346-2023")</f>
        <v/>
      </c>
      <c r="X80">
        <f>HYPERLINK("https://klasma.github.io/Logging_0881/kartor/A 27346-2023 karta.png", "A 27346-2023")</f>
        <v/>
      </c>
      <c r="Y80">
        <f>HYPERLINK("https://klasma.github.io/Logging_0881/kartor_geotiff/A 27346-2023 georefererad karta.tif", "A 27346-2023")</f>
        <v/>
      </c>
      <c r="AA80">
        <f>HYPERLINK("https://klasma.github.io/Logging_0881/klagomål/A 27346-2023 FSC-klagomål.docx", "A 27346-2023")</f>
        <v/>
      </c>
      <c r="AB80">
        <f>HYPERLINK("https://klasma.github.io/Logging_0881/klagomålsmail/A 27346-2023 FSC-klagomål mail.docx", "A 27346-2023")</f>
        <v/>
      </c>
      <c r="AC80">
        <f>HYPERLINK("https://klasma.github.io/Logging_0881/tillsyn/A 27346-2023 tillsynsbegäran.docx", "A 27346-2023")</f>
        <v/>
      </c>
      <c r="AD80">
        <f>HYPERLINK("https://klasma.github.io/Logging_0881/tillsynsmail/A 27346-2023 tillsynsbegäran mail.docx", "A 27346-2023")</f>
        <v/>
      </c>
    </row>
    <row r="81" ht="15" customHeight="1">
      <c r="A81" t="inlineStr">
        <is>
          <t>A 41228-2025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45898</v>
      </c>
      <c r="E81" s="1" t="n">
        <v>46313</v>
      </c>
      <c r="F81" t="inlineStr">
        <is>
          <t>KALMAR LÄN</t>
        </is>
      </c>
      <c r="G81" t="inlineStr">
        <is>
          <t>NYBRO</t>
        </is>
      </c>
      <c r="H81" t="inlineStr">
        <is>
          <t>Sveaskog</t>
        </is>
      </c>
      <c r="I81" t="n">
        <v>2.1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3</v>
      </c>
      <c r="U81" t="n">
        <v>3</v>
      </c>
      <c r="V81" s="2" t="inlineStr">
        <is>
          <t>Talltita</t>
        </is>
      </c>
      <c r="W81">
        <f>HYPERLINK("https://klasma.github.io/Logging_0881/artfynd/A 41228-2025 artfynd.xlsx", "A 41228-2025")</f>
        <v/>
      </c>
      <c r="X81">
        <f>HYPERLINK("https://klasma.github.io/Logging_0881/kartor/A 41228-2025 karta.png", "A 41228-2025")</f>
        <v/>
      </c>
      <c r="Y81">
        <f>HYPERLINK("https://klasma.github.io/Logging_0881/kartor_geotiff/A 41228-2025 georefererad karta.tif", "A 41228-2025")</f>
        <v/>
      </c>
      <c r="AA81">
        <f>HYPERLINK("https://klasma.github.io/Logging_0881/klagomål/A 41228-2025 FSC-klagomål.docx", "A 41228-2025")</f>
        <v/>
      </c>
      <c r="AB81">
        <f>HYPERLINK("https://klasma.github.io/Logging_0881/klagomålsmail/A 41228-2025 FSC-klagomål mail.docx", "A 41228-2025")</f>
        <v/>
      </c>
      <c r="AC81">
        <f>HYPERLINK("https://klasma.github.io/Logging_0881/tillsyn/A 41228-2025 tillsynsbegäran.docx", "A 41228-2025")</f>
        <v/>
      </c>
      <c r="AD81">
        <f>HYPERLINK("https://klasma.github.io/Logging_0881/tillsynsmail/A 41228-2025 tillsynsbegäran mail.docx", "A 41228-2025")</f>
        <v/>
      </c>
      <c r="AE81">
        <f>HYPERLINK("https://klasma.github.io/Logging_0881/fåglar/A 41228-2025 prioriterade fågelarter.docx", "A 41228-2025")</f>
        <v/>
      </c>
    </row>
    <row r="82" ht="15" customHeight="1">
      <c r="A82" t="inlineStr">
        <is>
          <t>A 20647-2026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46141</v>
      </c>
      <c r="E82" s="1" t="n">
        <v>46313</v>
      </c>
      <c r="F82" t="inlineStr">
        <is>
          <t>KALMAR LÄN</t>
        </is>
      </c>
      <c r="G82" t="inlineStr">
        <is>
          <t>NYBRO</t>
        </is>
      </c>
      <c r="H82" t="inlineStr">
        <is>
          <t>Sveaskog</t>
        </is>
      </c>
      <c r="I82" t="n">
        <v>4.8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s="2" t="inlineStr">
        <is>
          <t>Ljungögontröst</t>
        </is>
      </c>
      <c r="W82">
        <f>HYPERLINK("https://klasma.github.io/Logging_0881/artfynd/A 20647-2026 artfynd.xlsx", "A 20647-2026")</f>
        <v/>
      </c>
      <c r="X82">
        <f>HYPERLINK("https://klasma.github.io/Logging_0881/kartor/A 20647-2026 karta.png", "A 20647-2026")</f>
        <v/>
      </c>
      <c r="Y82">
        <f>HYPERLINK("https://klasma.github.io/Logging_0881/kartor_geotiff/A 20647-2026 georefererad karta.tif", "A 20647-2026")</f>
        <v/>
      </c>
      <c r="AA82">
        <f>HYPERLINK("https://klasma.github.io/Logging_0881/klagomål/A 20647-2026 FSC-klagomål.docx", "A 20647-2026")</f>
        <v/>
      </c>
      <c r="AB82">
        <f>HYPERLINK("https://klasma.github.io/Logging_0881/klagomålsmail/A 20647-2026 FSC-klagomål mail.docx", "A 20647-2026")</f>
        <v/>
      </c>
      <c r="AC82">
        <f>HYPERLINK("https://klasma.github.io/Logging_0881/tillsyn/A 20647-2026 tillsynsbegäran.docx", "A 20647-2026")</f>
        <v/>
      </c>
      <c r="AD82">
        <f>HYPERLINK("https://klasma.github.io/Logging_0881/tillsynsmail/A 20647-2026 tillsynsbegäran mail.docx", "A 20647-2026")</f>
        <v/>
      </c>
    </row>
    <row r="83" ht="15" customHeight="1">
      <c r="A83" t="inlineStr">
        <is>
          <t>A 22097-2026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46153</v>
      </c>
      <c r="E83" s="1" t="n">
        <v>46313</v>
      </c>
      <c r="F83" t="inlineStr">
        <is>
          <t>KALMAR LÄN</t>
        </is>
      </c>
      <c r="G83" t="inlineStr">
        <is>
          <t>NYBRO</t>
        </is>
      </c>
      <c r="H83" t="inlineStr">
        <is>
          <t>Sveaskog</t>
        </is>
      </c>
      <c r="I83" t="n">
        <v>2.1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3</v>
      </c>
      <c r="U83" t="n">
        <v>0</v>
      </c>
      <c r="V83" s="2" t="inlineStr">
        <is>
          <t>Talltita</t>
        </is>
      </c>
      <c r="W83">
        <f>HYPERLINK("https://klasma.github.io/Logging_0881/artfynd/A 22097-2026 artfynd.xlsx", "A 22097-2026")</f>
        <v/>
      </c>
      <c r="X83">
        <f>HYPERLINK("https://klasma.github.io/Logging_0881/kartor/A 22097-2026 karta.png", "A 22097-2026")</f>
        <v/>
      </c>
      <c r="Y83">
        <f>HYPERLINK("https://klasma.github.io/Logging_0881/kartor_geotiff/A 22097-2026 georefererad karta.tif", "A 22097-2026")</f>
        <v/>
      </c>
      <c r="AA83">
        <f>HYPERLINK("https://klasma.github.io/Logging_0881/klagomål/A 22097-2026 FSC-klagomål.docx", "A 22097-2026")</f>
        <v/>
      </c>
      <c r="AB83">
        <f>HYPERLINK("https://klasma.github.io/Logging_0881/klagomålsmail/A 22097-2026 FSC-klagomål mail.docx", "A 22097-2026")</f>
        <v/>
      </c>
      <c r="AC83">
        <f>HYPERLINK("https://klasma.github.io/Logging_0881/tillsyn/A 22097-2026 tillsynsbegäran.docx", "A 22097-2026")</f>
        <v/>
      </c>
      <c r="AD83">
        <f>HYPERLINK("https://klasma.github.io/Logging_0881/tillsynsmail/A 22097-2026 tillsynsbegäran mail.docx", "A 22097-2026")</f>
        <v/>
      </c>
      <c r="AE83">
        <f>HYPERLINK("https://klasma.github.io/Logging_0881/fåglar/A 22097-2026 prioriterade fågelarter.docx", "A 22097-2026")</f>
        <v/>
      </c>
    </row>
    <row r="84" ht="15" customHeight="1">
      <c r="A84" t="inlineStr">
        <is>
          <t>A 22089-2026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46153</v>
      </c>
      <c r="E84" s="1" t="n">
        <v>46313</v>
      </c>
      <c r="F84" t="inlineStr">
        <is>
          <t>KALMAR LÄN</t>
        </is>
      </c>
      <c r="G84" t="inlineStr">
        <is>
          <t>NYBRO</t>
        </is>
      </c>
      <c r="H84" t="inlineStr">
        <is>
          <t>Sveaskog</t>
        </is>
      </c>
      <c r="I84" t="n">
        <v>0.7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2</v>
      </c>
      <c r="U84" t="n">
        <v>0</v>
      </c>
      <c r="V84" s="2" t="inlineStr">
        <is>
          <t>Talltita</t>
        </is>
      </c>
      <c r="W84">
        <f>HYPERLINK("https://klasma.github.io/Logging_0881/artfynd/A 22089-2026 artfynd.xlsx", "A 22089-2026")</f>
        <v/>
      </c>
      <c r="X84">
        <f>HYPERLINK("https://klasma.github.io/Logging_0881/kartor/A 22089-2026 karta.png", "A 22089-2026")</f>
        <v/>
      </c>
      <c r="Y84">
        <f>HYPERLINK("https://klasma.github.io/Logging_0881/kartor_geotiff/A 22089-2026 georefererad karta.tif", "A 22089-2026")</f>
        <v/>
      </c>
      <c r="AA84">
        <f>HYPERLINK("https://klasma.github.io/Logging_0881/klagomål/A 22089-2026 FSC-klagomål.docx", "A 22089-2026")</f>
        <v/>
      </c>
      <c r="AB84">
        <f>HYPERLINK("https://klasma.github.io/Logging_0881/klagomålsmail/A 22089-2026 FSC-klagomål mail.docx", "A 22089-2026")</f>
        <v/>
      </c>
      <c r="AC84">
        <f>HYPERLINK("https://klasma.github.io/Logging_0881/tillsyn/A 22089-2026 tillsynsbegäran.docx", "A 22089-2026")</f>
        <v/>
      </c>
      <c r="AD84">
        <f>HYPERLINK("https://klasma.github.io/Logging_0881/tillsynsmail/A 22089-2026 tillsynsbegäran mail.docx", "A 22089-2026")</f>
        <v/>
      </c>
      <c r="AE84">
        <f>HYPERLINK("https://klasma.github.io/Logging_0881/fåglar/A 22089-2026 prioriterade fågelarter.docx", "A 22089-2026")</f>
        <v/>
      </c>
    </row>
    <row r="85" ht="15" customHeight="1">
      <c r="A85" t="inlineStr">
        <is>
          <t>A 22086-2026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46153</v>
      </c>
      <c r="E85" s="1" t="n">
        <v>46313</v>
      </c>
      <c r="F85" t="inlineStr">
        <is>
          <t>KALMAR LÄN</t>
        </is>
      </c>
      <c r="G85" t="inlineStr">
        <is>
          <t>NYBRO</t>
        </is>
      </c>
      <c r="H85" t="inlineStr">
        <is>
          <t>Sveaskog</t>
        </is>
      </c>
      <c r="I85" t="n">
        <v>2.6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5</v>
      </c>
      <c r="U85" t="n">
        <v>0</v>
      </c>
      <c r="V85" s="2" t="inlineStr">
        <is>
          <t>Talltita</t>
        </is>
      </c>
      <c r="W85">
        <f>HYPERLINK("https://klasma.github.io/Logging_0881/artfynd/A 22086-2026 artfynd.xlsx", "A 22086-2026")</f>
        <v/>
      </c>
      <c r="X85">
        <f>HYPERLINK("https://klasma.github.io/Logging_0881/kartor/A 22086-2026 karta.png", "A 22086-2026")</f>
        <v/>
      </c>
      <c r="Y85">
        <f>HYPERLINK("https://klasma.github.io/Logging_0881/kartor_geotiff/A 22086-2026 georefererad karta.tif", "A 22086-2026")</f>
        <v/>
      </c>
      <c r="AA85">
        <f>HYPERLINK("https://klasma.github.io/Logging_0881/klagomål/A 22086-2026 FSC-klagomål.docx", "A 22086-2026")</f>
        <v/>
      </c>
      <c r="AB85">
        <f>HYPERLINK("https://klasma.github.io/Logging_0881/klagomålsmail/A 22086-2026 FSC-klagomål mail.docx", "A 22086-2026")</f>
        <v/>
      </c>
      <c r="AC85">
        <f>HYPERLINK("https://klasma.github.io/Logging_0881/tillsyn/A 22086-2026 tillsynsbegäran.docx", "A 22086-2026")</f>
        <v/>
      </c>
      <c r="AD85">
        <f>HYPERLINK("https://klasma.github.io/Logging_0881/tillsynsmail/A 22086-2026 tillsynsbegäran mail.docx", "A 22086-2026")</f>
        <v/>
      </c>
      <c r="AE85">
        <f>HYPERLINK("https://klasma.github.io/Logging_0881/fåglar/A 22086-2026 prioriterade fågelarter.docx", "A 22086-2026")</f>
        <v/>
      </c>
    </row>
    <row r="86" ht="15" customHeight="1">
      <c r="A86" t="inlineStr">
        <is>
          <t>A 61809-2024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45649</v>
      </c>
      <c r="E86" s="1" t="n">
        <v>46313</v>
      </c>
      <c r="F86" t="inlineStr">
        <is>
          <t>KALMAR LÄN</t>
        </is>
      </c>
      <c r="G86" t="inlineStr">
        <is>
          <t>NYBRO</t>
        </is>
      </c>
      <c r="I86" t="n">
        <v>15.8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Tjäder</t>
        </is>
      </c>
      <c r="W86">
        <f>HYPERLINK("https://klasma.github.io/Logging_0881/artfynd/A 61809-2024 artfynd.xlsx", "A 61809-2024")</f>
        <v/>
      </c>
      <c r="X86">
        <f>HYPERLINK("https://klasma.github.io/Logging_0881/kartor/A 61809-2024 karta.png", "A 61809-2024")</f>
        <v/>
      </c>
      <c r="Y86">
        <f>HYPERLINK("https://klasma.github.io/Logging_0881/kartor_geotiff/A 61809-2024 georefererad karta.tif", "A 61809-2024")</f>
        <v/>
      </c>
      <c r="AA86">
        <f>HYPERLINK("https://klasma.github.io/Logging_0881/klagomål/A 61809-2024 FSC-klagomål.docx", "A 61809-2024")</f>
        <v/>
      </c>
      <c r="AB86">
        <f>HYPERLINK("https://klasma.github.io/Logging_0881/klagomålsmail/A 61809-2024 FSC-klagomål mail.docx", "A 61809-2024")</f>
        <v/>
      </c>
      <c r="AC86">
        <f>HYPERLINK("https://klasma.github.io/Logging_0881/tillsyn/A 61809-2024 tillsynsbegäran.docx", "A 61809-2024")</f>
        <v/>
      </c>
      <c r="AD86">
        <f>HYPERLINK("https://klasma.github.io/Logging_0881/tillsynsmail/A 61809-2024 tillsynsbegäran mail.docx", "A 61809-2024")</f>
        <v/>
      </c>
      <c r="AE86">
        <f>HYPERLINK("https://klasma.github.io/Logging_0881/fåglar/A 61809-2024 prioriterade fågelarter.docx", "A 61809-2024")</f>
        <v/>
      </c>
    </row>
    <row r="87" ht="15" customHeight="1">
      <c r="A87" t="inlineStr">
        <is>
          <t>A 17741-2025</t>
        </is>
      </c>
      <c r="B87" t="inlineStr">
        <is>
          <t>avverkningsanmälan</t>
        </is>
      </c>
      <c r="C87" t="inlineStr">
        <is>
          <t>Avverkning för att bevara och utveckla /försöksver</t>
        </is>
      </c>
      <c r="D87" s="1" t="n">
        <v>45758</v>
      </c>
      <c r="E87" s="1" t="n">
        <v>46313</v>
      </c>
      <c r="F87" t="inlineStr">
        <is>
          <t>KALMAR LÄN</t>
        </is>
      </c>
      <c r="G87" t="inlineStr">
        <is>
          <t>NYBRO</t>
        </is>
      </c>
      <c r="H87" t="inlineStr">
        <is>
          <t>Sveaskog</t>
        </is>
      </c>
      <c r="I87" t="n">
        <v>1.2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Tårkragskivling</t>
        </is>
      </c>
      <c r="W87">
        <f>HYPERLINK("https://klasma.github.io/Logging_0881/artfynd/A 17741-2025 artfynd.xlsx", "A 17741-2025")</f>
        <v/>
      </c>
      <c r="X87">
        <f>HYPERLINK("https://klasma.github.io/Logging_0881/kartor/A 17741-2025 karta.png", "A 17741-2025")</f>
        <v/>
      </c>
      <c r="Y87">
        <f>HYPERLINK("https://klasma.github.io/Logging_0881/kartor_geotiff/A 17741-2025 georefererad karta.tif", "A 17741-2025")</f>
        <v/>
      </c>
      <c r="AA87">
        <f>HYPERLINK("https://klasma.github.io/Logging_0881/klagomål/A 17741-2025 FSC-klagomål.docx", "A 17741-2025")</f>
        <v/>
      </c>
      <c r="AB87">
        <f>HYPERLINK("https://klasma.github.io/Logging_0881/klagomålsmail/A 17741-2025 FSC-klagomål mail.docx", "A 17741-2025")</f>
        <v/>
      </c>
      <c r="AC87">
        <f>HYPERLINK("https://klasma.github.io/Logging_0881/tillsyn/A 17741-2025 tillsynsbegäran.docx", "A 17741-2025")</f>
        <v/>
      </c>
      <c r="AD87">
        <f>HYPERLINK("https://klasma.github.io/Logging_0881/tillsynsmail/A 17741-2025 tillsynsbegäran mail.docx", "A 17741-2025")</f>
        <v/>
      </c>
    </row>
    <row r="88" ht="15" customHeight="1">
      <c r="A88" t="inlineStr">
        <is>
          <t>A 24315-2026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46169</v>
      </c>
      <c r="E88" s="1" t="n">
        <v>46313</v>
      </c>
      <c r="F88" t="inlineStr">
        <is>
          <t>KALMAR LÄN</t>
        </is>
      </c>
      <c r="G88" t="inlineStr">
        <is>
          <t>NYBRO</t>
        </is>
      </c>
      <c r="H88" t="inlineStr">
        <is>
          <t>Sveaskog</t>
        </is>
      </c>
      <c r="I88" t="n">
        <v>8.5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Grönpyrola</t>
        </is>
      </c>
      <c r="W88">
        <f>HYPERLINK("https://klasma.github.io/Logging_0881/artfynd/A 24315-2026 artfynd.xlsx", "A 24315-2026")</f>
        <v/>
      </c>
      <c r="X88">
        <f>HYPERLINK("https://klasma.github.io/Logging_0881/kartor/A 24315-2026 karta.png", "A 24315-2026")</f>
        <v/>
      </c>
      <c r="Y88">
        <f>HYPERLINK("https://klasma.github.io/Logging_0881/kartor_geotiff/A 24315-2026 georefererad karta.tif", "A 24315-2026")</f>
        <v/>
      </c>
      <c r="AA88">
        <f>HYPERLINK("https://klasma.github.io/Logging_0881/klagomål/A 24315-2026 FSC-klagomål.docx", "A 24315-2026")</f>
        <v/>
      </c>
      <c r="AB88">
        <f>HYPERLINK("https://klasma.github.io/Logging_0881/klagomålsmail/A 24315-2026 FSC-klagomål mail.docx", "A 24315-2026")</f>
        <v/>
      </c>
      <c r="AC88">
        <f>HYPERLINK("https://klasma.github.io/Logging_0881/tillsyn/A 24315-2026 tillsynsbegäran.docx", "A 24315-2026")</f>
        <v/>
      </c>
      <c r="AD88">
        <f>HYPERLINK("https://klasma.github.io/Logging_0881/tillsynsmail/A 24315-2026 tillsynsbegäran mail.docx", "A 24315-2026")</f>
        <v/>
      </c>
    </row>
    <row r="89" ht="15" customHeight="1">
      <c r="A89" t="inlineStr">
        <is>
          <t>A 61617-2025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46002</v>
      </c>
      <c r="E89" s="1" t="n">
        <v>46313</v>
      </c>
      <c r="F89" t="inlineStr">
        <is>
          <t>KALMAR LÄN</t>
        </is>
      </c>
      <c r="G89" t="inlineStr">
        <is>
          <t>NYBRO</t>
        </is>
      </c>
      <c r="I89" t="n">
        <v>2.8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Orangefläckig brunbagge</t>
        </is>
      </c>
      <c r="W89">
        <f>HYPERLINK("https://klasma.github.io/Logging_0881/artfynd/A 61617-2025 artfynd.xlsx", "A 61617-2025")</f>
        <v/>
      </c>
      <c r="X89">
        <f>HYPERLINK("https://klasma.github.io/Logging_0881/kartor/A 61617-2025 karta.png", "A 61617-2025")</f>
        <v/>
      </c>
      <c r="Y89">
        <f>HYPERLINK("https://klasma.github.io/Logging_0881/kartor_geotiff/A 61617-2025 georefererad karta.tif", "A 61617-2025")</f>
        <v/>
      </c>
      <c r="AA89">
        <f>HYPERLINK("https://klasma.github.io/Logging_0881/klagomål/A 61617-2025 FSC-klagomål.docx", "A 61617-2025")</f>
        <v/>
      </c>
      <c r="AB89">
        <f>HYPERLINK("https://klasma.github.io/Logging_0881/klagomålsmail/A 61617-2025 FSC-klagomål mail.docx", "A 61617-2025")</f>
        <v/>
      </c>
      <c r="AC89">
        <f>HYPERLINK("https://klasma.github.io/Logging_0881/tillsyn/A 61617-2025 tillsynsbegäran.docx", "A 61617-2025")</f>
        <v/>
      </c>
      <c r="AD89">
        <f>HYPERLINK("https://klasma.github.io/Logging_0881/tillsynsmail/A 61617-2025 tillsynsbegäran mail.docx", "A 61617-2025")</f>
        <v/>
      </c>
    </row>
    <row r="90" ht="15" customHeight="1">
      <c r="A90" t="inlineStr">
        <is>
          <t>A 61613-2025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46002</v>
      </c>
      <c r="E90" s="1" t="n">
        <v>46313</v>
      </c>
      <c r="F90" t="inlineStr">
        <is>
          <t>KALMAR LÄN</t>
        </is>
      </c>
      <c r="G90" t="inlineStr">
        <is>
          <t>NYBRO</t>
        </is>
      </c>
      <c r="I90" t="n">
        <v>12.2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Nattskärra</t>
        </is>
      </c>
      <c r="W90">
        <f>HYPERLINK("https://klasma.github.io/Logging_0881/artfynd/A 61613-2025 artfynd.xlsx", "A 61613-2025")</f>
        <v/>
      </c>
      <c r="X90">
        <f>HYPERLINK("https://klasma.github.io/Logging_0881/kartor/A 61613-2025 karta.png", "A 61613-2025")</f>
        <v/>
      </c>
      <c r="Y90">
        <f>HYPERLINK("https://klasma.github.io/Logging_0881/kartor_geotiff/A 61613-2025 georefererad karta.tif", "A 61613-2025")</f>
        <v/>
      </c>
      <c r="AA90">
        <f>HYPERLINK("https://klasma.github.io/Logging_0881/klagomål/A 61613-2025 FSC-klagomål.docx", "A 61613-2025")</f>
        <v/>
      </c>
      <c r="AB90">
        <f>HYPERLINK("https://klasma.github.io/Logging_0881/klagomålsmail/A 61613-2025 FSC-klagomål mail.docx", "A 61613-2025")</f>
        <v/>
      </c>
      <c r="AC90">
        <f>HYPERLINK("https://klasma.github.io/Logging_0881/tillsyn/A 61613-2025 tillsynsbegäran.docx", "A 61613-2025")</f>
        <v/>
      </c>
      <c r="AD90">
        <f>HYPERLINK("https://klasma.github.io/Logging_0881/tillsynsmail/A 61613-2025 tillsynsbegäran mail.docx", "A 61613-2025")</f>
        <v/>
      </c>
      <c r="AE90">
        <f>HYPERLINK("https://klasma.github.io/Logging_0881/fåglar/A 61613-2025 prioriterade fågelarter.docx", "A 61613-2025")</f>
        <v/>
      </c>
    </row>
    <row r="91" ht="15" customHeight="1">
      <c r="A91" t="inlineStr">
        <is>
          <t>A 22171-2023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45069</v>
      </c>
      <c r="E91" s="1" t="n">
        <v>46313</v>
      </c>
      <c r="F91" t="inlineStr">
        <is>
          <t>KALMAR LÄN</t>
        </is>
      </c>
      <c r="G91" t="inlineStr">
        <is>
          <t>NYBRO</t>
        </is>
      </c>
      <c r="I91" t="n">
        <v>3.6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2</v>
      </c>
      <c r="V91" s="2" t="inlineStr">
        <is>
          <t>Blåmossa</t>
        </is>
      </c>
      <c r="W91">
        <f>HYPERLINK("https://klasma.github.io/Logging_0881/artfynd/A 22171-2023 artfynd.xlsx", "A 22171-2023")</f>
        <v/>
      </c>
      <c r="X91">
        <f>HYPERLINK("https://klasma.github.io/Logging_0881/kartor/A 22171-2023 karta.png", "A 22171-2023")</f>
        <v/>
      </c>
      <c r="Y91">
        <f>HYPERLINK("https://klasma.github.io/Logging_0881/kartor_geotiff/A 22171-2023 georefererad karta.tif", "A 22171-2023")</f>
        <v/>
      </c>
      <c r="AA91">
        <f>HYPERLINK("https://klasma.github.io/Logging_0881/klagomål/A 22171-2023 FSC-klagomål.docx", "A 22171-2023")</f>
        <v/>
      </c>
      <c r="AB91">
        <f>HYPERLINK("https://klasma.github.io/Logging_0881/klagomålsmail/A 22171-2023 FSC-klagomål mail.docx", "A 22171-2023")</f>
        <v/>
      </c>
      <c r="AC91">
        <f>HYPERLINK("https://klasma.github.io/Logging_0881/tillsyn/A 22171-2023 tillsynsbegäran.docx", "A 22171-2023")</f>
        <v/>
      </c>
      <c r="AD91">
        <f>HYPERLINK("https://klasma.github.io/Logging_0881/tillsynsmail/A 22171-2023 tillsynsbegäran mail.docx", "A 22171-2023")</f>
        <v/>
      </c>
    </row>
    <row r="92" ht="15" customHeight="1">
      <c r="A92" t="inlineStr">
        <is>
          <t>A 22952-2024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45449</v>
      </c>
      <c r="E92" s="1" t="n">
        <v>46313</v>
      </c>
      <c r="F92" t="inlineStr">
        <is>
          <t>KALMAR LÄN</t>
        </is>
      </c>
      <c r="G92" t="inlineStr">
        <is>
          <t>NYBRO</t>
        </is>
      </c>
      <c r="I92" t="n">
        <v>14.1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Revlummer</t>
        </is>
      </c>
      <c r="W92">
        <f>HYPERLINK("https://klasma.github.io/Logging_0881/artfynd/A 22952-2024 artfynd.xlsx", "A 22952-2024")</f>
        <v/>
      </c>
      <c r="X92">
        <f>HYPERLINK("https://klasma.github.io/Logging_0881/kartor/A 22952-2024 karta.png", "A 22952-2024")</f>
        <v/>
      </c>
      <c r="Y92">
        <f>HYPERLINK("https://klasma.github.io/Logging_0881/kartor_geotiff/A 22952-2024 georefererad karta.tif", "A 22952-2024")</f>
        <v/>
      </c>
      <c r="AA92">
        <f>HYPERLINK("https://klasma.github.io/Logging_0881/klagomål/A 22952-2024 FSC-klagomål.docx", "A 22952-2024")</f>
        <v/>
      </c>
      <c r="AB92">
        <f>HYPERLINK("https://klasma.github.io/Logging_0881/klagomålsmail/A 22952-2024 FSC-klagomål mail.docx", "A 22952-2024")</f>
        <v/>
      </c>
      <c r="AC92">
        <f>HYPERLINK("https://klasma.github.io/Logging_0881/tillsyn/A 22952-2024 tillsynsbegäran.docx", "A 22952-2024")</f>
        <v/>
      </c>
      <c r="AD92">
        <f>HYPERLINK("https://klasma.github.io/Logging_0881/tillsynsmail/A 22952-2024 tillsynsbegäran mail.docx", "A 22952-2024")</f>
        <v/>
      </c>
    </row>
    <row r="93" ht="15" customHeight="1">
      <c r="A93" t="inlineStr">
        <is>
          <t>A 7038-2026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46057</v>
      </c>
      <c r="E93" s="1" t="n">
        <v>46313</v>
      </c>
      <c r="F93" t="inlineStr">
        <is>
          <t>KALMAR LÄN</t>
        </is>
      </c>
      <c r="G93" t="inlineStr">
        <is>
          <t>NYBRO</t>
        </is>
      </c>
      <c r="I93" t="n">
        <v>0.5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Vanlig flatbagge</t>
        </is>
      </c>
      <c r="W93">
        <f>HYPERLINK("https://klasma.github.io/Logging_0881/artfynd/A 7038-2026 artfynd.xlsx", "A 7038-2026")</f>
        <v/>
      </c>
      <c r="X93">
        <f>HYPERLINK("https://klasma.github.io/Logging_0881/kartor/A 7038-2026 karta.png", "A 7038-2026")</f>
        <v/>
      </c>
      <c r="Y93">
        <f>HYPERLINK("https://klasma.github.io/Logging_0881/kartor_geotiff/A 7038-2026 georefererad karta.tif", "A 7038-2026")</f>
        <v/>
      </c>
      <c r="AA93">
        <f>HYPERLINK("https://klasma.github.io/Logging_0881/klagomål/A 7038-2026 FSC-klagomål.docx", "A 7038-2026")</f>
        <v/>
      </c>
      <c r="AB93">
        <f>HYPERLINK("https://klasma.github.io/Logging_0881/klagomålsmail/A 7038-2026 FSC-klagomål mail.docx", "A 7038-2026")</f>
        <v/>
      </c>
      <c r="AC93">
        <f>HYPERLINK("https://klasma.github.io/Logging_0881/tillsyn/A 7038-2026 tillsynsbegäran.docx", "A 7038-2026")</f>
        <v/>
      </c>
      <c r="AD93">
        <f>HYPERLINK("https://klasma.github.io/Logging_0881/tillsynsmail/A 7038-2026 tillsynsbegäran mail.docx", "A 7038-2026")</f>
        <v/>
      </c>
    </row>
    <row r="94" ht="15" customHeight="1">
      <c r="A94" t="inlineStr">
        <is>
          <t>A 26463-2026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46183</v>
      </c>
      <c r="E94" s="1" t="n">
        <v>46313</v>
      </c>
      <c r="F94" t="inlineStr">
        <is>
          <t>KALMAR LÄN</t>
        </is>
      </c>
      <c r="G94" t="inlineStr">
        <is>
          <t>NYBRO</t>
        </is>
      </c>
      <c r="I94" t="n">
        <v>2.7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5</v>
      </c>
      <c r="U94" t="n">
        <v>0</v>
      </c>
      <c r="V94" s="2" t="inlineStr">
        <is>
          <t>Blåmossa</t>
        </is>
      </c>
      <c r="W94">
        <f>HYPERLINK("https://klasma.github.io/Logging_0881/artfynd/A 26463-2026 artfynd.xlsx", "A 26463-2026")</f>
        <v/>
      </c>
      <c r="X94">
        <f>HYPERLINK("https://klasma.github.io/Logging_0881/kartor/A 26463-2026 karta.png", "A 26463-2026")</f>
        <v/>
      </c>
      <c r="Y94">
        <f>HYPERLINK("https://klasma.github.io/Logging_0881/kartor_geotiff/A 26463-2026 georefererad karta.tif", "A 26463-2026")</f>
        <v/>
      </c>
      <c r="AA94">
        <f>HYPERLINK("https://klasma.github.io/Logging_0881/klagomål/A 26463-2026 FSC-klagomål.docx", "A 26463-2026")</f>
        <v/>
      </c>
      <c r="AB94">
        <f>HYPERLINK("https://klasma.github.io/Logging_0881/klagomålsmail/A 26463-2026 FSC-klagomål mail.docx", "A 26463-2026")</f>
        <v/>
      </c>
      <c r="AC94">
        <f>HYPERLINK("https://klasma.github.io/Logging_0881/tillsyn/A 26463-2026 tillsynsbegäran.docx", "A 26463-2026")</f>
        <v/>
      </c>
      <c r="AD94">
        <f>HYPERLINK("https://klasma.github.io/Logging_0881/tillsynsmail/A 26463-2026 tillsynsbegäran mail.docx", "A 26463-2026")</f>
        <v/>
      </c>
    </row>
    <row r="95" ht="15" customHeight="1">
      <c r="A95" t="inlineStr">
        <is>
          <t>A 13690-2022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44648</v>
      </c>
      <c r="E95" s="1" t="n">
        <v>46313</v>
      </c>
      <c r="F95" t="inlineStr">
        <is>
          <t>KALMAR LÄN</t>
        </is>
      </c>
      <c r="G95" t="inlineStr">
        <is>
          <t>NYBRO</t>
        </is>
      </c>
      <c r="H95" t="inlineStr">
        <is>
          <t>Kommuner</t>
        </is>
      </c>
      <c r="I95" t="n">
        <v>8.300000000000001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7</v>
      </c>
      <c r="U95" t="n">
        <v>7</v>
      </c>
      <c r="V95" s="2" t="inlineStr">
        <is>
          <t>Knärot</t>
        </is>
      </c>
      <c r="W95">
        <f>HYPERLINK("https://klasma.github.io/Logging_0881/artfynd/A 13690-2022 artfynd.xlsx", "A 13690-2022")</f>
        <v/>
      </c>
      <c r="X95">
        <f>HYPERLINK("https://klasma.github.io/Logging_0881/kartor/A 13690-2022 karta.png", "A 13690-2022")</f>
        <v/>
      </c>
      <c r="Y95">
        <f>HYPERLINK("https://klasma.github.io/Logging_0881/kartor_geotiff/A 13690-2022 georefererad karta.tif", "A 13690-2022")</f>
        <v/>
      </c>
      <c r="Z95">
        <f>HYPERLINK("https://klasma.github.io/Logging_0881/knärot/A 13690-2022 karta knärot.png", "A 13690-2022")</f>
        <v/>
      </c>
      <c r="AA95">
        <f>HYPERLINK("https://klasma.github.io/Logging_0881/klagomål/A 13690-2022 FSC-klagomål.docx", "A 13690-2022")</f>
        <v/>
      </c>
      <c r="AB95">
        <f>HYPERLINK("https://klasma.github.io/Logging_0881/klagomålsmail/A 13690-2022 FSC-klagomål mail.docx", "A 13690-2022")</f>
        <v/>
      </c>
      <c r="AC95">
        <f>HYPERLINK("https://klasma.github.io/Logging_0881/tillsyn/A 13690-2022 tillsynsbegäran.docx", "A 13690-2022")</f>
        <v/>
      </c>
      <c r="AD95">
        <f>HYPERLINK("https://klasma.github.io/Logging_0881/tillsynsmail/A 13690-2022 tillsynsbegäran mail.docx", "A 13690-2022")</f>
        <v/>
      </c>
    </row>
    <row r="96" ht="15" customHeight="1">
      <c r="A96" t="inlineStr">
        <is>
          <t>A 54314-2022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44882</v>
      </c>
      <c r="E96" s="1" t="n">
        <v>46313</v>
      </c>
      <c r="F96" t="inlineStr">
        <is>
          <t>KALMAR LÄN</t>
        </is>
      </c>
      <c r="G96" t="inlineStr">
        <is>
          <t>NYBRO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6</v>
      </c>
      <c r="U96" t="n">
        <v>0</v>
      </c>
      <c r="V96" s="2" t="inlineStr">
        <is>
          <t>Ask</t>
        </is>
      </c>
      <c r="W96">
        <f>HYPERLINK("https://klasma.github.io/Logging_0881/artfynd/A 54314-2022 artfynd.xlsx", "A 54314-2022")</f>
        <v/>
      </c>
      <c r="X96">
        <f>HYPERLINK("https://klasma.github.io/Logging_0881/kartor/A 54314-2022 karta.png", "A 54314-2022")</f>
        <v/>
      </c>
      <c r="Y96">
        <f>HYPERLINK("https://klasma.github.io/Logging_0881/kartor_geotiff/A 54314-2022 georefererad karta.tif", "A 54314-2022")</f>
        <v/>
      </c>
      <c r="AA96">
        <f>HYPERLINK("https://klasma.github.io/Logging_0881/klagomål/A 54314-2022 FSC-klagomål.docx", "A 54314-2022")</f>
        <v/>
      </c>
      <c r="AB96">
        <f>HYPERLINK("https://klasma.github.io/Logging_0881/klagomålsmail/A 54314-2022 FSC-klagomål mail.docx", "A 54314-2022")</f>
        <v/>
      </c>
      <c r="AC96">
        <f>HYPERLINK("https://klasma.github.io/Logging_0881/tillsyn/A 54314-2022 tillsynsbegäran.docx", "A 54314-2022")</f>
        <v/>
      </c>
      <c r="AD96">
        <f>HYPERLINK("https://klasma.github.io/Logging_0881/tillsynsmail/A 54314-2022 tillsynsbegäran mail.docx", "A 54314-2022")</f>
        <v/>
      </c>
    </row>
    <row r="97" ht="15" customHeight="1">
      <c r="A97" t="inlineStr">
        <is>
          <t>A 27669-2026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46190</v>
      </c>
      <c r="E97" s="1" t="n">
        <v>46313</v>
      </c>
      <c r="F97" t="inlineStr">
        <is>
          <t>KALMAR LÄN</t>
        </is>
      </c>
      <c r="G97" t="inlineStr">
        <is>
          <t>NYBRO</t>
        </is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Blomkålssvamp</t>
        </is>
      </c>
      <c r="W97">
        <f>HYPERLINK("https://klasma.github.io/Logging_0881/artfynd/A 27669-2026 artfynd.xlsx", "A 27669-2026")</f>
        <v/>
      </c>
      <c r="X97">
        <f>HYPERLINK("https://klasma.github.io/Logging_0881/kartor/A 27669-2026 karta.png", "A 27669-2026")</f>
        <v/>
      </c>
      <c r="Y97">
        <f>HYPERLINK("https://klasma.github.io/Logging_0881/kartor_geotiff/A 27669-2026 georefererad karta.tif", "A 27669-2026")</f>
        <v/>
      </c>
      <c r="AA97">
        <f>HYPERLINK("https://klasma.github.io/Logging_0881/klagomål/A 27669-2026 FSC-klagomål.docx", "A 27669-2026")</f>
        <v/>
      </c>
      <c r="AB97">
        <f>HYPERLINK("https://klasma.github.io/Logging_0881/klagomålsmail/A 27669-2026 FSC-klagomål mail.docx", "A 27669-2026")</f>
        <v/>
      </c>
      <c r="AC97">
        <f>HYPERLINK("https://klasma.github.io/Logging_0881/tillsyn/A 27669-2026 tillsynsbegäran.docx", "A 27669-2026")</f>
        <v/>
      </c>
      <c r="AD97">
        <f>HYPERLINK("https://klasma.github.io/Logging_0881/tillsynsmail/A 27669-2026 tillsynsbegäran mail.docx", "A 27669-2026")</f>
        <v/>
      </c>
    </row>
    <row r="98" ht="15" customHeight="1">
      <c r="A98" t="inlineStr">
        <is>
          <t>A 61140-2022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44908</v>
      </c>
      <c r="E98" s="1" t="n">
        <v>46313</v>
      </c>
      <c r="F98" t="inlineStr">
        <is>
          <t>KALMAR LÄN</t>
        </is>
      </c>
      <c r="G98" t="inlineStr">
        <is>
          <t>NYBRO</t>
        </is>
      </c>
      <c r="I98" t="n">
        <v>0.4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Tjäder</t>
        </is>
      </c>
      <c r="W98">
        <f>HYPERLINK("https://klasma.github.io/Logging_0881/artfynd/A 61140-2022 artfynd.xlsx", "A 61140-2022")</f>
        <v/>
      </c>
      <c r="X98">
        <f>HYPERLINK("https://klasma.github.io/Logging_0881/kartor/A 61140-2022 karta.png", "A 61140-2022")</f>
        <v/>
      </c>
      <c r="Y98">
        <f>HYPERLINK("https://klasma.github.io/Logging_0881/kartor_geotiff/A 61140-2022 georefererad karta.tif", "A 61140-2022")</f>
        <v/>
      </c>
      <c r="AA98">
        <f>HYPERLINK("https://klasma.github.io/Logging_0881/klagomål/A 61140-2022 FSC-klagomål.docx", "A 61140-2022")</f>
        <v/>
      </c>
      <c r="AB98">
        <f>HYPERLINK("https://klasma.github.io/Logging_0881/klagomålsmail/A 61140-2022 FSC-klagomål mail.docx", "A 61140-2022")</f>
        <v/>
      </c>
      <c r="AC98">
        <f>HYPERLINK("https://klasma.github.io/Logging_0881/tillsyn/A 61140-2022 tillsynsbegäran.docx", "A 61140-2022")</f>
        <v/>
      </c>
      <c r="AD98">
        <f>HYPERLINK("https://klasma.github.io/Logging_0881/tillsynsmail/A 61140-2022 tillsynsbegäran mail.docx", "A 61140-2022")</f>
        <v/>
      </c>
      <c r="AE98">
        <f>HYPERLINK("https://klasma.github.io/Logging_0881/fåglar/A 61140-2022 prioriterade fågelarter.docx", "A 61140-2022")</f>
        <v/>
      </c>
    </row>
    <row r="99" ht="15" customHeight="1">
      <c r="A99" t="inlineStr">
        <is>
          <t>A 37016-2023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45155</v>
      </c>
      <c r="E99" s="1" t="n">
        <v>46313</v>
      </c>
      <c r="F99" t="inlineStr">
        <is>
          <t>KALMAR LÄN</t>
        </is>
      </c>
      <c r="G99" t="inlineStr">
        <is>
          <t>NYBRO</t>
        </is>
      </c>
      <c r="I99" t="n">
        <v>6.4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s="2" t="inlineStr">
        <is>
          <t>Slåttergubbe</t>
        </is>
      </c>
      <c r="W99">
        <f>HYPERLINK("https://klasma.github.io/Logging_0881/artfynd/A 37016-2023 artfynd.xlsx", "A 37016-2023")</f>
        <v/>
      </c>
      <c r="X99">
        <f>HYPERLINK("https://klasma.github.io/Logging_0881/kartor/A 37016-2023 karta.png", "A 37016-2023")</f>
        <v/>
      </c>
      <c r="Y99">
        <f>HYPERLINK("https://klasma.github.io/Logging_0881/kartor_geotiff/A 37016-2023 georefererad karta.tif", "A 37016-2023")</f>
        <v/>
      </c>
      <c r="AA99">
        <f>HYPERLINK("https://klasma.github.io/Logging_0881/klagomål/A 37016-2023 FSC-klagomål.docx", "A 37016-2023")</f>
        <v/>
      </c>
      <c r="AB99">
        <f>HYPERLINK("https://klasma.github.io/Logging_0881/klagomålsmail/A 37016-2023 FSC-klagomål mail.docx", "A 37016-2023")</f>
        <v/>
      </c>
      <c r="AC99">
        <f>HYPERLINK("https://klasma.github.io/Logging_0881/tillsyn/A 37016-2023 tillsynsbegäran.docx", "A 37016-2023")</f>
        <v/>
      </c>
      <c r="AD99">
        <f>HYPERLINK("https://klasma.github.io/Logging_0881/tillsynsmail/A 37016-2023 tillsynsbegäran mail.docx", "A 37016-2023")</f>
        <v/>
      </c>
    </row>
    <row r="100" ht="15" customHeight="1">
      <c r="A100" t="inlineStr">
        <is>
          <t>A 13412-2026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46094</v>
      </c>
      <c r="E100" s="1" t="n">
        <v>46313</v>
      </c>
      <c r="F100" t="inlineStr">
        <is>
          <t>KALMAR LÄN</t>
        </is>
      </c>
      <c r="G100" t="inlineStr">
        <is>
          <t>NYBRO</t>
        </is>
      </c>
      <c r="I100" t="n">
        <v>3.2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Slåtterfibbla</t>
        </is>
      </c>
      <c r="W100">
        <f>HYPERLINK("https://klasma.github.io/Logging_0881/artfynd/A 13412-2026 artfynd.xlsx", "A 13412-2026")</f>
        <v/>
      </c>
      <c r="X100">
        <f>HYPERLINK("https://klasma.github.io/Logging_0881/kartor/A 13412-2026 karta.png", "A 13412-2026")</f>
        <v/>
      </c>
      <c r="Y100">
        <f>HYPERLINK("https://klasma.github.io/Logging_0881/kartor_geotiff/A 13412-2026 georefererad karta.tif", "A 13412-2026")</f>
        <v/>
      </c>
      <c r="AA100">
        <f>HYPERLINK("https://klasma.github.io/Logging_0881/klagomål/A 13412-2026 FSC-klagomål.docx", "A 13412-2026")</f>
        <v/>
      </c>
      <c r="AB100">
        <f>HYPERLINK("https://klasma.github.io/Logging_0881/klagomålsmail/A 13412-2026 FSC-klagomål mail.docx", "A 13412-2026")</f>
        <v/>
      </c>
      <c r="AC100">
        <f>HYPERLINK("https://klasma.github.io/Logging_0881/tillsyn/A 13412-2026 tillsynsbegäran.docx", "A 13412-2026")</f>
        <v/>
      </c>
      <c r="AD100">
        <f>HYPERLINK("https://klasma.github.io/Logging_0881/tillsynsmail/A 13412-2026 tillsynsbegäran mail.docx", "A 13412-2026")</f>
        <v/>
      </c>
    </row>
    <row r="101" ht="15" customHeight="1">
      <c r="A101" t="inlineStr">
        <is>
          <t>A 50008-2023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45215</v>
      </c>
      <c r="E101" s="1" t="n">
        <v>46313</v>
      </c>
      <c r="F101" t="inlineStr">
        <is>
          <t>KALMAR LÄN</t>
        </is>
      </c>
      <c r="G101" t="inlineStr">
        <is>
          <t>NYBRO</t>
        </is>
      </c>
      <c r="I101" t="n">
        <v>2.1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s="2" t="inlineStr">
        <is>
          <t>Mindre bastardsvärmare</t>
        </is>
      </c>
      <c r="W101">
        <f>HYPERLINK("https://klasma.github.io/Logging_0881/artfynd/A 50008-2023 artfynd.xlsx", "A 50008-2023")</f>
        <v/>
      </c>
      <c r="X101">
        <f>HYPERLINK("https://klasma.github.io/Logging_0881/kartor/A 50008-2023 karta.png", "A 50008-2023")</f>
        <v/>
      </c>
      <c r="Y101">
        <f>HYPERLINK("https://klasma.github.io/Logging_0881/kartor_geotiff/A 50008-2023 georefererad karta.tif", "A 50008-2023")</f>
        <v/>
      </c>
      <c r="AA101">
        <f>HYPERLINK("https://klasma.github.io/Logging_0881/klagomål/A 50008-2023 FSC-klagomål.docx", "A 50008-2023")</f>
        <v/>
      </c>
      <c r="AB101">
        <f>HYPERLINK("https://klasma.github.io/Logging_0881/klagomålsmail/A 50008-2023 FSC-klagomål mail.docx", "A 50008-2023")</f>
        <v/>
      </c>
      <c r="AC101">
        <f>HYPERLINK("https://klasma.github.io/Logging_0881/tillsyn/A 50008-2023 tillsynsbegäran.docx", "A 50008-2023")</f>
        <v/>
      </c>
      <c r="AD101">
        <f>HYPERLINK("https://klasma.github.io/Logging_0881/tillsynsmail/A 50008-2023 tillsynsbegäran mail.docx", "A 50008-2023")</f>
        <v/>
      </c>
    </row>
    <row r="102" ht="15" customHeight="1">
      <c r="A102" t="inlineStr">
        <is>
          <t>A 16161-2026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46109</v>
      </c>
      <c r="E102" s="1" t="n">
        <v>46313</v>
      </c>
      <c r="F102" t="inlineStr">
        <is>
          <t>KALMAR LÄN</t>
        </is>
      </c>
      <c r="G102" t="inlineStr">
        <is>
          <t>NYBRO</t>
        </is>
      </c>
      <c r="I102" t="n">
        <v>6.1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2</v>
      </c>
      <c r="U102" t="n">
        <v>0</v>
      </c>
      <c r="V102" s="2" t="inlineStr">
        <is>
          <t>Mosippa</t>
        </is>
      </c>
      <c r="W102">
        <f>HYPERLINK("https://klasma.github.io/Logging_0881/artfynd/A 16161-2026 artfynd.xlsx", "A 16161-2026")</f>
        <v/>
      </c>
      <c r="X102">
        <f>HYPERLINK("https://klasma.github.io/Logging_0881/kartor/A 16161-2026 karta.png", "A 16161-2026")</f>
        <v/>
      </c>
      <c r="Y102">
        <f>HYPERLINK("https://klasma.github.io/Logging_0881/kartor_geotiff/A 16161-2026 georefererad karta.tif", "A 16161-2026")</f>
        <v/>
      </c>
      <c r="AA102">
        <f>HYPERLINK("https://klasma.github.io/Logging_0881/klagomål/A 16161-2026 FSC-klagomål.docx", "A 16161-2026")</f>
        <v/>
      </c>
      <c r="AB102">
        <f>HYPERLINK("https://klasma.github.io/Logging_0881/klagomålsmail/A 16161-2026 FSC-klagomål mail.docx", "A 16161-2026")</f>
        <v/>
      </c>
      <c r="AC102">
        <f>HYPERLINK("https://klasma.github.io/Logging_0881/tillsyn/A 16161-2026 tillsynsbegäran.docx", "A 16161-2026")</f>
        <v/>
      </c>
      <c r="AD102">
        <f>HYPERLINK("https://klasma.github.io/Logging_0881/tillsynsmail/A 16161-2026 tillsynsbegäran mail.docx", "A 16161-2026")</f>
        <v/>
      </c>
    </row>
    <row r="103" ht="15" customHeight="1">
      <c r="A103" t="inlineStr">
        <is>
          <t>A 38265-2024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45545</v>
      </c>
      <c r="E103" s="1" t="n">
        <v>46313</v>
      </c>
      <c r="F103" t="inlineStr">
        <is>
          <t>KALMAR LÄN</t>
        </is>
      </c>
      <c r="G103" t="inlineStr">
        <is>
          <t>NYBRO</t>
        </is>
      </c>
      <c r="I103" t="n">
        <v>4.2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s="2" t="inlineStr">
        <is>
          <t>Mindre bastardsvärmare</t>
        </is>
      </c>
      <c r="W103">
        <f>HYPERLINK("https://klasma.github.io/Logging_0881/artfynd/A 38265-2024 artfynd.xlsx", "A 38265-2024")</f>
        <v/>
      </c>
      <c r="X103">
        <f>HYPERLINK("https://klasma.github.io/Logging_0881/kartor/A 38265-2024 karta.png", "A 38265-2024")</f>
        <v/>
      </c>
      <c r="Y103">
        <f>HYPERLINK("https://klasma.github.io/Logging_0881/kartor_geotiff/A 38265-2024 georefererad karta.tif", "A 38265-2024")</f>
        <v/>
      </c>
      <c r="AA103">
        <f>HYPERLINK("https://klasma.github.io/Logging_0881/klagomål/A 38265-2024 FSC-klagomål.docx", "A 38265-2024")</f>
        <v/>
      </c>
      <c r="AB103">
        <f>HYPERLINK("https://klasma.github.io/Logging_0881/klagomålsmail/A 38265-2024 FSC-klagomål mail.docx", "A 38265-2024")</f>
        <v/>
      </c>
      <c r="AC103">
        <f>HYPERLINK("https://klasma.github.io/Logging_0881/tillsyn/A 38265-2024 tillsynsbegäran.docx", "A 38265-2024")</f>
        <v/>
      </c>
      <c r="AD103">
        <f>HYPERLINK("https://klasma.github.io/Logging_0881/tillsynsmail/A 38265-2024 tillsynsbegäran mail.docx", "A 38265-2024")</f>
        <v/>
      </c>
    </row>
    <row r="104" ht="15" customHeight="1">
      <c r="A104" t="inlineStr">
        <is>
          <t>A 46223-2024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45581</v>
      </c>
      <c r="E104" s="1" t="n">
        <v>46313</v>
      </c>
      <c r="F104" t="inlineStr">
        <is>
          <t>KALMAR LÄN</t>
        </is>
      </c>
      <c r="G104" t="inlineStr">
        <is>
          <t>NYBRO</t>
        </is>
      </c>
      <c r="I104" t="n">
        <v>2.8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s="2" t="inlineStr">
        <is>
          <t>Sumpviol</t>
        </is>
      </c>
      <c r="W104">
        <f>HYPERLINK("https://klasma.github.io/Logging_0881/artfynd/A 46223-2024 artfynd.xlsx", "A 46223-2024")</f>
        <v/>
      </c>
      <c r="X104">
        <f>HYPERLINK("https://klasma.github.io/Logging_0881/kartor/A 46223-2024 karta.png", "A 46223-2024")</f>
        <v/>
      </c>
      <c r="Y104">
        <f>HYPERLINK("https://klasma.github.io/Logging_0881/kartor_geotiff/A 46223-2024 georefererad karta.tif", "A 46223-2024")</f>
        <v/>
      </c>
      <c r="AA104">
        <f>HYPERLINK("https://klasma.github.io/Logging_0881/klagomål/A 46223-2024 FSC-klagomål.docx", "A 46223-2024")</f>
        <v/>
      </c>
      <c r="AB104">
        <f>HYPERLINK("https://klasma.github.io/Logging_0881/klagomålsmail/A 46223-2024 FSC-klagomål mail.docx", "A 46223-2024")</f>
        <v/>
      </c>
      <c r="AC104">
        <f>HYPERLINK("https://klasma.github.io/Logging_0881/tillsyn/A 46223-2024 tillsynsbegäran.docx", "A 46223-2024")</f>
        <v/>
      </c>
      <c r="AD104">
        <f>HYPERLINK("https://klasma.github.io/Logging_0881/tillsynsmail/A 46223-2024 tillsynsbegäran mail.docx", "A 46223-2024")</f>
        <v/>
      </c>
    </row>
    <row r="105" ht="15" customHeight="1">
      <c r="A105" t="inlineStr">
        <is>
          <t>A 31861-2023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45118</v>
      </c>
      <c r="E105" s="1" t="n">
        <v>46313</v>
      </c>
      <c r="F105" t="inlineStr">
        <is>
          <t>KALMAR LÄN</t>
        </is>
      </c>
      <c r="G105" t="inlineStr">
        <is>
          <t>NYBRO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3</v>
      </c>
      <c r="U105" t="n">
        <v>0</v>
      </c>
      <c r="V105" s="2" t="inlineStr">
        <is>
          <t>Ask</t>
        </is>
      </c>
      <c r="W105">
        <f>HYPERLINK("https://klasma.github.io/Logging_0881/artfynd/A 31861-2023 artfynd.xlsx", "A 31861-2023")</f>
        <v/>
      </c>
      <c r="X105">
        <f>HYPERLINK("https://klasma.github.io/Logging_0881/kartor/A 31861-2023 karta.png", "A 31861-2023")</f>
        <v/>
      </c>
      <c r="Y105">
        <f>HYPERLINK("https://klasma.github.io/Logging_0881/kartor_geotiff/A 31861-2023 georefererad karta.tif", "A 31861-2023")</f>
        <v/>
      </c>
      <c r="AA105">
        <f>HYPERLINK("https://klasma.github.io/Logging_0881/klagomål/A 31861-2023 FSC-klagomål.docx", "A 31861-2023")</f>
        <v/>
      </c>
      <c r="AB105">
        <f>HYPERLINK("https://klasma.github.io/Logging_0881/klagomålsmail/A 31861-2023 FSC-klagomål mail.docx", "A 31861-2023")</f>
        <v/>
      </c>
      <c r="AC105">
        <f>HYPERLINK("https://klasma.github.io/Logging_0881/tillsyn/A 31861-2023 tillsynsbegäran.docx", "A 31861-2023")</f>
        <v/>
      </c>
      <c r="AD105">
        <f>HYPERLINK("https://klasma.github.io/Logging_0881/tillsynsmail/A 31861-2023 tillsynsbegäran mail.docx", "A 31861-2023")</f>
        <v/>
      </c>
    </row>
    <row r="106" ht="15" customHeight="1">
      <c r="A106" t="inlineStr">
        <is>
          <t>A 35388-2022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44798</v>
      </c>
      <c r="E106" s="1" t="n">
        <v>46313</v>
      </c>
      <c r="F106" t="inlineStr">
        <is>
          <t>KALMAR LÄN</t>
        </is>
      </c>
      <c r="G106" t="inlineStr">
        <is>
          <t>NYBRO</t>
        </is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s="2" t="inlineStr">
        <is>
          <t>Motaggsvamp</t>
        </is>
      </c>
      <c r="W106">
        <f>HYPERLINK("https://klasma.github.io/Logging_0881/artfynd/A 35388-2022 artfynd.xlsx", "A 35388-2022")</f>
        <v/>
      </c>
      <c r="X106">
        <f>HYPERLINK("https://klasma.github.io/Logging_0881/kartor/A 35388-2022 karta.png", "A 35388-2022")</f>
        <v/>
      </c>
      <c r="Y106">
        <f>HYPERLINK("https://klasma.github.io/Logging_0881/kartor_geotiff/A 35388-2022 georefererad karta.tif", "A 35388-2022")</f>
        <v/>
      </c>
      <c r="AA106">
        <f>HYPERLINK("https://klasma.github.io/Logging_0881/klagomål/A 35388-2022 FSC-klagomål.docx", "A 35388-2022")</f>
        <v/>
      </c>
      <c r="AB106">
        <f>HYPERLINK("https://klasma.github.io/Logging_0881/klagomålsmail/A 35388-2022 FSC-klagomål mail.docx", "A 35388-2022")</f>
        <v/>
      </c>
      <c r="AC106">
        <f>HYPERLINK("https://klasma.github.io/Logging_0881/tillsyn/A 35388-2022 tillsynsbegäran.docx", "A 35388-2022")</f>
        <v/>
      </c>
      <c r="AD106">
        <f>HYPERLINK("https://klasma.github.io/Logging_0881/tillsynsmail/A 35388-2022 tillsynsbegäran mail.docx", "A 35388-2022")</f>
        <v/>
      </c>
    </row>
    <row r="107" ht="15" customHeight="1">
      <c r="A107" t="inlineStr">
        <is>
          <t>A 12323-2025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45730</v>
      </c>
      <c r="E107" s="1" t="n">
        <v>46313</v>
      </c>
      <c r="F107" t="inlineStr">
        <is>
          <t>KALMAR LÄN</t>
        </is>
      </c>
      <c r="G107" t="inlineStr">
        <is>
          <t>NYBRO</t>
        </is>
      </c>
      <c r="I107" t="n">
        <v>14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Mindre hackspett</t>
        </is>
      </c>
      <c r="W107">
        <f>HYPERLINK("https://klasma.github.io/Logging_0881/artfynd/A 12323-2025 artfynd.xlsx", "A 12323-2025")</f>
        <v/>
      </c>
      <c r="X107">
        <f>HYPERLINK("https://klasma.github.io/Logging_0881/kartor/A 12323-2025 karta.png", "A 12323-2025")</f>
        <v/>
      </c>
      <c r="Y107">
        <f>HYPERLINK("https://klasma.github.io/Logging_0881/kartor_geotiff/A 12323-2025 georefererad karta.tif", "A 12323-2025")</f>
        <v/>
      </c>
      <c r="AA107">
        <f>HYPERLINK("https://klasma.github.io/Logging_0881/klagomål/A 12323-2025 FSC-klagomål.docx", "A 12323-2025")</f>
        <v/>
      </c>
      <c r="AB107">
        <f>HYPERLINK("https://klasma.github.io/Logging_0881/klagomålsmail/A 12323-2025 FSC-klagomål mail.docx", "A 12323-2025")</f>
        <v/>
      </c>
      <c r="AC107">
        <f>HYPERLINK("https://klasma.github.io/Logging_0881/tillsyn/A 12323-2025 tillsynsbegäran.docx", "A 12323-2025")</f>
        <v/>
      </c>
      <c r="AD107">
        <f>HYPERLINK("https://klasma.github.io/Logging_0881/tillsynsmail/A 12323-2025 tillsynsbegäran mail.docx", "A 12323-2025")</f>
        <v/>
      </c>
      <c r="AE107">
        <f>HYPERLINK("https://klasma.github.io/Logging_0881/fåglar/A 12323-2025 prioriterade fågelarter.docx", "A 12323-2025")</f>
        <v/>
      </c>
    </row>
    <row r="108" ht="15" customHeight="1">
      <c r="A108" t="inlineStr">
        <is>
          <t>A 22127-2026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46153</v>
      </c>
      <c r="E108" s="1" t="n">
        <v>46313</v>
      </c>
      <c r="F108" t="inlineStr">
        <is>
          <t>KALMAR LÄN</t>
        </is>
      </c>
      <c r="G108" t="inlineStr">
        <is>
          <t>NYBRO</t>
        </is>
      </c>
      <c r="I108" t="n">
        <v>4.3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Talltita</t>
        </is>
      </c>
      <c r="W108">
        <f>HYPERLINK("https://klasma.github.io/Logging_0881/artfynd/A 22127-2026 artfynd.xlsx", "A 22127-2026")</f>
        <v/>
      </c>
      <c r="X108">
        <f>HYPERLINK("https://klasma.github.io/Logging_0881/kartor/A 22127-2026 karta.png", "A 22127-2026")</f>
        <v/>
      </c>
      <c r="Y108">
        <f>HYPERLINK("https://klasma.github.io/Logging_0881/kartor_geotiff/A 22127-2026 georefererad karta.tif", "A 22127-2026")</f>
        <v/>
      </c>
      <c r="AA108">
        <f>HYPERLINK("https://klasma.github.io/Logging_0881/klagomål/A 22127-2026 FSC-klagomål.docx", "A 22127-2026")</f>
        <v/>
      </c>
      <c r="AB108">
        <f>HYPERLINK("https://klasma.github.io/Logging_0881/klagomålsmail/A 22127-2026 FSC-klagomål mail.docx", "A 22127-2026")</f>
        <v/>
      </c>
      <c r="AC108">
        <f>HYPERLINK("https://klasma.github.io/Logging_0881/tillsyn/A 22127-2026 tillsynsbegäran.docx", "A 22127-2026")</f>
        <v/>
      </c>
      <c r="AD108">
        <f>HYPERLINK("https://klasma.github.io/Logging_0881/tillsynsmail/A 22127-2026 tillsynsbegäran mail.docx", "A 22127-2026")</f>
        <v/>
      </c>
      <c r="AE108">
        <f>HYPERLINK("https://klasma.github.io/Logging_0881/fåglar/A 22127-2026 prioriterade fågelarter.docx", "A 22127-2026")</f>
        <v/>
      </c>
    </row>
    <row r="109" ht="15" customHeight="1">
      <c r="A109" t="inlineStr">
        <is>
          <t>A 1717-2024</t>
        </is>
      </c>
      <c r="B109" t="inlineStr">
        <is>
          <t>avverkningsanmälan</t>
        </is>
      </c>
      <c r="C109" t="inlineStr">
        <is>
          <t>Avverkning för att bevara och utveckla /försöksver</t>
        </is>
      </c>
      <c r="D109" s="1" t="n">
        <v>45307</v>
      </c>
      <c r="E109" s="1" t="n">
        <v>46313</v>
      </c>
      <c r="F109" t="inlineStr">
        <is>
          <t>KALMAR LÄN</t>
        </is>
      </c>
      <c r="G109" t="inlineStr">
        <is>
          <t>NYBRO</t>
        </is>
      </c>
      <c r="H109" t="inlineStr">
        <is>
          <t>Sveaskog</t>
        </is>
      </c>
      <c r="I109" t="n">
        <v>0.7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Blåsippa</t>
        </is>
      </c>
      <c r="W109">
        <f>HYPERLINK("https://klasma.github.io/Logging_0881/artfynd/A 1717-2024 artfynd.xlsx", "A 1717-2024")</f>
        <v/>
      </c>
      <c r="X109">
        <f>HYPERLINK("https://klasma.github.io/Logging_0881/kartor/A 1717-2024 karta.png", "A 1717-2024")</f>
        <v/>
      </c>
      <c r="Y109">
        <f>HYPERLINK("https://klasma.github.io/Logging_0881/kartor_geotiff/A 1717-2024 georefererad karta.tif", "A 1717-2024")</f>
        <v/>
      </c>
      <c r="AA109">
        <f>HYPERLINK("https://klasma.github.io/Logging_0881/klagomål/A 1717-2024 FSC-klagomål.docx", "A 1717-2024")</f>
        <v/>
      </c>
      <c r="AB109">
        <f>HYPERLINK("https://klasma.github.io/Logging_0881/klagomålsmail/A 1717-2024 FSC-klagomål mail.docx", "A 1717-2024")</f>
        <v/>
      </c>
      <c r="AC109">
        <f>HYPERLINK("https://klasma.github.io/Logging_0881/tillsyn/A 1717-2024 tillsynsbegäran.docx", "A 1717-2024")</f>
        <v/>
      </c>
      <c r="AD109">
        <f>HYPERLINK("https://klasma.github.io/Logging_0881/tillsynsmail/A 1717-2024 tillsynsbegäran mail.docx", "A 1717-2024")</f>
        <v/>
      </c>
    </row>
    <row r="110" ht="15" customHeight="1">
      <c r="A110" t="inlineStr">
        <is>
          <t>A 34361-2026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46254</v>
      </c>
      <c r="E110" s="1" t="n">
        <v>46313</v>
      </c>
      <c r="F110" t="inlineStr">
        <is>
          <t>KALMAR LÄN</t>
        </is>
      </c>
      <c r="G110" t="inlineStr">
        <is>
          <t>NYBRO</t>
        </is>
      </c>
      <c r="H110" t="inlineStr">
        <is>
          <t>Sveaskog</t>
        </is>
      </c>
      <c r="I110" t="n">
        <v>9.5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Havsörn</t>
        </is>
      </c>
      <c r="W110">
        <f>HYPERLINK("https://klasma.github.io/Logging_0881/artfynd/A 34361-2026 artfynd.xlsx", "A 34361-2026")</f>
        <v/>
      </c>
      <c r="X110">
        <f>HYPERLINK("https://klasma.github.io/Logging_0881/kartor/A 34361-2026 karta.png", "A 34361-2026")</f>
        <v/>
      </c>
      <c r="Y110">
        <f>HYPERLINK("https://klasma.github.io/Logging_0881/kartor_geotiff/A 34361-2026 georefererad karta.tif", "A 34361-2026")</f>
        <v/>
      </c>
      <c r="AA110">
        <f>HYPERLINK("https://klasma.github.io/Logging_0881/klagomål/A 34361-2026 FSC-klagomål.docx", "A 34361-2026")</f>
        <v/>
      </c>
      <c r="AB110">
        <f>HYPERLINK("https://klasma.github.io/Logging_0881/klagomålsmail/A 34361-2026 FSC-klagomål mail.docx", "A 34361-2026")</f>
        <v/>
      </c>
      <c r="AC110">
        <f>HYPERLINK("https://klasma.github.io/Logging_0881/tillsyn/A 34361-2026 tillsynsbegäran.docx", "A 34361-2026")</f>
        <v/>
      </c>
      <c r="AD110">
        <f>HYPERLINK("https://klasma.github.io/Logging_0881/tillsynsmail/A 34361-2026 tillsynsbegäran mail.docx", "A 34361-2026")</f>
        <v/>
      </c>
      <c r="AE110">
        <f>HYPERLINK("https://klasma.github.io/Logging_0881/fåglar/A 34361-2026 prioriterade fågelarter.docx", "A 34361-2026")</f>
        <v/>
      </c>
    </row>
    <row r="111" ht="15" customHeight="1">
      <c r="A111" t="inlineStr">
        <is>
          <t>A 41307-2026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46300</v>
      </c>
      <c r="E111" s="1" t="n">
        <v>46313</v>
      </c>
      <c r="F111" t="inlineStr">
        <is>
          <t>KALMAR LÄN</t>
        </is>
      </c>
      <c r="G111" t="inlineStr">
        <is>
          <t>NYBRO</t>
        </is>
      </c>
      <c r="I111" t="n">
        <v>5.2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s="2" t="inlineStr">
        <is>
          <t>Vanlig groda</t>
        </is>
      </c>
      <c r="W111">
        <f>HYPERLINK("https://klasma.github.io/Logging_0881/artfynd/A 41307-2026 artfynd.xlsx", "A 41307-2026")</f>
        <v/>
      </c>
      <c r="X111">
        <f>HYPERLINK("https://klasma.github.io/Logging_0881/kartor/A 41307-2026 karta.png", "A 41307-2026")</f>
        <v/>
      </c>
      <c r="Y111">
        <f>HYPERLINK("https://klasma.github.io/Logging_0881/kartor_geotiff/A 41307-2026 georefererad karta.tif", "A 41307-2026")</f>
        <v/>
      </c>
      <c r="AA111">
        <f>HYPERLINK("https://klasma.github.io/Logging_0881/klagomål/A 41307-2026 FSC-klagomål.docx", "A 41307-2026")</f>
        <v/>
      </c>
      <c r="AB111">
        <f>HYPERLINK("https://klasma.github.io/Logging_0881/klagomålsmail/A 41307-2026 FSC-klagomål mail.docx", "A 41307-2026")</f>
        <v/>
      </c>
      <c r="AC111">
        <f>HYPERLINK("https://klasma.github.io/Logging_0881/tillsyn/A 41307-2026 tillsynsbegäran.docx", "A 41307-2026")</f>
        <v/>
      </c>
      <c r="AD111">
        <f>HYPERLINK("https://klasma.github.io/Logging_0881/tillsynsmail/A 41307-2026 tillsynsbegäran mail.docx", "A 41307-2026")</f>
        <v/>
      </c>
    </row>
    <row r="112" ht="15" customHeight="1">
      <c r="A112" t="inlineStr">
        <is>
          <t>A 37621-2024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45541</v>
      </c>
      <c r="E112" s="1" t="n">
        <v>46313</v>
      </c>
      <c r="F112" t="inlineStr">
        <is>
          <t>KALMAR LÄN</t>
        </is>
      </c>
      <c r="G112" t="inlineStr">
        <is>
          <t>NYBRO</t>
        </is>
      </c>
      <c r="I112" t="n">
        <v>4.1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s="2" t="inlineStr">
        <is>
          <t>Blåmossa</t>
        </is>
      </c>
      <c r="W112">
        <f>HYPERLINK("https://klasma.github.io/Logging_0881/artfynd/A 37621-2024 artfynd.xlsx", "A 37621-2024")</f>
        <v/>
      </c>
      <c r="X112">
        <f>HYPERLINK("https://klasma.github.io/Logging_0881/kartor/A 37621-2024 karta.png", "A 37621-2024")</f>
        <v/>
      </c>
      <c r="Y112">
        <f>HYPERLINK("https://klasma.github.io/Logging_0881/kartor_geotiff/A 37621-2024 georefererad karta.tif", "A 37621-2024")</f>
        <v/>
      </c>
      <c r="AA112">
        <f>HYPERLINK("https://klasma.github.io/Logging_0881/klagomål/A 37621-2024 FSC-klagomål.docx", "A 37621-2024")</f>
        <v/>
      </c>
      <c r="AB112">
        <f>HYPERLINK("https://klasma.github.io/Logging_0881/klagomålsmail/A 37621-2024 FSC-klagomål mail.docx", "A 37621-2024")</f>
        <v/>
      </c>
      <c r="AC112">
        <f>HYPERLINK("https://klasma.github.io/Logging_0881/tillsyn/A 37621-2024 tillsynsbegäran.docx", "A 37621-2024")</f>
        <v/>
      </c>
      <c r="AD112">
        <f>HYPERLINK("https://klasma.github.io/Logging_0881/tillsynsmail/A 37621-2024 tillsynsbegäran mail.docx", "A 37621-2024")</f>
        <v/>
      </c>
    </row>
    <row r="113" ht="15" customHeight="1">
      <c r="A113" t="inlineStr">
        <is>
          <t>A 6931-2025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45701</v>
      </c>
      <c r="E113" s="1" t="n">
        <v>46313</v>
      </c>
      <c r="F113" t="inlineStr">
        <is>
          <t>KALMAR LÄN</t>
        </is>
      </c>
      <c r="G113" t="inlineStr">
        <is>
          <t>NYBRO</t>
        </is>
      </c>
      <c r="I113" t="n">
        <v>2.7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s="2" t="inlineStr">
        <is>
          <t>Grönpyrola</t>
        </is>
      </c>
      <c r="W113">
        <f>HYPERLINK("https://klasma.github.io/Logging_0881/artfynd/A 6931-2025 artfynd.xlsx", "A 6931-2025")</f>
        <v/>
      </c>
      <c r="X113">
        <f>HYPERLINK("https://klasma.github.io/Logging_0881/kartor/A 6931-2025 karta.png", "A 6931-2025")</f>
        <v/>
      </c>
      <c r="Y113">
        <f>HYPERLINK("https://klasma.github.io/Logging_0881/kartor_geotiff/A 6931-2025 georefererad karta.tif", "A 6931-2025")</f>
        <v/>
      </c>
      <c r="AA113">
        <f>HYPERLINK("https://klasma.github.io/Logging_0881/klagomål/A 6931-2025 FSC-klagomål.docx", "A 6931-2025")</f>
        <v/>
      </c>
      <c r="AB113">
        <f>HYPERLINK("https://klasma.github.io/Logging_0881/klagomålsmail/A 6931-2025 FSC-klagomål mail.docx", "A 6931-2025")</f>
        <v/>
      </c>
      <c r="AC113">
        <f>HYPERLINK("https://klasma.github.io/Logging_0881/tillsyn/A 6931-2025 tillsynsbegäran.docx", "A 6931-2025")</f>
        <v/>
      </c>
      <c r="AD113">
        <f>HYPERLINK("https://klasma.github.io/Logging_0881/tillsynsmail/A 6931-2025 tillsynsbegäran mail.docx", "A 6931-2025")</f>
        <v/>
      </c>
    </row>
    <row r="114" ht="15" customHeight="1">
      <c r="A114" t="inlineStr">
        <is>
          <t>A 41719-2026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46302</v>
      </c>
      <c r="E114" s="1" t="n">
        <v>46313</v>
      </c>
      <c r="F114" t="inlineStr">
        <is>
          <t>KALMAR LÄN</t>
        </is>
      </c>
      <c r="G114" t="inlineStr">
        <is>
          <t>NYBRO</t>
        </is>
      </c>
      <c r="I114" t="n">
        <v>1.4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Spillkråka</t>
        </is>
      </c>
      <c r="W114">
        <f>HYPERLINK("https://klasma.github.io/Logging_0881/artfynd/A 41719-2026 artfynd.xlsx", "A 41719-2026")</f>
        <v/>
      </c>
      <c r="X114">
        <f>HYPERLINK("https://klasma.github.io/Logging_0881/kartor/A 41719-2026 karta.png", "A 41719-2026")</f>
        <v/>
      </c>
      <c r="Y114">
        <f>HYPERLINK("https://klasma.github.io/Logging_0881/kartor_geotiff/A 41719-2026 georefererad karta.tif", "A 41719-2026")</f>
        <v/>
      </c>
      <c r="AA114">
        <f>HYPERLINK("https://klasma.github.io/Logging_0881/klagomål/A 41719-2026 FSC-klagomål.docx", "A 41719-2026")</f>
        <v/>
      </c>
      <c r="AB114">
        <f>HYPERLINK("https://klasma.github.io/Logging_0881/klagomålsmail/A 41719-2026 FSC-klagomål mail.docx", "A 41719-2026")</f>
        <v/>
      </c>
      <c r="AC114">
        <f>HYPERLINK("https://klasma.github.io/Logging_0881/tillsyn/A 41719-2026 tillsynsbegäran.docx", "A 41719-2026")</f>
        <v/>
      </c>
      <c r="AD114">
        <f>HYPERLINK("https://klasma.github.io/Logging_0881/tillsynsmail/A 41719-2026 tillsynsbegäran mail.docx", "A 41719-2026")</f>
        <v/>
      </c>
      <c r="AE114">
        <f>HYPERLINK("https://klasma.github.io/Logging_0881/fåglar/A 41719-2026 prioriterade fågelarter.docx", "A 41719-2026")</f>
        <v/>
      </c>
    </row>
    <row r="115" ht="15" customHeight="1">
      <c r="A115" t="inlineStr">
        <is>
          <t>A 60036-2022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44909</v>
      </c>
      <c r="E115" s="1" t="n">
        <v>46313</v>
      </c>
      <c r="F115" t="inlineStr">
        <is>
          <t>KALMAR LÄN</t>
        </is>
      </c>
      <c r="G115" t="inlineStr">
        <is>
          <t>NYBRO</t>
        </is>
      </c>
      <c r="I115" t="n">
        <v>8.699999999999999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13</v>
      </c>
      <c r="U115" t="n">
        <v>0</v>
      </c>
      <c r="V115" s="2" t="inlineStr">
        <is>
          <t>Knärot</t>
        </is>
      </c>
      <c r="W115">
        <f>HYPERLINK("https://klasma.github.io/Logging_0881/artfynd/A 60036-2022 artfynd.xlsx", "A 60036-2022")</f>
        <v/>
      </c>
      <c r="X115">
        <f>HYPERLINK("https://klasma.github.io/Logging_0881/kartor/A 60036-2022 karta.png", "A 60036-2022")</f>
        <v/>
      </c>
      <c r="Y115">
        <f>HYPERLINK("https://klasma.github.io/Logging_0881/kartor_geotiff/A 60036-2022 georefererad karta.tif", "A 60036-2022")</f>
        <v/>
      </c>
      <c r="Z115">
        <f>HYPERLINK("https://klasma.github.io/Logging_0881/knärot/A 60036-2022 karta knärot.png", "A 60036-2022")</f>
        <v/>
      </c>
      <c r="AA115">
        <f>HYPERLINK("https://klasma.github.io/Logging_0881/klagomål/A 60036-2022 FSC-klagomål.docx", "A 60036-2022")</f>
        <v/>
      </c>
      <c r="AB115">
        <f>HYPERLINK("https://klasma.github.io/Logging_0881/klagomålsmail/A 60036-2022 FSC-klagomål mail.docx", "A 60036-2022")</f>
        <v/>
      </c>
      <c r="AC115">
        <f>HYPERLINK("https://klasma.github.io/Logging_0881/tillsyn/A 60036-2022 tillsynsbegäran.docx", "A 60036-2022")</f>
        <v/>
      </c>
      <c r="AD115">
        <f>HYPERLINK("https://klasma.github.io/Logging_0881/tillsynsmail/A 60036-2022 tillsynsbegäran mail.docx", "A 60036-2022")</f>
        <v/>
      </c>
    </row>
    <row r="116" ht="15" customHeight="1">
      <c r="A116" t="inlineStr">
        <is>
          <t>A 38798-2024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45547</v>
      </c>
      <c r="E116" s="1" t="n">
        <v>46313</v>
      </c>
      <c r="F116" t="inlineStr">
        <is>
          <t>KALMAR LÄN</t>
        </is>
      </c>
      <c r="G116" t="inlineStr">
        <is>
          <t>NYBRO</t>
        </is>
      </c>
      <c r="I116" t="n">
        <v>1.9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Nattskärra</t>
        </is>
      </c>
      <c r="W116">
        <f>HYPERLINK("https://klasma.github.io/Logging_0881/artfynd/A 38798-2024 artfynd.xlsx", "A 38798-2024")</f>
        <v/>
      </c>
      <c r="X116">
        <f>HYPERLINK("https://klasma.github.io/Logging_0881/kartor/A 38798-2024 karta.png", "A 38798-2024")</f>
        <v/>
      </c>
      <c r="Y116">
        <f>HYPERLINK("https://klasma.github.io/Logging_0881/kartor_geotiff/A 38798-2024 georefererad karta.tif", "A 38798-2024")</f>
        <v/>
      </c>
      <c r="AA116">
        <f>HYPERLINK("https://klasma.github.io/Logging_0881/klagomål/A 38798-2024 FSC-klagomål.docx", "A 38798-2024")</f>
        <v/>
      </c>
      <c r="AB116">
        <f>HYPERLINK("https://klasma.github.io/Logging_0881/klagomålsmail/A 38798-2024 FSC-klagomål mail.docx", "A 38798-2024")</f>
        <v/>
      </c>
      <c r="AC116">
        <f>HYPERLINK("https://klasma.github.io/Logging_0881/tillsyn/A 38798-2024 tillsynsbegäran.docx", "A 38798-2024")</f>
        <v/>
      </c>
      <c r="AD116">
        <f>HYPERLINK("https://klasma.github.io/Logging_0881/tillsynsmail/A 38798-2024 tillsynsbegäran mail.docx", "A 38798-2024")</f>
        <v/>
      </c>
      <c r="AE116">
        <f>HYPERLINK("https://klasma.github.io/Logging_0881/fåglar/A 38798-2024 prioriterade fågelarter.docx", "A 38798-2024")</f>
        <v/>
      </c>
    </row>
    <row r="117" ht="15" customHeight="1">
      <c r="A117" t="inlineStr">
        <is>
          <t>A 49782-2025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45940</v>
      </c>
      <c r="E117" s="1" t="n">
        <v>46313</v>
      </c>
      <c r="F117" t="inlineStr">
        <is>
          <t>KALMAR LÄN</t>
        </is>
      </c>
      <c r="G117" t="inlineStr">
        <is>
          <t>NYBRO</t>
        </is>
      </c>
      <c r="I117" t="n">
        <v>5.9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Röd glada</t>
        </is>
      </c>
      <c r="W117">
        <f>HYPERLINK("https://klasma.github.io/Logging_0881/artfynd/A 49782-2025 artfynd.xlsx", "A 49782-2025")</f>
        <v/>
      </c>
      <c r="X117">
        <f>HYPERLINK("https://klasma.github.io/Logging_0881/kartor/A 49782-2025 karta.png", "A 49782-2025")</f>
        <v/>
      </c>
      <c r="Y117">
        <f>HYPERLINK("https://klasma.github.io/Logging_0881/kartor_geotiff/A 49782-2025 georefererad karta.tif", "A 49782-2025")</f>
        <v/>
      </c>
      <c r="AA117">
        <f>HYPERLINK("https://klasma.github.io/Logging_0881/klagomål/A 49782-2025 FSC-klagomål.docx", "A 49782-2025")</f>
        <v/>
      </c>
      <c r="AB117">
        <f>HYPERLINK("https://klasma.github.io/Logging_0881/klagomålsmail/A 49782-2025 FSC-klagomål mail.docx", "A 49782-2025")</f>
        <v/>
      </c>
      <c r="AC117">
        <f>HYPERLINK("https://klasma.github.io/Logging_0881/tillsyn/A 49782-2025 tillsynsbegäran.docx", "A 49782-2025")</f>
        <v/>
      </c>
      <c r="AD117">
        <f>HYPERLINK("https://klasma.github.io/Logging_0881/tillsynsmail/A 49782-2025 tillsynsbegäran mail.docx", "A 49782-2025")</f>
        <v/>
      </c>
      <c r="AE117">
        <f>HYPERLINK("https://klasma.github.io/Logging_0881/fåglar/A 49782-2025 prioriterade fågelarter.docx", "A 49782-2025")</f>
        <v/>
      </c>
    </row>
    <row r="118" ht="15" customHeight="1">
      <c r="A118" t="inlineStr">
        <is>
          <t>A 31773-2026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46230</v>
      </c>
      <c r="E118" s="1" t="n">
        <v>46313</v>
      </c>
      <c r="F118" t="inlineStr">
        <is>
          <t>KALMAR LÄN</t>
        </is>
      </c>
      <c r="G118" t="inlineStr">
        <is>
          <t>NYBRO</t>
        </is>
      </c>
      <c r="I118" t="n">
        <v>1.1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s="2" t="inlineStr">
        <is>
          <t>Blompraktbagge</t>
        </is>
      </c>
      <c r="W118">
        <f>HYPERLINK("https://klasma.github.io/Logging_0881/artfynd/A 31773-2026 artfynd.xlsx", "A 31773-2026")</f>
        <v/>
      </c>
      <c r="X118">
        <f>HYPERLINK("https://klasma.github.io/Logging_0881/kartor/A 31773-2026 karta.png", "A 31773-2026")</f>
        <v/>
      </c>
      <c r="Y118">
        <f>HYPERLINK("https://klasma.github.io/Logging_0881/kartor_geotiff/A 31773-2026 georefererad karta.tif", "A 31773-2026")</f>
        <v/>
      </c>
      <c r="AA118">
        <f>HYPERLINK("https://klasma.github.io/Logging_0881/klagomål/A 31773-2026 FSC-klagomål.docx", "A 31773-2026")</f>
        <v/>
      </c>
      <c r="AB118">
        <f>HYPERLINK("https://klasma.github.io/Logging_0881/klagomålsmail/A 31773-2026 FSC-klagomål mail.docx", "A 31773-2026")</f>
        <v/>
      </c>
      <c r="AC118">
        <f>HYPERLINK("https://klasma.github.io/Logging_0881/tillsyn/A 31773-2026 tillsynsbegäran.docx", "A 31773-2026")</f>
        <v/>
      </c>
      <c r="AD118">
        <f>HYPERLINK("https://klasma.github.io/Logging_0881/tillsynsmail/A 31773-2026 tillsynsbegäran mail.docx", "A 31773-2026")</f>
        <v/>
      </c>
    </row>
    <row r="119" ht="15" customHeight="1">
      <c r="A119" t="inlineStr">
        <is>
          <t>A 54216-2024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45616</v>
      </c>
      <c r="E119" s="1" t="n">
        <v>46313</v>
      </c>
      <c r="F119" t="inlineStr">
        <is>
          <t>KALMAR LÄN</t>
        </is>
      </c>
      <c r="G119" t="inlineStr">
        <is>
          <t>NYBRO</t>
        </is>
      </c>
      <c r="I119" t="n">
        <v>4.4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s="2" t="inlineStr">
        <is>
          <t>Spillkråka</t>
        </is>
      </c>
      <c r="W119">
        <f>HYPERLINK("https://klasma.github.io/Logging_0881/artfynd/A 54216-2024 artfynd.xlsx", "A 54216-2024")</f>
        <v/>
      </c>
      <c r="X119">
        <f>HYPERLINK("https://klasma.github.io/Logging_0881/kartor/A 54216-2024 karta.png", "A 54216-2024")</f>
        <v/>
      </c>
      <c r="Y119">
        <f>HYPERLINK("https://klasma.github.io/Logging_0881/kartor_geotiff/A 54216-2024 georefererad karta.tif", "A 54216-2024")</f>
        <v/>
      </c>
      <c r="AA119">
        <f>HYPERLINK("https://klasma.github.io/Logging_0881/klagomål/A 54216-2024 FSC-klagomål.docx", "A 54216-2024")</f>
        <v/>
      </c>
      <c r="AB119">
        <f>HYPERLINK("https://klasma.github.io/Logging_0881/klagomålsmail/A 54216-2024 FSC-klagomål mail.docx", "A 54216-2024")</f>
        <v/>
      </c>
      <c r="AC119">
        <f>HYPERLINK("https://klasma.github.io/Logging_0881/tillsyn/A 54216-2024 tillsynsbegäran.docx", "A 54216-2024")</f>
        <v/>
      </c>
      <c r="AD119">
        <f>HYPERLINK("https://klasma.github.io/Logging_0881/tillsynsmail/A 54216-2024 tillsynsbegäran mail.docx", "A 54216-2024")</f>
        <v/>
      </c>
      <c r="AE119">
        <f>HYPERLINK("https://klasma.github.io/Logging_0881/fåglar/A 54216-2024 prioriterade fågelarter.docx", "A 54216-2024")</f>
        <v/>
      </c>
    </row>
    <row r="120" ht="15" customHeight="1">
      <c r="A120" t="inlineStr">
        <is>
          <t>S 558-2022</t>
        </is>
      </c>
      <c r="B120" t="inlineStr">
        <is>
          <t>samrådsanmälan</t>
        </is>
      </c>
      <c r="C120" t="inlineStr">
        <is>
          <t>Askåterföring</t>
        </is>
      </c>
      <c r="D120" s="1" t="n">
        <v>44592</v>
      </c>
      <c r="E120" s="1" t="n">
        <v>46313</v>
      </c>
      <c r="F120" t="inlineStr">
        <is>
          <t>KALMAR LÄN</t>
        </is>
      </c>
      <c r="G120" t="inlineStr">
        <is>
          <t>NYBRO</t>
        </is>
      </c>
      <c r="I120" t="n">
        <v>16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s="2" t="inlineStr">
        <is>
          <t>Vanlig snok</t>
        </is>
      </c>
      <c r="W120">
        <f>HYPERLINK("https://klasma.github.io/Logging_0881/artfynd/S 558-2022 artfynd.xlsx", "S 558-2022")</f>
        <v/>
      </c>
      <c r="X120">
        <f>HYPERLINK("https://klasma.github.io/Logging_0881/kartor/S 558-2022 karta.png", "S 558-2022")</f>
        <v/>
      </c>
      <c r="Y120">
        <f>HYPERLINK("https://klasma.github.io/Logging_0881/kartor_geotiff/S 558-2022 georefererad karta.tif", "S 558-2022")</f>
        <v/>
      </c>
      <c r="AA120">
        <f>HYPERLINK("https://klasma.github.io/Logging_0881/klagomål/S 558-2022 FSC-klagomål.docx", "S 558-2022")</f>
        <v/>
      </c>
      <c r="AB120">
        <f>HYPERLINK("https://klasma.github.io/Logging_0881/klagomålsmail/S 558-2022 FSC-klagomål mail.docx", "S 558-2022")</f>
        <v/>
      </c>
      <c r="AC120">
        <f>HYPERLINK("https://klasma.github.io/Logging_0881/tillsyn/S 558-2022 tillsynsbegäran.docx", "S 558-2022")</f>
        <v/>
      </c>
      <c r="AD120">
        <f>HYPERLINK("https://klasma.github.io/Logging_0881/tillsynsmail/S 558-2022 tillsynsbegäran mail.docx", "S 558-2022")</f>
        <v/>
      </c>
    </row>
    <row r="121" ht="15" customHeight="1">
      <c r="A121" t="inlineStr">
        <is>
          <t>S 5351-2022</t>
        </is>
      </c>
      <c r="B121" t="inlineStr">
        <is>
          <t>samrådsanmälan</t>
        </is>
      </c>
      <c r="C121" t="inlineStr">
        <is>
          <t>Annan skogsbruksåtgärd</t>
        </is>
      </c>
      <c r="D121" s="1" t="n">
        <v>44830</v>
      </c>
      <c r="E121" s="1" t="n">
        <v>46313</v>
      </c>
      <c r="F121" t="inlineStr">
        <is>
          <t>KALMAR LÄN</t>
        </is>
      </c>
      <c r="G121" t="inlineStr">
        <is>
          <t>NYBRO</t>
        </is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s="2" t="inlineStr">
        <is>
          <t>Sumpviol</t>
        </is>
      </c>
      <c r="W121">
        <f>HYPERLINK("https://klasma.github.io/Logging_0881/artfynd/S 5351-2022 artfynd.xlsx", "S 5351-2022")</f>
        <v/>
      </c>
      <c r="X121">
        <f>HYPERLINK("https://klasma.github.io/Logging_0881/kartor/S 5351-2022 karta.png", "S 5351-2022")</f>
        <v/>
      </c>
      <c r="Y121">
        <f>HYPERLINK("https://klasma.github.io/Logging_0881/kartor_geotiff/S 5351-2022 georefererad karta.tif", "S 5351-2022")</f>
        <v/>
      </c>
      <c r="AA121">
        <f>HYPERLINK("https://klasma.github.io/Logging_0881/klagomål/S 5351-2022 FSC-klagomål.docx", "S 5351-2022")</f>
        <v/>
      </c>
      <c r="AB121">
        <f>HYPERLINK("https://klasma.github.io/Logging_0881/klagomålsmail/S 5351-2022 FSC-klagomål mail.docx", "S 5351-2022")</f>
        <v/>
      </c>
      <c r="AC121">
        <f>HYPERLINK("https://klasma.github.io/Logging_0881/tillsyn/S 5351-2022 tillsynsbegäran.docx", "S 5351-2022")</f>
        <v/>
      </c>
      <c r="AD121">
        <f>HYPERLINK("https://klasma.github.io/Logging_0881/tillsynsmail/S 5351-2022 tillsynsbegäran mail.docx", "S 5351-2022")</f>
        <v/>
      </c>
    </row>
    <row r="122" ht="15" customHeight="1">
      <c r="A122" t="inlineStr">
        <is>
          <t>S 4040-2024</t>
        </is>
      </c>
      <c r="B122" t="inlineStr">
        <is>
          <t>samrådsanmälan</t>
        </is>
      </c>
      <c r="C122" t="inlineStr">
        <is>
          <t>Askåterföring</t>
        </is>
      </c>
      <c r="D122" s="1" t="n">
        <v>45572</v>
      </c>
      <c r="E122" s="1" t="n">
        <v>46313</v>
      </c>
      <c r="F122" t="inlineStr">
        <is>
          <t>KALMAR LÄN</t>
        </is>
      </c>
      <c r="G122" t="inlineStr">
        <is>
          <t>NYBRO</t>
        </is>
      </c>
      <c r="I122" t="n">
        <v>32.9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s="2" t="inlineStr">
        <is>
          <t>Huggorm</t>
        </is>
      </c>
      <c r="W122">
        <f>HYPERLINK("https://klasma.github.io/Logging_0881/artfynd/S 4040-2024 artfynd.xlsx", "S 4040-2024")</f>
        <v/>
      </c>
      <c r="X122">
        <f>HYPERLINK("https://klasma.github.io/Logging_0881/kartor/S 4040-2024 karta.png", "S 4040-2024")</f>
        <v/>
      </c>
      <c r="Y122">
        <f>HYPERLINK("https://klasma.github.io/Logging_0881/kartor_geotiff/S 4040-2024 georefererad karta.tif", "S 4040-2024")</f>
        <v/>
      </c>
      <c r="AA122">
        <f>HYPERLINK("https://klasma.github.io/Logging_0881/klagomål/S 4040-2024 FSC-klagomål.docx", "S 4040-2024")</f>
        <v/>
      </c>
      <c r="AB122">
        <f>HYPERLINK("https://klasma.github.io/Logging_0881/klagomålsmail/S 4040-2024 FSC-klagomål mail.docx", "S 4040-2024")</f>
        <v/>
      </c>
      <c r="AC122">
        <f>HYPERLINK("https://klasma.github.io/Logging_0881/tillsyn/S 4040-2024 tillsynsbegäran.docx", "S 4040-2024")</f>
        <v/>
      </c>
      <c r="AD122">
        <f>HYPERLINK("https://klasma.github.io/Logging_0881/tillsynsmail/S 4040-2024 tillsynsbegäran mail.docx", "S 4040-2024")</f>
        <v/>
      </c>
    </row>
    <row r="123" ht="15" customHeight="1">
      <c r="A123" t="inlineStr">
        <is>
          <t>S 850-2022</t>
        </is>
      </c>
      <c r="B123" t="inlineStr">
        <is>
          <t>samrådsanmälan</t>
        </is>
      </c>
      <c r="C123" t="inlineStr">
        <is>
          <t>Askåterföring</t>
        </is>
      </c>
      <c r="D123" s="1" t="n">
        <v>44603</v>
      </c>
      <c r="E123" s="1" t="n">
        <v>46313</v>
      </c>
      <c r="F123" t="inlineStr">
        <is>
          <t>KALMAR LÄN</t>
        </is>
      </c>
      <c r="G123" t="inlineStr">
        <is>
          <t>NYBRO</t>
        </is>
      </c>
      <c r="I123" t="n">
        <v>35.7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Dofttaggsvamp</t>
        </is>
      </c>
      <c r="W123">
        <f>HYPERLINK("https://klasma.github.io/Logging_0881/artfynd/S 850-2022 artfynd.xlsx", "S 850-2022")</f>
        <v/>
      </c>
      <c r="X123">
        <f>HYPERLINK("https://klasma.github.io/Logging_0881/kartor/S 850-2022 karta.png", "S 850-2022")</f>
        <v/>
      </c>
      <c r="Y123">
        <f>HYPERLINK("https://klasma.github.io/Logging_0881/kartor_geotiff/S 850-2022 georefererad karta.tif", "S 850-2022")</f>
        <v/>
      </c>
      <c r="AA123">
        <f>HYPERLINK("https://klasma.github.io/Logging_0881/klagomål/S 850-2022 FSC-klagomål.docx", "S 850-2022")</f>
        <v/>
      </c>
      <c r="AB123">
        <f>HYPERLINK("https://klasma.github.io/Logging_0881/klagomålsmail/S 850-2022 FSC-klagomål mail.docx", "S 850-2022")</f>
        <v/>
      </c>
      <c r="AC123">
        <f>HYPERLINK("https://klasma.github.io/Logging_0881/tillsyn/S 850-2022 tillsynsbegäran.docx", "S 850-2022")</f>
        <v/>
      </c>
      <c r="AD123">
        <f>HYPERLINK("https://klasma.github.io/Logging_0881/tillsynsmail/S 850-2022 tillsynsbegäran mail.docx", "S 850-2022")</f>
        <v/>
      </c>
    </row>
    <row r="124" ht="15" customHeight="1">
      <c r="A124" t="inlineStr">
        <is>
          <t>S 557-2022</t>
        </is>
      </c>
      <c r="B124" t="inlineStr">
        <is>
          <t>samrådsanmälan</t>
        </is>
      </c>
      <c r="C124" t="inlineStr">
        <is>
          <t>Askåterföring</t>
        </is>
      </c>
      <c r="D124" s="1" t="n">
        <v>44590</v>
      </c>
      <c r="E124" s="1" t="n">
        <v>46313</v>
      </c>
      <c r="F124" t="inlineStr">
        <is>
          <t>KALMAR LÄN</t>
        </is>
      </c>
      <c r="G124" t="inlineStr">
        <is>
          <t>NYBRO</t>
        </is>
      </c>
      <c r="I124" t="n">
        <v>47.2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s="2" t="inlineStr">
        <is>
          <t>Bredbrämad bastardsvärmare</t>
        </is>
      </c>
      <c r="W124">
        <f>HYPERLINK("https://klasma.github.io/Logging_0881/artfynd/S 557-2022 artfynd.xlsx", "S 557-2022")</f>
        <v/>
      </c>
      <c r="X124">
        <f>HYPERLINK("https://klasma.github.io/Logging_0881/kartor/S 557-2022 karta.png", "S 557-2022")</f>
        <v/>
      </c>
      <c r="Y124">
        <f>HYPERLINK("https://klasma.github.io/Logging_0881/kartor_geotiff/S 557-2022 georefererad karta.tif", "S 557-2022")</f>
        <v/>
      </c>
      <c r="AA124">
        <f>HYPERLINK("https://klasma.github.io/Logging_0881/klagomål/S 557-2022 FSC-klagomål.docx", "S 557-2022")</f>
        <v/>
      </c>
      <c r="AB124">
        <f>HYPERLINK("https://klasma.github.io/Logging_0881/klagomålsmail/S 557-2022 FSC-klagomål mail.docx", "S 557-2022")</f>
        <v/>
      </c>
      <c r="AC124">
        <f>HYPERLINK("https://klasma.github.io/Logging_0881/tillsyn/S 557-2022 tillsynsbegäran.docx", "S 557-2022")</f>
        <v/>
      </c>
      <c r="AD124">
        <f>HYPERLINK("https://klasma.github.io/Logging_0881/tillsynsmail/S 557-2022 tillsynsbegäran mail.docx", "S 557-2022")</f>
        <v/>
      </c>
    </row>
    <row r="125" ht="15" customHeight="1">
      <c r="A125" t="inlineStr">
        <is>
          <t>S 57-2026</t>
        </is>
      </c>
      <c r="B125" t="inlineStr">
        <is>
          <t>samrådsanmälan</t>
        </is>
      </c>
      <c r="C125" t="inlineStr">
        <is>
          <t>Askåterföring</t>
        </is>
      </c>
      <c r="D125" s="1" t="n">
        <v>46034</v>
      </c>
      <c r="E125" s="1" t="n">
        <v>46313</v>
      </c>
      <c r="F125" t="inlineStr">
        <is>
          <t>KALMAR LÄN</t>
        </is>
      </c>
      <c r="G125" t="inlineStr">
        <is>
          <t>NYBRO</t>
        </is>
      </c>
      <c r="I125" t="n">
        <v>21.7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Lopplummer (aggregat)</t>
        </is>
      </c>
      <c r="W125">
        <f>HYPERLINK("https://klasma.github.io/Logging_0881/artfynd/S 57-2026 artfynd.xlsx", "S 57-2026")</f>
        <v/>
      </c>
      <c r="X125">
        <f>HYPERLINK("https://klasma.github.io/Logging_0881/kartor/S 57-2026 karta.png", "S 57-2026")</f>
        <v/>
      </c>
      <c r="Y125">
        <f>HYPERLINK("https://klasma.github.io/Logging_0881/kartor_geotiff/S 57-2026 georefererad karta.tif", "S 57-2026")</f>
        <v/>
      </c>
      <c r="AA125">
        <f>HYPERLINK("https://klasma.github.io/Logging_0881/klagomål/S 57-2026 FSC-klagomål.docx", "S 57-2026")</f>
        <v/>
      </c>
      <c r="AB125">
        <f>HYPERLINK("https://klasma.github.io/Logging_0881/klagomålsmail/S 57-2026 FSC-klagomål mail.docx", "S 57-2026")</f>
        <v/>
      </c>
      <c r="AC125">
        <f>HYPERLINK("https://klasma.github.io/Logging_0881/tillsyn/S 57-2026 tillsynsbegäran.docx", "S 57-2026")</f>
        <v/>
      </c>
      <c r="AD125">
        <f>HYPERLINK("https://klasma.github.io/Logging_0881/tillsynsmail/S 57-2026 tillsynsbegäran mail.docx", "S 57-2026")</f>
        <v/>
      </c>
    </row>
    <row r="126" ht="15" customHeight="1">
      <c r="A126" t="inlineStr">
        <is>
          <t>S 2538-2026</t>
        </is>
      </c>
      <c r="B126" t="inlineStr">
        <is>
          <t>samrådsanmälan</t>
        </is>
      </c>
      <c r="C126" t="inlineStr">
        <is>
          <t>Annan skogsbruksåtgärd</t>
        </is>
      </c>
      <c r="D126" s="1" t="n">
        <v>46293</v>
      </c>
      <c r="E126" s="1" t="n">
        <v>46313</v>
      </c>
      <c r="F126" t="inlineStr">
        <is>
          <t>KALMAR LÄN</t>
        </is>
      </c>
      <c r="G126" t="inlineStr">
        <is>
          <t>NYBRO</t>
        </is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s="2" t="inlineStr">
        <is>
          <t>Kornig nållav</t>
        </is>
      </c>
      <c r="W126">
        <f>HYPERLINK("https://klasma.github.io/Logging_0881/artfynd/S 2538-2026 artfynd.xlsx", "S 2538-2026")</f>
        <v/>
      </c>
      <c r="X126">
        <f>HYPERLINK("https://klasma.github.io/Logging_0881/kartor/S 2538-2026 karta.png", "S 2538-2026")</f>
        <v/>
      </c>
      <c r="Y126">
        <f>HYPERLINK("https://klasma.github.io/Logging_0881/kartor_geotiff/S 2538-2026 georefererad karta.tif", "S 2538-2026")</f>
        <v/>
      </c>
      <c r="AA126">
        <f>HYPERLINK("https://klasma.github.io/Logging_0881/klagomål/S 2538-2026 FSC-klagomål.docx", "S 2538-2026")</f>
        <v/>
      </c>
      <c r="AB126">
        <f>HYPERLINK("https://klasma.github.io/Logging_0881/klagomålsmail/S 2538-2026 FSC-klagomål mail.docx", "S 2538-2026")</f>
        <v/>
      </c>
      <c r="AC126">
        <f>HYPERLINK("https://klasma.github.io/Logging_0881/tillsyn/S 2538-2026 tillsynsbegäran.docx", "S 2538-2026")</f>
        <v/>
      </c>
      <c r="AD126">
        <f>HYPERLINK("https://klasma.github.io/Logging_0881/tillsynsmail/S 2538-2026 tillsynsbegäran mail.docx", "S 2538-2026")</f>
        <v/>
      </c>
    </row>
    <row r="127" ht="15" customHeight="1">
      <c r="A127" t="inlineStr">
        <is>
          <t>A 59567-2021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44491</v>
      </c>
      <c r="E127" s="1" t="n">
        <v>46313</v>
      </c>
      <c r="F127" t="inlineStr">
        <is>
          <t>KALMAR LÄN</t>
        </is>
      </c>
      <c r="G127" t="inlineStr">
        <is>
          <t>NYBRO</t>
        </is>
      </c>
      <c r="I127" t="n">
        <v>0.6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11396-2022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44630</v>
      </c>
      <c r="E128" s="1" t="n">
        <v>46313</v>
      </c>
      <c r="F128" t="inlineStr">
        <is>
          <t>KALMAR LÄN</t>
        </is>
      </c>
      <c r="G128" t="inlineStr">
        <is>
          <t>NYBRO</t>
        </is>
      </c>
      <c r="I128" t="n">
        <v>1.9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56015-2022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44889</v>
      </c>
      <c r="E129" s="1" t="n">
        <v>46313</v>
      </c>
      <c r="F129" t="inlineStr">
        <is>
          <t>KALMAR LÄN</t>
        </is>
      </c>
      <c r="G129" t="inlineStr">
        <is>
          <t>NYBRO</t>
        </is>
      </c>
      <c r="I129" t="n">
        <v>1.2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48873-2022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44859</v>
      </c>
      <c r="E130" s="1" t="n">
        <v>46313</v>
      </c>
      <c r="F130" t="inlineStr">
        <is>
          <t>KALMAR LÄN</t>
        </is>
      </c>
      <c r="G130" t="inlineStr">
        <is>
          <t>NYBRO</t>
        </is>
      </c>
      <c r="I130" t="n">
        <v>2.7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50470-2022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44861</v>
      </c>
      <c r="E131" s="1" t="n">
        <v>46313</v>
      </c>
      <c r="F131" t="inlineStr">
        <is>
          <t>KALMAR LÄN</t>
        </is>
      </c>
      <c r="G131" t="inlineStr">
        <is>
          <t>NYBRO</t>
        </is>
      </c>
      <c r="H131" t="inlineStr">
        <is>
          <t>Kyrkan</t>
        </is>
      </c>
      <c r="I131" t="n">
        <v>0.8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19102-2022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44691</v>
      </c>
      <c r="E132" s="1" t="n">
        <v>46313</v>
      </c>
      <c r="F132" t="inlineStr">
        <is>
          <t>KALMAR LÄN</t>
        </is>
      </c>
      <c r="G132" t="inlineStr">
        <is>
          <t>NYBRO</t>
        </is>
      </c>
      <c r="I132" t="n">
        <v>7.5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2921-2022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44581</v>
      </c>
      <c r="E133" s="1" t="n">
        <v>46313</v>
      </c>
      <c r="F133" t="inlineStr">
        <is>
          <t>KALMAR LÄN</t>
        </is>
      </c>
      <c r="G133" t="inlineStr">
        <is>
          <t>NYBRO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45413-2022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44844</v>
      </c>
      <c r="E134" s="1" t="n">
        <v>46313</v>
      </c>
      <c r="F134" t="inlineStr">
        <is>
          <t>KALMAR LÄN</t>
        </is>
      </c>
      <c r="G134" t="inlineStr">
        <is>
          <t>NYBRO</t>
        </is>
      </c>
      <c r="I134" t="n">
        <v>5.2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38772-2022</t>
        </is>
      </c>
      <c r="B135" t="inlineStr">
        <is>
          <t>avverkningsanmälan</t>
        </is>
      </c>
      <c r="C135" t="inlineStr">
        <is>
          <t>Avverkning för annat ändamål</t>
        </is>
      </c>
      <c r="D135" s="1" t="n">
        <v>44816</v>
      </c>
      <c r="E135" s="1" t="n">
        <v>46313</v>
      </c>
      <c r="F135" t="inlineStr">
        <is>
          <t>KALMAR LÄN</t>
        </is>
      </c>
      <c r="G135" t="inlineStr">
        <is>
          <t>NYBRO</t>
        </is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914-2022</t>
        </is>
      </c>
      <c r="B136" t="inlineStr">
        <is>
          <t>avverkningsanmälan</t>
        </is>
      </c>
      <c r="C136" t="inlineStr">
        <is>
          <t>Avverkning för att bevara och utveckla /försöksver</t>
        </is>
      </c>
      <c r="D136" s="1" t="n">
        <v>44571</v>
      </c>
      <c r="E136" s="1" t="n">
        <v>46313</v>
      </c>
      <c r="F136" t="inlineStr">
        <is>
          <t>KALMAR LÄN</t>
        </is>
      </c>
      <c r="G136" t="inlineStr">
        <is>
          <t>NYBRO</t>
        </is>
      </c>
      <c r="H136" t="inlineStr">
        <is>
          <t>Sveaskog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13448-2022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44645</v>
      </c>
      <c r="E137" s="1" t="n">
        <v>46313</v>
      </c>
      <c r="F137" t="inlineStr">
        <is>
          <t>KALMAR LÄN</t>
        </is>
      </c>
      <c r="G137" t="inlineStr">
        <is>
          <t>NYBRO</t>
        </is>
      </c>
      <c r="I137" t="n">
        <v>3.1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370-2022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44565</v>
      </c>
      <c r="E138" s="1" t="n">
        <v>46313</v>
      </c>
      <c r="F138" t="inlineStr">
        <is>
          <t>KALMAR LÄN</t>
        </is>
      </c>
      <c r="G138" t="inlineStr">
        <is>
          <t>NYBRO</t>
        </is>
      </c>
      <c r="I138" t="n">
        <v>3.3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42465-2022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44831</v>
      </c>
      <c r="E139" s="1" t="n">
        <v>46313</v>
      </c>
      <c r="F139" t="inlineStr">
        <is>
          <t>KALMAR LÄN</t>
        </is>
      </c>
      <c r="G139" t="inlineStr">
        <is>
          <t>NYBRO</t>
        </is>
      </c>
      <c r="H139" t="inlineStr">
        <is>
          <t>Sveaskog</t>
        </is>
      </c>
      <c r="I139" t="n">
        <v>0.8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32551-2022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44783</v>
      </c>
      <c r="E140" s="1" t="n">
        <v>46313</v>
      </c>
      <c r="F140" t="inlineStr">
        <is>
          <t>KALMAR LÄN</t>
        </is>
      </c>
      <c r="G140" t="inlineStr">
        <is>
          <t>NYBRO</t>
        </is>
      </c>
      <c r="I140" t="n">
        <v>0.6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493-2022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44566</v>
      </c>
      <c r="E141" s="1" t="n">
        <v>46313</v>
      </c>
      <c r="F141" t="inlineStr">
        <is>
          <t>KALMAR LÄN</t>
        </is>
      </c>
      <c r="G141" t="inlineStr">
        <is>
          <t>NYBRO</t>
        </is>
      </c>
      <c r="I141" t="n">
        <v>0.8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18077-2022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44684</v>
      </c>
      <c r="E142" s="1" t="n">
        <v>46313</v>
      </c>
      <c r="F142" t="inlineStr">
        <is>
          <t>KALMAR LÄN</t>
        </is>
      </c>
      <c r="G142" t="inlineStr">
        <is>
          <t>NYBRO</t>
        </is>
      </c>
      <c r="I142" t="n">
        <v>4.1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36951-2022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44806</v>
      </c>
      <c r="E143" s="1" t="n">
        <v>46313</v>
      </c>
      <c r="F143" t="inlineStr">
        <is>
          <t>KALMAR LÄN</t>
        </is>
      </c>
      <c r="G143" t="inlineStr">
        <is>
          <t>NYBRO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59646-2021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44493</v>
      </c>
      <c r="E144" s="1" t="n">
        <v>46313</v>
      </c>
      <c r="F144" t="inlineStr">
        <is>
          <t>KALMAR LÄN</t>
        </is>
      </c>
      <c r="G144" t="inlineStr">
        <is>
          <t>NYBRO</t>
        </is>
      </c>
      <c r="I144" t="n">
        <v>0.7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58575-2021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44488</v>
      </c>
      <c r="E145" s="1" t="n">
        <v>46313</v>
      </c>
      <c r="F145" t="inlineStr">
        <is>
          <t>KALMAR LÄN</t>
        </is>
      </c>
      <c r="G145" t="inlineStr">
        <is>
          <t>NYBRO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43115-2022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44833</v>
      </c>
      <c r="E146" s="1" t="n">
        <v>46313</v>
      </c>
      <c r="F146" t="inlineStr">
        <is>
          <t>KALMAR LÄN</t>
        </is>
      </c>
      <c r="G146" t="inlineStr">
        <is>
          <t>NYBRO</t>
        </is>
      </c>
      <c r="I146" t="n">
        <v>0.9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4141-2022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44587</v>
      </c>
      <c r="E147" s="1" t="n">
        <v>46313</v>
      </c>
      <c r="F147" t="inlineStr">
        <is>
          <t>KALMAR LÄN</t>
        </is>
      </c>
      <c r="G147" t="inlineStr">
        <is>
          <t>NYBRO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10621-2022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44624</v>
      </c>
      <c r="E148" s="1" t="n">
        <v>46313</v>
      </c>
      <c r="F148" t="inlineStr">
        <is>
          <t>KALMAR LÄN</t>
        </is>
      </c>
      <c r="G148" t="inlineStr">
        <is>
          <t>NYBRO</t>
        </is>
      </c>
      <c r="I148" t="n">
        <v>1.8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31709-2022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44776</v>
      </c>
      <c r="E149" s="1" t="n">
        <v>46313</v>
      </c>
      <c r="F149" t="inlineStr">
        <is>
          <t>KALMAR LÄN</t>
        </is>
      </c>
      <c r="G149" t="inlineStr">
        <is>
          <t>NYBRO</t>
        </is>
      </c>
      <c r="I149" t="n">
        <v>1.7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51575-2022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44870</v>
      </c>
      <c r="E150" s="1" t="n">
        <v>46313</v>
      </c>
      <c r="F150" t="inlineStr">
        <is>
          <t>KALMAR LÄN</t>
        </is>
      </c>
      <c r="G150" t="inlineStr">
        <is>
          <t>NYBRO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31222-2022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44771</v>
      </c>
      <c r="E151" s="1" t="n">
        <v>46313</v>
      </c>
      <c r="F151" t="inlineStr">
        <is>
          <t>KALMAR LÄN</t>
        </is>
      </c>
      <c r="G151" t="inlineStr">
        <is>
          <t>NYBRO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14979-2022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44657</v>
      </c>
      <c r="E152" s="1" t="n">
        <v>46313</v>
      </c>
      <c r="F152" t="inlineStr">
        <is>
          <t>KALMAR LÄN</t>
        </is>
      </c>
      <c r="G152" t="inlineStr">
        <is>
          <t>NYBRO</t>
        </is>
      </c>
      <c r="H152" t="inlineStr">
        <is>
          <t>Kommuner</t>
        </is>
      </c>
      <c r="I152" t="n">
        <v>4.1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8437-2022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44612</v>
      </c>
      <c r="E153" s="1" t="n">
        <v>46313</v>
      </c>
      <c r="F153" t="inlineStr">
        <is>
          <t>KALMAR LÄN</t>
        </is>
      </c>
      <c r="G153" t="inlineStr">
        <is>
          <t>NYBRO</t>
        </is>
      </c>
      <c r="I153" t="n">
        <v>2.7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9636-2022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44617</v>
      </c>
      <c r="E154" s="1" t="n">
        <v>46313</v>
      </c>
      <c r="F154" t="inlineStr">
        <is>
          <t>KALMAR LÄN</t>
        </is>
      </c>
      <c r="G154" t="inlineStr">
        <is>
          <t>NYBRO</t>
        </is>
      </c>
      <c r="I154" t="n">
        <v>0.6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73336-2021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44551</v>
      </c>
      <c r="E155" s="1" t="n">
        <v>46313</v>
      </c>
      <c r="F155" t="inlineStr">
        <is>
          <t>KALMAR LÄN</t>
        </is>
      </c>
      <c r="G155" t="inlineStr">
        <is>
          <t>NYBRO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63280-2021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44508</v>
      </c>
      <c r="E156" s="1" t="n">
        <v>46313</v>
      </c>
      <c r="F156" t="inlineStr">
        <is>
          <t>KALMAR LÄN</t>
        </is>
      </c>
      <c r="G156" t="inlineStr">
        <is>
          <t>NYBRO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46705-2022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44851</v>
      </c>
      <c r="E157" s="1" t="n">
        <v>46313</v>
      </c>
      <c r="F157" t="inlineStr">
        <is>
          <t>KALMAR LÄN</t>
        </is>
      </c>
      <c r="G157" t="inlineStr">
        <is>
          <t>NYBRO</t>
        </is>
      </c>
      <c r="I157" t="n">
        <v>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59684-2021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44494</v>
      </c>
      <c r="E158" s="1" t="n">
        <v>46313</v>
      </c>
      <c r="F158" t="inlineStr">
        <is>
          <t>KALMAR LÄN</t>
        </is>
      </c>
      <c r="G158" t="inlineStr">
        <is>
          <t>NYBRO</t>
        </is>
      </c>
      <c r="I158" t="n">
        <v>1.7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11151-2022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44629</v>
      </c>
      <c r="E159" s="1" t="n">
        <v>46313</v>
      </c>
      <c r="F159" t="inlineStr">
        <is>
          <t>KALMAR LÄN</t>
        </is>
      </c>
      <c r="G159" t="inlineStr">
        <is>
          <t>NYBRO</t>
        </is>
      </c>
      <c r="I159" t="n">
        <v>0.8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54043-2022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44881</v>
      </c>
      <c r="E160" s="1" t="n">
        <v>46313</v>
      </c>
      <c r="F160" t="inlineStr">
        <is>
          <t>KALMAR LÄN</t>
        </is>
      </c>
      <c r="G160" t="inlineStr">
        <is>
          <t>NYBRO</t>
        </is>
      </c>
      <c r="I160" t="n">
        <v>0.8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35086-2022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44796</v>
      </c>
      <c r="E161" s="1" t="n">
        <v>46313</v>
      </c>
      <c r="F161" t="inlineStr">
        <is>
          <t>KALMAR LÄN</t>
        </is>
      </c>
      <c r="G161" t="inlineStr">
        <is>
          <t>NYBRO</t>
        </is>
      </c>
      <c r="H161" t="inlineStr">
        <is>
          <t>Kyrkan</t>
        </is>
      </c>
      <c r="I161" t="n">
        <v>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73474-2021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44551</v>
      </c>
      <c r="E162" s="1" t="n">
        <v>46313</v>
      </c>
      <c r="F162" t="inlineStr">
        <is>
          <t>KALMAR LÄN</t>
        </is>
      </c>
      <c r="G162" t="inlineStr">
        <is>
          <t>NYBRO</t>
        </is>
      </c>
      <c r="I162" t="n">
        <v>0.6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4985-2022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44593</v>
      </c>
      <c r="E163" s="1" t="n">
        <v>46313</v>
      </c>
      <c r="F163" t="inlineStr">
        <is>
          <t>KALMAR LÄN</t>
        </is>
      </c>
      <c r="G163" t="inlineStr">
        <is>
          <t>NYBRO</t>
        </is>
      </c>
      <c r="I163" t="n">
        <v>2.6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38550-2022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44813</v>
      </c>
      <c r="E164" s="1" t="n">
        <v>46313</v>
      </c>
      <c r="F164" t="inlineStr">
        <is>
          <t>KALMAR LÄN</t>
        </is>
      </c>
      <c r="G164" t="inlineStr">
        <is>
          <t>NYBRO</t>
        </is>
      </c>
      <c r="H164" t="inlineStr">
        <is>
          <t>Sveaskog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33030-2022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44785</v>
      </c>
      <c r="E165" s="1" t="n">
        <v>46313</v>
      </c>
      <c r="F165" t="inlineStr">
        <is>
          <t>KALMAR LÄN</t>
        </is>
      </c>
      <c r="G165" t="inlineStr">
        <is>
          <t>NYBRO</t>
        </is>
      </c>
      <c r="I165" t="n">
        <v>2.2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14030-2022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44650</v>
      </c>
      <c r="E166" s="1" t="n">
        <v>46313</v>
      </c>
      <c r="F166" t="inlineStr">
        <is>
          <t>KALMAR LÄN</t>
        </is>
      </c>
      <c r="G166" t="inlineStr">
        <is>
          <t>NYBRO</t>
        </is>
      </c>
      <c r="I166" t="n">
        <v>0.7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44073-2022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44839</v>
      </c>
      <c r="E167" s="1" t="n">
        <v>46313</v>
      </c>
      <c r="F167" t="inlineStr">
        <is>
          <t>KALMAR LÄN</t>
        </is>
      </c>
      <c r="G167" t="inlineStr">
        <is>
          <t>NYBRO</t>
        </is>
      </c>
      <c r="I167" t="n">
        <v>1.4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36904-2022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44805</v>
      </c>
      <c r="E168" s="1" t="n">
        <v>46313</v>
      </c>
      <c r="F168" t="inlineStr">
        <is>
          <t>KALMAR LÄN</t>
        </is>
      </c>
      <c r="G168" t="inlineStr">
        <is>
          <t>NYBRO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4962-2022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44593</v>
      </c>
      <c r="E169" s="1" t="n">
        <v>46313</v>
      </c>
      <c r="F169" t="inlineStr">
        <is>
          <t>KALMAR LÄN</t>
        </is>
      </c>
      <c r="G169" t="inlineStr">
        <is>
          <t>NYBRO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68074-2021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44526</v>
      </c>
      <c r="E170" s="1" t="n">
        <v>46313</v>
      </c>
      <c r="F170" t="inlineStr">
        <is>
          <t>KALMAR LÄN</t>
        </is>
      </c>
      <c r="G170" t="inlineStr">
        <is>
          <t>NYBRO</t>
        </is>
      </c>
      <c r="I170" t="n">
        <v>2.5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2191-2022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44578</v>
      </c>
      <c r="E171" s="1" t="n">
        <v>46313</v>
      </c>
      <c r="F171" t="inlineStr">
        <is>
          <t>KALMAR LÄN</t>
        </is>
      </c>
      <c r="G171" t="inlineStr">
        <is>
          <t>NYBRO</t>
        </is>
      </c>
      <c r="H171" t="inlineStr">
        <is>
          <t>Sveaskog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11819-2022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44634</v>
      </c>
      <c r="E172" s="1" t="n">
        <v>46313</v>
      </c>
      <c r="F172" t="inlineStr">
        <is>
          <t>KALMAR LÄN</t>
        </is>
      </c>
      <c r="G172" t="inlineStr">
        <is>
          <t>NYBRO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11828-2022</t>
        </is>
      </c>
      <c r="B173" t="inlineStr">
        <is>
          <t>avverkningsanmälan</t>
        </is>
      </c>
      <c r="C173" t="inlineStr">
        <is>
          <t>Avverkning för att bevara och utveckla /försöksver</t>
        </is>
      </c>
      <c r="D173" s="1" t="n">
        <v>44634</v>
      </c>
      <c r="E173" s="1" t="n">
        <v>46313</v>
      </c>
      <c r="F173" t="inlineStr">
        <is>
          <t>KALMAR LÄN</t>
        </is>
      </c>
      <c r="G173" t="inlineStr">
        <is>
          <t>NYBRO</t>
        </is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24573-2022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44727</v>
      </c>
      <c r="E174" s="1" t="n">
        <v>46313</v>
      </c>
      <c r="F174" t="inlineStr">
        <is>
          <t>KALMAR LÄN</t>
        </is>
      </c>
      <c r="G174" t="inlineStr">
        <is>
          <t>NYBRO</t>
        </is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73297-2021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44551</v>
      </c>
      <c r="E175" s="1" t="n">
        <v>46313</v>
      </c>
      <c r="F175" t="inlineStr">
        <is>
          <t>KALMAR LÄN</t>
        </is>
      </c>
      <c r="G175" t="inlineStr">
        <is>
          <t>NYBRO</t>
        </is>
      </c>
      <c r="I175" t="n">
        <v>1.2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51574-2022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44870</v>
      </c>
      <c r="E176" s="1" t="n">
        <v>46313</v>
      </c>
      <c r="F176" t="inlineStr">
        <is>
          <t>KALMAR LÄN</t>
        </is>
      </c>
      <c r="G176" t="inlineStr">
        <is>
          <t>NYBRO</t>
        </is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4109-2022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44587</v>
      </c>
      <c r="E177" s="1" t="n">
        <v>46313</v>
      </c>
      <c r="F177" t="inlineStr">
        <is>
          <t>KALMAR LÄN</t>
        </is>
      </c>
      <c r="G177" t="inlineStr">
        <is>
          <t>NYBRO</t>
        </is>
      </c>
      <c r="I177" t="n">
        <v>1.5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63111-2023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45273</v>
      </c>
      <c r="E178" s="1" t="n">
        <v>46313</v>
      </c>
      <c r="F178" t="inlineStr">
        <is>
          <t>KALMAR LÄN</t>
        </is>
      </c>
      <c r="G178" t="inlineStr">
        <is>
          <t>NYBRO</t>
        </is>
      </c>
      <c r="I178" t="n">
        <v>2.7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6727-2024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45341</v>
      </c>
      <c r="E179" s="1" t="n">
        <v>46313</v>
      </c>
      <c r="F179" t="inlineStr">
        <is>
          <t>KALMAR LÄN</t>
        </is>
      </c>
      <c r="G179" t="inlineStr">
        <is>
          <t>NYBRO</t>
        </is>
      </c>
      <c r="I179" t="n">
        <v>3.2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20536-2025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45775</v>
      </c>
      <c r="E180" s="1" t="n">
        <v>46313</v>
      </c>
      <c r="F180" t="inlineStr">
        <is>
          <t>KALMAR LÄN</t>
        </is>
      </c>
      <c r="G180" t="inlineStr">
        <is>
          <t>NYBRO</t>
        </is>
      </c>
      <c r="I180" t="n">
        <v>2.3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28647-2023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45103</v>
      </c>
      <c r="E181" s="1" t="n">
        <v>46313</v>
      </c>
      <c r="F181" t="inlineStr">
        <is>
          <t>KALMAR LÄN</t>
        </is>
      </c>
      <c r="G181" t="inlineStr">
        <is>
          <t>NYBRO</t>
        </is>
      </c>
      <c r="I181" t="n">
        <v>5.6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61796-2024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45649</v>
      </c>
      <c r="E182" s="1" t="n">
        <v>46313</v>
      </c>
      <c r="F182" t="inlineStr">
        <is>
          <t>KALMAR LÄN</t>
        </is>
      </c>
      <c r="G182" t="inlineStr">
        <is>
          <t>NYBRO</t>
        </is>
      </c>
      <c r="I182" t="n">
        <v>4.8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61816-2024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45649</v>
      </c>
      <c r="E183" s="1" t="n">
        <v>46313</v>
      </c>
      <c r="F183" t="inlineStr">
        <is>
          <t>KALMAR LÄN</t>
        </is>
      </c>
      <c r="G183" t="inlineStr">
        <is>
          <t>NYBRO</t>
        </is>
      </c>
      <c r="I183" t="n">
        <v>6.3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15828-2023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45022</v>
      </c>
      <c r="E184" s="1" t="n">
        <v>46313</v>
      </c>
      <c r="F184" t="inlineStr">
        <is>
          <t>KALMAR LÄN</t>
        </is>
      </c>
      <c r="G184" t="inlineStr">
        <is>
          <t>NYBRO</t>
        </is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29950-2024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45488</v>
      </c>
      <c r="E185" s="1" t="n">
        <v>46313</v>
      </c>
      <c r="F185" t="inlineStr">
        <is>
          <t>KALMAR LÄN</t>
        </is>
      </c>
      <c r="G185" t="inlineStr">
        <is>
          <t>NYBRO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58761-2021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44489</v>
      </c>
      <c r="E186" s="1" t="n">
        <v>46313</v>
      </c>
      <c r="F186" t="inlineStr">
        <is>
          <t>KALMAR LÄN</t>
        </is>
      </c>
      <c r="G186" t="inlineStr">
        <is>
          <t>NYBRO</t>
        </is>
      </c>
      <c r="I186" t="n">
        <v>0.7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32757-2023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45123</v>
      </c>
      <c r="E187" s="1" t="n">
        <v>46313</v>
      </c>
      <c r="F187" t="inlineStr">
        <is>
          <t>KALMAR LÄN</t>
        </is>
      </c>
      <c r="G187" t="inlineStr">
        <is>
          <t>NYBRO</t>
        </is>
      </c>
      <c r="I187" t="n">
        <v>2.7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53650-2023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45230</v>
      </c>
      <c r="E188" s="1" t="n">
        <v>46313</v>
      </c>
      <c r="F188" t="inlineStr">
        <is>
          <t>KALMAR LÄN</t>
        </is>
      </c>
      <c r="G188" t="inlineStr">
        <is>
          <t>NYBRO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19967-2023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45054</v>
      </c>
      <c r="E189" s="1" t="n">
        <v>46313</v>
      </c>
      <c r="F189" t="inlineStr">
        <is>
          <t>KALMAR LÄN</t>
        </is>
      </c>
      <c r="G189" t="inlineStr">
        <is>
          <t>NYBRO</t>
        </is>
      </c>
      <c r="I189" t="n">
        <v>4.6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38623-2023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45162</v>
      </c>
      <c r="E190" s="1" t="n">
        <v>46313</v>
      </c>
      <c r="F190" t="inlineStr">
        <is>
          <t>KALMAR LÄN</t>
        </is>
      </c>
      <c r="G190" t="inlineStr">
        <is>
          <t>NYBRO</t>
        </is>
      </c>
      <c r="I190" t="n">
        <v>0.9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23204-2023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45075</v>
      </c>
      <c r="E191" s="1" t="n">
        <v>46313</v>
      </c>
      <c r="F191" t="inlineStr">
        <is>
          <t>KALMAR LÄN</t>
        </is>
      </c>
      <c r="G191" t="inlineStr">
        <is>
          <t>NYBRO</t>
        </is>
      </c>
      <c r="I191" t="n">
        <v>1.9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26426-2023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45092</v>
      </c>
      <c r="E192" s="1" t="n">
        <v>46313</v>
      </c>
      <c r="F192" t="inlineStr">
        <is>
          <t>KALMAR LÄN</t>
        </is>
      </c>
      <c r="G192" t="inlineStr">
        <is>
          <t>NYBRO</t>
        </is>
      </c>
      <c r="H192" t="inlineStr">
        <is>
          <t>Kommuner</t>
        </is>
      </c>
      <c r="I192" t="n">
        <v>1.7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14983-2022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44657</v>
      </c>
      <c r="E193" s="1" t="n">
        <v>46313</v>
      </c>
      <c r="F193" t="inlineStr">
        <is>
          <t>KALMAR LÄN</t>
        </is>
      </c>
      <c r="G193" t="inlineStr">
        <is>
          <t>NYBRO</t>
        </is>
      </c>
      <c r="H193" t="inlineStr">
        <is>
          <t>Kyrkan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26129-2023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45091</v>
      </c>
      <c r="E194" s="1" t="n">
        <v>46313</v>
      </c>
      <c r="F194" t="inlineStr">
        <is>
          <t>KALMAR LÄN</t>
        </is>
      </c>
      <c r="G194" t="inlineStr">
        <is>
          <t>NYBRO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40444-2022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44819</v>
      </c>
      <c r="E195" s="1" t="n">
        <v>46313</v>
      </c>
      <c r="F195" t="inlineStr">
        <is>
          <t>KALMAR LÄN</t>
        </is>
      </c>
      <c r="G195" t="inlineStr">
        <is>
          <t>NYBRO</t>
        </is>
      </c>
      <c r="I195" t="n">
        <v>3.3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42711-2023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45181</v>
      </c>
      <c r="E196" s="1" t="n">
        <v>46313</v>
      </c>
      <c r="F196" t="inlineStr">
        <is>
          <t>KALMAR LÄN</t>
        </is>
      </c>
      <c r="G196" t="inlineStr">
        <is>
          <t>NYBRO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51651-2024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45606</v>
      </c>
      <c r="E197" s="1" t="n">
        <v>46313</v>
      </c>
      <c r="F197" t="inlineStr">
        <is>
          <t>KALMAR LÄN</t>
        </is>
      </c>
      <c r="G197" t="inlineStr">
        <is>
          <t>NYBRO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72166-2021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44544</v>
      </c>
      <c r="E198" s="1" t="n">
        <v>46313</v>
      </c>
      <c r="F198" t="inlineStr">
        <is>
          <t>KALMAR LÄN</t>
        </is>
      </c>
      <c r="G198" t="inlineStr">
        <is>
          <t>NYBRO</t>
        </is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8003-2023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44973</v>
      </c>
      <c r="E199" s="1" t="n">
        <v>46313</v>
      </c>
      <c r="F199" t="inlineStr">
        <is>
          <t>KALMAR LÄN</t>
        </is>
      </c>
      <c r="G199" t="inlineStr">
        <is>
          <t>NYBRO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63945-2023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45278</v>
      </c>
      <c r="E200" s="1" t="n">
        <v>46313</v>
      </c>
      <c r="F200" t="inlineStr">
        <is>
          <t>KALMAR LÄN</t>
        </is>
      </c>
      <c r="G200" t="inlineStr">
        <is>
          <t>NYBRO</t>
        </is>
      </c>
      <c r="I200" t="n">
        <v>1.7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39535-2022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44818</v>
      </c>
      <c r="E201" s="1" t="n">
        <v>46313</v>
      </c>
      <c r="F201" t="inlineStr">
        <is>
          <t>KALMAR LÄN</t>
        </is>
      </c>
      <c r="G201" t="inlineStr">
        <is>
          <t>NYBRO</t>
        </is>
      </c>
      <c r="I201" t="n">
        <v>3.2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935-2023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44933</v>
      </c>
      <c r="E202" s="1" t="n">
        <v>46313</v>
      </c>
      <c r="F202" t="inlineStr">
        <is>
          <t>KALMAR LÄN</t>
        </is>
      </c>
      <c r="G202" t="inlineStr">
        <is>
          <t>NYBRO</t>
        </is>
      </c>
      <c r="I202" t="n">
        <v>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9942-2023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44985</v>
      </c>
      <c r="E203" s="1" t="n">
        <v>46313</v>
      </c>
      <c r="F203" t="inlineStr">
        <is>
          <t>KALMAR LÄN</t>
        </is>
      </c>
      <c r="G203" t="inlineStr">
        <is>
          <t>NYBRO</t>
        </is>
      </c>
      <c r="I203" t="n">
        <v>3.2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19244-2022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44692</v>
      </c>
      <c r="E204" s="1" t="n">
        <v>46313</v>
      </c>
      <c r="F204" t="inlineStr">
        <is>
          <t>KALMAR LÄN</t>
        </is>
      </c>
      <c r="G204" t="inlineStr">
        <is>
          <t>NYBRO</t>
        </is>
      </c>
      <c r="I204" t="n">
        <v>2.2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1763-2024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45307</v>
      </c>
      <c r="E205" s="1" t="n">
        <v>46313</v>
      </c>
      <c r="F205" t="inlineStr">
        <is>
          <t>KALMAR LÄN</t>
        </is>
      </c>
      <c r="G205" t="inlineStr">
        <is>
          <t>NYBRO</t>
        </is>
      </c>
      <c r="I205" t="n">
        <v>3.1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14544-2024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45394</v>
      </c>
      <c r="E206" s="1" t="n">
        <v>46313</v>
      </c>
      <c r="F206" t="inlineStr">
        <is>
          <t>KALMAR LÄN</t>
        </is>
      </c>
      <c r="G206" t="inlineStr">
        <is>
          <t>NYBRO</t>
        </is>
      </c>
      <c r="H206" t="inlineStr">
        <is>
          <t>Kommuner</t>
        </is>
      </c>
      <c r="I206" t="n">
        <v>2.6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41531-2023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45175</v>
      </c>
      <c r="E207" s="1" t="n">
        <v>46313</v>
      </c>
      <c r="F207" t="inlineStr">
        <is>
          <t>KALMAR LÄN</t>
        </is>
      </c>
      <c r="G207" t="inlineStr">
        <is>
          <t>NYBRO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18592-2025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45763</v>
      </c>
      <c r="E208" s="1" t="n">
        <v>46313</v>
      </c>
      <c r="F208" t="inlineStr">
        <is>
          <t>KALMAR LÄN</t>
        </is>
      </c>
      <c r="G208" t="inlineStr">
        <is>
          <t>NYBRO</t>
        </is>
      </c>
      <c r="I208" t="n">
        <v>7.7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16338-2023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45028</v>
      </c>
      <c r="E209" s="1" t="n">
        <v>46313</v>
      </c>
      <c r="F209" t="inlineStr">
        <is>
          <t>KALMAR LÄN</t>
        </is>
      </c>
      <c r="G209" t="inlineStr">
        <is>
          <t>NYBRO</t>
        </is>
      </c>
      <c r="I209" t="n">
        <v>1.3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11910-2024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45376</v>
      </c>
      <c r="E210" s="1" t="n">
        <v>46313</v>
      </c>
      <c r="F210" t="inlineStr">
        <is>
          <t>KALMAR LÄN</t>
        </is>
      </c>
      <c r="G210" t="inlineStr">
        <is>
          <t>NYBRO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17749-2023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45037</v>
      </c>
      <c r="E211" s="1" t="n">
        <v>46313</v>
      </c>
      <c r="F211" t="inlineStr">
        <is>
          <t>KALMAR LÄN</t>
        </is>
      </c>
      <c r="G211" t="inlineStr">
        <is>
          <t>NYBRO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30320-2023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45111</v>
      </c>
      <c r="E212" s="1" t="n">
        <v>46313</v>
      </c>
      <c r="F212" t="inlineStr">
        <is>
          <t>KALMAR LÄN</t>
        </is>
      </c>
      <c r="G212" t="inlineStr">
        <is>
          <t>NYBRO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4402-2024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45327</v>
      </c>
      <c r="E213" s="1" t="n">
        <v>46313</v>
      </c>
      <c r="F213" t="inlineStr">
        <is>
          <t>KALMAR LÄN</t>
        </is>
      </c>
      <c r="G213" t="inlineStr">
        <is>
          <t>NYBRO</t>
        </is>
      </c>
      <c r="I213" t="n">
        <v>6.5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15735-2023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45021</v>
      </c>
      <c r="E214" s="1" t="n">
        <v>46313</v>
      </c>
      <c r="F214" t="inlineStr">
        <is>
          <t>KALMAR LÄN</t>
        </is>
      </c>
      <c r="G214" t="inlineStr">
        <is>
          <t>NYBRO</t>
        </is>
      </c>
      <c r="I214" t="n">
        <v>0.4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11968-2025</t>
        </is>
      </c>
      <c r="B215" t="inlineStr">
        <is>
          <t>avverkningsanmälan</t>
        </is>
      </c>
      <c r="C215" t="inlineStr">
        <is>
          <t>Avverkning för att bevara och utveckla /försöksver</t>
        </is>
      </c>
      <c r="D215" s="1" t="n">
        <v>45728</v>
      </c>
      <c r="E215" s="1" t="n">
        <v>46313</v>
      </c>
      <c r="F215" t="inlineStr">
        <is>
          <t>KALMAR LÄN</t>
        </is>
      </c>
      <c r="G215" t="inlineStr">
        <is>
          <t>NYBRO</t>
        </is>
      </c>
      <c r="H215" t="inlineStr">
        <is>
          <t>Sveaskog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60033-2022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44909</v>
      </c>
      <c r="E216" s="1" t="n">
        <v>46313</v>
      </c>
      <c r="F216" t="inlineStr">
        <is>
          <t>KALMAR LÄN</t>
        </is>
      </c>
      <c r="G216" t="inlineStr">
        <is>
          <t>NYBRO</t>
        </is>
      </c>
      <c r="I216" t="n">
        <v>2.4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60039-2022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44909</v>
      </c>
      <c r="E217" s="1" t="n">
        <v>46313</v>
      </c>
      <c r="F217" t="inlineStr">
        <is>
          <t>KALMAR LÄN</t>
        </is>
      </c>
      <c r="G217" t="inlineStr">
        <is>
          <t>NYBRO</t>
        </is>
      </c>
      <c r="I217" t="n">
        <v>3.8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7847-2023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44973</v>
      </c>
      <c r="E218" s="1" t="n">
        <v>46313</v>
      </c>
      <c r="F218" t="inlineStr">
        <is>
          <t>KALMAR LÄN</t>
        </is>
      </c>
      <c r="G218" t="inlineStr">
        <is>
          <t>NYBRO</t>
        </is>
      </c>
      <c r="I218" t="n">
        <v>0.4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31791-2023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45118</v>
      </c>
      <c r="E219" s="1" t="n">
        <v>46313</v>
      </c>
      <c r="F219" t="inlineStr">
        <is>
          <t>KALMAR LÄN</t>
        </is>
      </c>
      <c r="G219" t="inlineStr">
        <is>
          <t>NYBRO</t>
        </is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5354-2022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44594</v>
      </c>
      <c r="E220" s="1" t="n">
        <v>46313</v>
      </c>
      <c r="F220" t="inlineStr">
        <is>
          <t>KALMAR LÄN</t>
        </is>
      </c>
      <c r="G220" t="inlineStr">
        <is>
          <t>NYBRO</t>
        </is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59687-2021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44494</v>
      </c>
      <c r="E221" s="1" t="n">
        <v>46313</v>
      </c>
      <c r="F221" t="inlineStr">
        <is>
          <t>KALMAR LÄN</t>
        </is>
      </c>
      <c r="G221" t="inlineStr">
        <is>
          <t>NYBRO</t>
        </is>
      </c>
      <c r="I221" t="n">
        <v>2.1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22744-2024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45448</v>
      </c>
      <c r="E222" s="1" t="n">
        <v>46313</v>
      </c>
      <c r="F222" t="inlineStr">
        <is>
          <t>KALMAR LÄN</t>
        </is>
      </c>
      <c r="G222" t="inlineStr">
        <is>
          <t>NYBRO</t>
        </is>
      </c>
      <c r="I222" t="n">
        <v>1.8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29924-2023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45107</v>
      </c>
      <c r="E223" s="1" t="n">
        <v>46313</v>
      </c>
      <c r="F223" t="inlineStr">
        <is>
          <t>KALMAR LÄN</t>
        </is>
      </c>
      <c r="G223" t="inlineStr">
        <is>
          <t>NYBRO</t>
        </is>
      </c>
      <c r="I223" t="n">
        <v>1.5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12213-2025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45729</v>
      </c>
      <c r="E224" s="1" t="n">
        <v>46313</v>
      </c>
      <c r="F224" t="inlineStr">
        <is>
          <t>KALMAR LÄN</t>
        </is>
      </c>
      <c r="G224" t="inlineStr">
        <is>
          <t>NYBRO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36098-2023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45149</v>
      </c>
      <c r="E225" s="1" t="n">
        <v>46313</v>
      </c>
      <c r="F225" t="inlineStr">
        <is>
          <t>KALMAR LÄN</t>
        </is>
      </c>
      <c r="G225" t="inlineStr">
        <is>
          <t>NYBRO</t>
        </is>
      </c>
      <c r="I225" t="n">
        <v>2.3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46543-2023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45189</v>
      </c>
      <c r="E226" s="1" t="n">
        <v>46313</v>
      </c>
      <c r="F226" t="inlineStr">
        <is>
          <t>KALMAR LÄN</t>
        </is>
      </c>
      <c r="G226" t="inlineStr">
        <is>
          <t>NYBRO</t>
        </is>
      </c>
      <c r="H226" t="inlineStr">
        <is>
          <t>Kyrkan</t>
        </is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60622-2023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45260</v>
      </c>
      <c r="E227" s="1" t="n">
        <v>46313</v>
      </c>
      <c r="F227" t="inlineStr">
        <is>
          <t>KALMAR LÄN</t>
        </is>
      </c>
      <c r="G227" t="inlineStr">
        <is>
          <t>NYBRO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43118-2022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44833</v>
      </c>
      <c r="E228" s="1" t="n">
        <v>46313</v>
      </c>
      <c r="F228" t="inlineStr">
        <is>
          <t>KALMAR LÄN</t>
        </is>
      </c>
      <c r="G228" t="inlineStr">
        <is>
          <t>NYBRO</t>
        </is>
      </c>
      <c r="I228" t="n">
        <v>3.5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23933-2023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45075</v>
      </c>
      <c r="E229" s="1" t="n">
        <v>46313</v>
      </c>
      <c r="F229" t="inlineStr">
        <is>
          <t>KALMAR LÄN</t>
        </is>
      </c>
      <c r="G229" t="inlineStr">
        <is>
          <t>NYBRO</t>
        </is>
      </c>
      <c r="I229" t="n">
        <v>1.5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29557-2023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45106</v>
      </c>
      <c r="E230" s="1" t="n">
        <v>46313</v>
      </c>
      <c r="F230" t="inlineStr">
        <is>
          <t>KALMAR LÄN</t>
        </is>
      </c>
      <c r="G230" t="inlineStr">
        <is>
          <t>NYBRO</t>
        </is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38761-2024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45547</v>
      </c>
      <c r="E231" s="1" t="n">
        <v>46313</v>
      </c>
      <c r="F231" t="inlineStr">
        <is>
          <t>KALMAR LÄN</t>
        </is>
      </c>
      <c r="G231" t="inlineStr">
        <is>
          <t>NYBRO</t>
        </is>
      </c>
      <c r="I231" t="n">
        <v>1.1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17969-2025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45761</v>
      </c>
      <c r="E232" s="1" t="n">
        <v>46313</v>
      </c>
      <c r="F232" t="inlineStr">
        <is>
          <t>KALMAR LÄN</t>
        </is>
      </c>
      <c r="G232" t="inlineStr">
        <is>
          <t>NYBRO</t>
        </is>
      </c>
      <c r="I232" t="n">
        <v>2.4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19522-2023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45049</v>
      </c>
      <c r="E233" s="1" t="n">
        <v>46313</v>
      </c>
      <c r="F233" t="inlineStr">
        <is>
          <t>KALMAR LÄN</t>
        </is>
      </c>
      <c r="G233" t="inlineStr">
        <is>
          <t>NYBRO</t>
        </is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51582-2023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45222</v>
      </c>
      <c r="E234" s="1" t="n">
        <v>46313</v>
      </c>
      <c r="F234" t="inlineStr">
        <is>
          <t>KALMAR LÄN</t>
        </is>
      </c>
      <c r="G234" t="inlineStr">
        <is>
          <t>NYBRO</t>
        </is>
      </c>
      <c r="I234" t="n">
        <v>1.8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55289-2022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44882</v>
      </c>
      <c r="E235" s="1" t="n">
        <v>46313</v>
      </c>
      <c r="F235" t="inlineStr">
        <is>
          <t>KALMAR LÄN</t>
        </is>
      </c>
      <c r="G235" t="inlineStr">
        <is>
          <t>NYBRO</t>
        </is>
      </c>
      <c r="I235" t="n">
        <v>1.9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32673-2023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45121</v>
      </c>
      <c r="E236" s="1" t="n">
        <v>46313</v>
      </c>
      <c r="F236" t="inlineStr">
        <is>
          <t>KALMAR LÄN</t>
        </is>
      </c>
      <c r="G236" t="inlineStr">
        <is>
          <t>NYBRO</t>
        </is>
      </c>
      <c r="I236" t="n">
        <v>0.7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10457-2024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45366</v>
      </c>
      <c r="E237" s="1" t="n">
        <v>46313</v>
      </c>
      <c r="F237" t="inlineStr">
        <is>
          <t>KALMAR LÄN</t>
        </is>
      </c>
      <c r="G237" t="inlineStr">
        <is>
          <t>NYBRO</t>
        </is>
      </c>
      <c r="I237" t="n">
        <v>0.6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7481-2024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45346</v>
      </c>
      <c r="E238" s="1" t="n">
        <v>46313</v>
      </c>
      <c r="F238" t="inlineStr">
        <is>
          <t>KALMAR LÄN</t>
        </is>
      </c>
      <c r="G238" t="inlineStr">
        <is>
          <t>NYBRO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11156-2023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44992</v>
      </c>
      <c r="E239" s="1" t="n">
        <v>46313</v>
      </c>
      <c r="F239" t="inlineStr">
        <is>
          <t>KALMAR LÄN</t>
        </is>
      </c>
      <c r="G239" t="inlineStr">
        <is>
          <t>NYBRO</t>
        </is>
      </c>
      <c r="I239" t="n">
        <v>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60603-2023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45260</v>
      </c>
      <c r="E240" s="1" t="n">
        <v>46313</v>
      </c>
      <c r="F240" t="inlineStr">
        <is>
          <t>KALMAR LÄN</t>
        </is>
      </c>
      <c r="G240" t="inlineStr">
        <is>
          <t>NYBRO</t>
        </is>
      </c>
      <c r="I240" t="n">
        <v>2.4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32048-2022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44778</v>
      </c>
      <c r="E241" s="1" t="n">
        <v>46313</v>
      </c>
      <c r="F241" t="inlineStr">
        <is>
          <t>KALMAR LÄN</t>
        </is>
      </c>
      <c r="G241" t="inlineStr">
        <is>
          <t>NYBRO</t>
        </is>
      </c>
      <c r="I241" t="n">
        <v>13.7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18884-2022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44690</v>
      </c>
      <c r="E242" s="1" t="n">
        <v>46313</v>
      </c>
      <c r="F242" t="inlineStr">
        <is>
          <t>KALMAR LÄN</t>
        </is>
      </c>
      <c r="G242" t="inlineStr">
        <is>
          <t>NYBRO</t>
        </is>
      </c>
      <c r="I242" t="n">
        <v>1.2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191-2023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44928</v>
      </c>
      <c r="E243" s="1" t="n">
        <v>46313</v>
      </c>
      <c r="F243" t="inlineStr">
        <is>
          <t>KALMAR LÄN</t>
        </is>
      </c>
      <c r="G243" t="inlineStr">
        <is>
          <t>NYBRO</t>
        </is>
      </c>
      <c r="I243" t="n">
        <v>1.1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489-2025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45664</v>
      </c>
      <c r="E244" s="1" t="n">
        <v>46313</v>
      </c>
      <c r="F244" t="inlineStr">
        <is>
          <t>KALMAR LÄN</t>
        </is>
      </c>
      <c r="G244" t="inlineStr">
        <is>
          <t>NYBRO</t>
        </is>
      </c>
      <c r="I244" t="n">
        <v>1.1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16268-2024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45407</v>
      </c>
      <c r="E245" s="1" t="n">
        <v>46313</v>
      </c>
      <c r="F245" t="inlineStr">
        <is>
          <t>KALMAR LÄN</t>
        </is>
      </c>
      <c r="G245" t="inlineStr">
        <is>
          <t>NYBRO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50976-2022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44867</v>
      </c>
      <c r="E246" s="1" t="n">
        <v>46313</v>
      </c>
      <c r="F246" t="inlineStr">
        <is>
          <t>KALMAR LÄN</t>
        </is>
      </c>
      <c r="G246" t="inlineStr">
        <is>
          <t>NYBRO</t>
        </is>
      </c>
      <c r="I246" t="n">
        <v>2.8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5214-2023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44959</v>
      </c>
      <c r="E247" s="1" t="n">
        <v>46313</v>
      </c>
      <c r="F247" t="inlineStr">
        <is>
          <t>KALMAR LÄN</t>
        </is>
      </c>
      <c r="G247" t="inlineStr">
        <is>
          <t>NYBRO</t>
        </is>
      </c>
      <c r="I247" t="n">
        <v>3.4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6306-2024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45338</v>
      </c>
      <c r="E248" s="1" t="n">
        <v>46313</v>
      </c>
      <c r="F248" t="inlineStr">
        <is>
          <t>KALMAR LÄN</t>
        </is>
      </c>
      <c r="G248" t="inlineStr">
        <is>
          <t>NYBRO</t>
        </is>
      </c>
      <c r="I248" t="n">
        <v>2.9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16720-2024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45409</v>
      </c>
      <c r="E249" s="1" t="n">
        <v>46313</v>
      </c>
      <c r="F249" t="inlineStr">
        <is>
          <t>KALMAR LÄN</t>
        </is>
      </c>
      <c r="G249" t="inlineStr">
        <is>
          <t>NYBRO</t>
        </is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29543-2024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45484</v>
      </c>
      <c r="E250" s="1" t="n">
        <v>46313</v>
      </c>
      <c r="F250" t="inlineStr">
        <is>
          <t>KALMAR LÄN</t>
        </is>
      </c>
      <c r="G250" t="inlineStr">
        <is>
          <t>NYBRO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3300-2023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44949</v>
      </c>
      <c r="E251" s="1" t="n">
        <v>46313</v>
      </c>
      <c r="F251" t="inlineStr">
        <is>
          <t>KALMAR LÄN</t>
        </is>
      </c>
      <c r="G251" t="inlineStr">
        <is>
          <t>NYBRO</t>
        </is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5340-2023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44959</v>
      </c>
      <c r="E252" s="1" t="n">
        <v>46313</v>
      </c>
      <c r="F252" t="inlineStr">
        <is>
          <t>KALMAR LÄN</t>
        </is>
      </c>
      <c r="G252" t="inlineStr">
        <is>
          <t>NYBRO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21613-2023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45063</v>
      </c>
      <c r="E253" s="1" t="n">
        <v>46313</v>
      </c>
      <c r="F253" t="inlineStr">
        <is>
          <t>KALMAR LÄN</t>
        </is>
      </c>
      <c r="G253" t="inlineStr">
        <is>
          <t>NYBRO</t>
        </is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59545-2023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45254</v>
      </c>
      <c r="E254" s="1" t="n">
        <v>46313</v>
      </c>
      <c r="F254" t="inlineStr">
        <is>
          <t>KALMAR LÄN</t>
        </is>
      </c>
      <c r="G254" t="inlineStr">
        <is>
          <t>NYBRO</t>
        </is>
      </c>
      <c r="I254" t="n">
        <v>0.5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44368-2023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45188</v>
      </c>
      <c r="E255" s="1" t="n">
        <v>46313</v>
      </c>
      <c r="F255" t="inlineStr">
        <is>
          <t>KALMAR LÄN</t>
        </is>
      </c>
      <c r="G255" t="inlineStr">
        <is>
          <t>NYBRO</t>
        </is>
      </c>
      <c r="I255" t="n">
        <v>0.8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61316-2022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44915</v>
      </c>
      <c r="E256" s="1" t="n">
        <v>46313</v>
      </c>
      <c r="F256" t="inlineStr">
        <is>
          <t>KALMAR LÄN</t>
        </is>
      </c>
      <c r="G256" t="inlineStr">
        <is>
          <t>NYBRO</t>
        </is>
      </c>
      <c r="I256" t="n">
        <v>0.6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14534-2024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45394</v>
      </c>
      <c r="E257" s="1" t="n">
        <v>46313</v>
      </c>
      <c r="F257" t="inlineStr">
        <is>
          <t>KALMAR LÄN</t>
        </is>
      </c>
      <c r="G257" t="inlineStr">
        <is>
          <t>NYBRO</t>
        </is>
      </c>
      <c r="H257" t="inlineStr">
        <is>
          <t>Kommuner</t>
        </is>
      </c>
      <c r="I257" t="n">
        <v>1.8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58933-2022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44903</v>
      </c>
      <c r="E258" s="1" t="n">
        <v>46313</v>
      </c>
      <c r="F258" t="inlineStr">
        <is>
          <t>KALMAR LÄN</t>
        </is>
      </c>
      <c r="G258" t="inlineStr">
        <is>
          <t>NYBRO</t>
        </is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10654-2024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45368</v>
      </c>
      <c r="E259" s="1" t="n">
        <v>46313</v>
      </c>
      <c r="F259" t="inlineStr">
        <is>
          <t>KALMAR LÄN</t>
        </is>
      </c>
      <c r="G259" t="inlineStr">
        <is>
          <t>NYBRO</t>
        </is>
      </c>
      <c r="I259" t="n">
        <v>2.6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10737-2024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45369</v>
      </c>
      <c r="E260" s="1" t="n">
        <v>46313</v>
      </c>
      <c r="F260" t="inlineStr">
        <is>
          <t>KALMAR LÄN</t>
        </is>
      </c>
      <c r="G260" t="inlineStr">
        <is>
          <t>NYBRO</t>
        </is>
      </c>
      <c r="I260" t="n">
        <v>1.3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34345-2024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45525</v>
      </c>
      <c r="E261" s="1" t="n">
        <v>46313</v>
      </c>
      <c r="F261" t="inlineStr">
        <is>
          <t>KALMAR LÄN</t>
        </is>
      </c>
      <c r="G261" t="inlineStr">
        <is>
          <t>NYBRO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23607-2022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44721</v>
      </c>
      <c r="E262" s="1" t="n">
        <v>46313</v>
      </c>
      <c r="F262" t="inlineStr">
        <is>
          <t>KALMAR LÄN</t>
        </is>
      </c>
      <c r="G262" t="inlineStr">
        <is>
          <t>NYBRO</t>
        </is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56215-2022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44890</v>
      </c>
      <c r="E263" s="1" t="n">
        <v>46313</v>
      </c>
      <c r="F263" t="inlineStr">
        <is>
          <t>KALMAR LÄN</t>
        </is>
      </c>
      <c r="G263" t="inlineStr">
        <is>
          <t>NYBRO</t>
        </is>
      </c>
      <c r="I263" t="n">
        <v>5.3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47435-2022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44853</v>
      </c>
      <c r="E264" s="1" t="n">
        <v>46313</v>
      </c>
      <c r="F264" t="inlineStr">
        <is>
          <t>KALMAR LÄN</t>
        </is>
      </c>
      <c r="G264" t="inlineStr">
        <is>
          <t>NYBRO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5405-2024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45331</v>
      </c>
      <c r="E265" s="1" t="n">
        <v>46313</v>
      </c>
      <c r="F265" t="inlineStr">
        <is>
          <t>KALMAR LÄN</t>
        </is>
      </c>
      <c r="G265" t="inlineStr">
        <is>
          <t>NYBRO</t>
        </is>
      </c>
      <c r="I265" t="n">
        <v>5.9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41974-2024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45561</v>
      </c>
      <c r="E266" s="1" t="n">
        <v>46313</v>
      </c>
      <c r="F266" t="inlineStr">
        <is>
          <t>KALMAR LÄN</t>
        </is>
      </c>
      <c r="G266" t="inlineStr">
        <is>
          <t>NYBRO</t>
        </is>
      </c>
      <c r="H266" t="inlineStr">
        <is>
          <t>Sveaskog</t>
        </is>
      </c>
      <c r="I266" t="n">
        <v>0.6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19363-2024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45429</v>
      </c>
      <c r="E267" s="1" t="n">
        <v>46313</v>
      </c>
      <c r="F267" t="inlineStr">
        <is>
          <t>KALMAR LÄN</t>
        </is>
      </c>
      <c r="G267" t="inlineStr">
        <is>
          <t>NYBRO</t>
        </is>
      </c>
      <c r="I267" t="n">
        <v>4.4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41846-2024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45561</v>
      </c>
      <c r="E268" s="1" t="n">
        <v>46313</v>
      </c>
      <c r="F268" t="inlineStr">
        <is>
          <t>KALMAR LÄN</t>
        </is>
      </c>
      <c r="G268" t="inlineStr">
        <is>
          <t>NYBRO</t>
        </is>
      </c>
      <c r="I268" t="n">
        <v>2.3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60794-2021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44497</v>
      </c>
      <c r="E269" s="1" t="n">
        <v>46313</v>
      </c>
      <c r="F269" t="inlineStr">
        <is>
          <t>KALMAR LÄN</t>
        </is>
      </c>
      <c r="G269" t="inlineStr">
        <is>
          <t>NYBRO</t>
        </is>
      </c>
      <c r="I269" t="n">
        <v>1.3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53614-2023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45223</v>
      </c>
      <c r="E270" s="1" t="n">
        <v>46313</v>
      </c>
      <c r="F270" t="inlineStr">
        <is>
          <t>KALMAR LÄN</t>
        </is>
      </c>
      <c r="G270" t="inlineStr">
        <is>
          <t>NYBRO</t>
        </is>
      </c>
      <c r="I270" t="n">
        <v>1.8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49104-2023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45210</v>
      </c>
      <c r="E271" s="1" t="n">
        <v>46313</v>
      </c>
      <c r="F271" t="inlineStr">
        <is>
          <t>KALMAR LÄN</t>
        </is>
      </c>
      <c r="G271" t="inlineStr">
        <is>
          <t>NYBRO</t>
        </is>
      </c>
      <c r="I271" t="n">
        <v>0.9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26125-2023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45091</v>
      </c>
      <c r="E272" s="1" t="n">
        <v>46313</v>
      </c>
      <c r="F272" t="inlineStr">
        <is>
          <t>KALMAR LÄN</t>
        </is>
      </c>
      <c r="G272" t="inlineStr">
        <is>
          <t>NYBRO</t>
        </is>
      </c>
      <c r="I272" t="n">
        <v>0.4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60819-2022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44914</v>
      </c>
      <c r="E273" s="1" t="n">
        <v>46313</v>
      </c>
      <c r="F273" t="inlineStr">
        <is>
          <t>KALMAR LÄN</t>
        </is>
      </c>
      <c r="G273" t="inlineStr">
        <is>
          <t>NYBRO</t>
        </is>
      </c>
      <c r="I273" t="n">
        <v>2.3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60896-2022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44914</v>
      </c>
      <c r="E274" s="1" t="n">
        <v>46313</v>
      </c>
      <c r="F274" t="inlineStr">
        <is>
          <t>KALMAR LÄN</t>
        </is>
      </c>
      <c r="G274" t="inlineStr">
        <is>
          <t>NYBRO</t>
        </is>
      </c>
      <c r="I274" t="n">
        <v>8.199999999999999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816-2023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44931</v>
      </c>
      <c r="E275" s="1" t="n">
        <v>46313</v>
      </c>
      <c r="F275" t="inlineStr">
        <is>
          <t>KALMAR LÄN</t>
        </is>
      </c>
      <c r="G275" t="inlineStr">
        <is>
          <t>NYBRO</t>
        </is>
      </c>
      <c r="H275" t="inlineStr">
        <is>
          <t>Sveaskog</t>
        </is>
      </c>
      <c r="I275" t="n">
        <v>1.8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28149-2023</t>
        </is>
      </c>
      <c r="B276" t="inlineStr">
        <is>
          <t>avverkningsanmälan</t>
        </is>
      </c>
      <c r="C276" t="inlineStr">
        <is>
          <t>Avverkning för annat ändamål</t>
        </is>
      </c>
      <c r="D276" s="1" t="n">
        <v>45096</v>
      </c>
      <c r="E276" s="1" t="n">
        <v>46313</v>
      </c>
      <c r="F276" t="inlineStr">
        <is>
          <t>KALMAR LÄN</t>
        </is>
      </c>
      <c r="G276" t="inlineStr">
        <is>
          <t>NYBRO</t>
        </is>
      </c>
      <c r="I276" t="n">
        <v>1.1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9519-2024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45359</v>
      </c>
      <c r="E277" s="1" t="n">
        <v>46313</v>
      </c>
      <c r="F277" t="inlineStr">
        <is>
          <t>KALMAR LÄN</t>
        </is>
      </c>
      <c r="G277" t="inlineStr">
        <is>
          <t>NYBRO</t>
        </is>
      </c>
      <c r="I277" t="n">
        <v>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56069-2023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45240</v>
      </c>
      <c r="E278" s="1" t="n">
        <v>46313</v>
      </c>
      <c r="F278" t="inlineStr">
        <is>
          <t>KALMAR LÄN</t>
        </is>
      </c>
      <c r="G278" t="inlineStr">
        <is>
          <t>NYBRO</t>
        </is>
      </c>
      <c r="I278" t="n">
        <v>0.8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10005-2024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45363</v>
      </c>
      <c r="E279" s="1" t="n">
        <v>46313</v>
      </c>
      <c r="F279" t="inlineStr">
        <is>
          <t>KALMAR LÄN</t>
        </is>
      </c>
      <c r="G279" t="inlineStr">
        <is>
          <t>NYBRO</t>
        </is>
      </c>
      <c r="I279" t="n">
        <v>1.3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23577-2023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45077</v>
      </c>
      <c r="E280" s="1" t="n">
        <v>46313</v>
      </c>
      <c r="F280" t="inlineStr">
        <is>
          <t>KALMAR LÄN</t>
        </is>
      </c>
      <c r="G280" t="inlineStr">
        <is>
          <t>NYBRO</t>
        </is>
      </c>
      <c r="I280" t="n">
        <v>10.3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1396-2023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44936</v>
      </c>
      <c r="E281" s="1" t="n">
        <v>46313</v>
      </c>
      <c r="F281" t="inlineStr">
        <is>
          <t>KALMAR LÄN</t>
        </is>
      </c>
      <c r="G281" t="inlineStr">
        <is>
          <t>NYBRO</t>
        </is>
      </c>
      <c r="I281" t="n">
        <v>4.3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47627-2025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45931</v>
      </c>
      <c r="E282" s="1" t="n">
        <v>46313</v>
      </c>
      <c r="F282" t="inlineStr">
        <is>
          <t>KALMAR LÄN</t>
        </is>
      </c>
      <c r="G282" t="inlineStr">
        <is>
          <t>NYBRO</t>
        </is>
      </c>
      <c r="H282" t="inlineStr">
        <is>
          <t>Kyrkan</t>
        </is>
      </c>
      <c r="I282" t="n">
        <v>4.5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34877-2025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45849</v>
      </c>
      <c r="E283" s="1" t="n">
        <v>46313</v>
      </c>
      <c r="F283" t="inlineStr">
        <is>
          <t>KALMAR LÄN</t>
        </is>
      </c>
      <c r="G283" t="inlineStr">
        <is>
          <t>NYBRO</t>
        </is>
      </c>
      <c r="I283" t="n">
        <v>0.5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7326-2026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46058</v>
      </c>
      <c r="E284" s="1" t="n">
        <v>46313</v>
      </c>
      <c r="F284" t="inlineStr">
        <is>
          <t>KALMAR LÄN</t>
        </is>
      </c>
      <c r="G284" t="inlineStr">
        <is>
          <t>NYBRO</t>
        </is>
      </c>
      <c r="I284" t="n">
        <v>4.6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50753-2025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45946</v>
      </c>
      <c r="E285" s="1" t="n">
        <v>46313</v>
      </c>
      <c r="F285" t="inlineStr">
        <is>
          <t>KALMAR LÄN</t>
        </is>
      </c>
      <c r="G285" t="inlineStr">
        <is>
          <t>NYBRO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43982-2024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45572</v>
      </c>
      <c r="E286" s="1" t="n">
        <v>46313</v>
      </c>
      <c r="F286" t="inlineStr">
        <is>
          <t>KALMAR LÄN</t>
        </is>
      </c>
      <c r="G286" t="inlineStr">
        <is>
          <t>NYBRO</t>
        </is>
      </c>
      <c r="I286" t="n">
        <v>4.7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13930-2025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45737</v>
      </c>
      <c r="E287" s="1" t="n">
        <v>46313</v>
      </c>
      <c r="F287" t="inlineStr">
        <is>
          <t>KALMAR LÄN</t>
        </is>
      </c>
      <c r="G287" t="inlineStr">
        <is>
          <t>NYBRO</t>
        </is>
      </c>
      <c r="I287" t="n">
        <v>1.2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42740-2022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44832</v>
      </c>
      <c r="E288" s="1" t="n">
        <v>46313</v>
      </c>
      <c r="F288" t="inlineStr">
        <is>
          <t>KALMAR LÄN</t>
        </is>
      </c>
      <c r="G288" t="inlineStr">
        <is>
          <t>NYBRO</t>
        </is>
      </c>
      <c r="H288" t="inlineStr">
        <is>
          <t>Sveaskog</t>
        </is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23202-2025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45791</v>
      </c>
      <c r="E289" s="1" t="n">
        <v>46313</v>
      </c>
      <c r="F289" t="inlineStr">
        <is>
          <t>KALMAR LÄN</t>
        </is>
      </c>
      <c r="G289" t="inlineStr">
        <is>
          <t>NYBRO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34887-2025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45849</v>
      </c>
      <c r="E290" s="1" t="n">
        <v>46313</v>
      </c>
      <c r="F290" t="inlineStr">
        <is>
          <t>KALMAR LÄN</t>
        </is>
      </c>
      <c r="G290" t="inlineStr">
        <is>
          <t>NYBRO</t>
        </is>
      </c>
      <c r="I290" t="n">
        <v>2.2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25717-2022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44733</v>
      </c>
      <c r="E291" s="1" t="n">
        <v>46313</v>
      </c>
      <c r="F291" t="inlineStr">
        <is>
          <t>KALMAR LÄN</t>
        </is>
      </c>
      <c r="G291" t="inlineStr">
        <is>
          <t>NYBRO</t>
        </is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54848-2025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45966</v>
      </c>
      <c r="E292" s="1" t="n">
        <v>46313</v>
      </c>
      <c r="F292" t="inlineStr">
        <is>
          <t>KALMAR LÄN</t>
        </is>
      </c>
      <c r="G292" t="inlineStr">
        <is>
          <t>NYBRO</t>
        </is>
      </c>
      <c r="I292" t="n">
        <v>2.2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28636-2023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45103</v>
      </c>
      <c r="E293" s="1" t="n">
        <v>46313</v>
      </c>
      <c r="F293" t="inlineStr">
        <is>
          <t>KALMAR LÄN</t>
        </is>
      </c>
      <c r="G293" t="inlineStr">
        <is>
          <t>NYBRO</t>
        </is>
      </c>
      <c r="I293" t="n">
        <v>2.9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5686-2025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45694</v>
      </c>
      <c r="E294" s="1" t="n">
        <v>46313</v>
      </c>
      <c r="F294" t="inlineStr">
        <is>
          <t>KALMAR LÄN</t>
        </is>
      </c>
      <c r="G294" t="inlineStr">
        <is>
          <t>NYBRO</t>
        </is>
      </c>
      <c r="I294" t="n">
        <v>2.6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56574-2025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45975</v>
      </c>
      <c r="E295" s="1" t="n">
        <v>46313</v>
      </c>
      <c r="F295" t="inlineStr">
        <is>
          <t>KALMAR LÄN</t>
        </is>
      </c>
      <c r="G295" t="inlineStr">
        <is>
          <t>NYBRO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5906-2026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46052</v>
      </c>
      <c r="E296" s="1" t="n">
        <v>46313</v>
      </c>
      <c r="F296" t="inlineStr">
        <is>
          <t>KALMAR LÄN</t>
        </is>
      </c>
      <c r="G296" t="inlineStr">
        <is>
          <t>NYBRO</t>
        </is>
      </c>
      <c r="I296" t="n">
        <v>2.1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9106-2025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45713</v>
      </c>
      <c r="E297" s="1" t="n">
        <v>46313</v>
      </c>
      <c r="F297" t="inlineStr">
        <is>
          <t>KALMAR LÄN</t>
        </is>
      </c>
      <c r="G297" t="inlineStr">
        <is>
          <t>NYBRO</t>
        </is>
      </c>
      <c r="I297" t="n">
        <v>13.2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59836-2023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45253</v>
      </c>
      <c r="E298" s="1" t="n">
        <v>46313</v>
      </c>
      <c r="F298" t="inlineStr">
        <is>
          <t>KALMAR LÄN</t>
        </is>
      </c>
      <c r="G298" t="inlineStr">
        <is>
          <t>NYBRO</t>
        </is>
      </c>
      <c r="I298" t="n">
        <v>6.2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51449-2024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45603</v>
      </c>
      <c r="E299" s="1" t="n">
        <v>46313</v>
      </c>
      <c r="F299" t="inlineStr">
        <is>
          <t>KALMAR LÄN</t>
        </is>
      </c>
      <c r="G299" t="inlineStr">
        <is>
          <t>NYBRO</t>
        </is>
      </c>
      <c r="I299" t="n">
        <v>3.7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4180-2025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45685</v>
      </c>
      <c r="E300" s="1" t="n">
        <v>46313</v>
      </c>
      <c r="F300" t="inlineStr">
        <is>
          <t>KALMAR LÄN</t>
        </is>
      </c>
      <c r="G300" t="inlineStr">
        <is>
          <t>NYBRO</t>
        </is>
      </c>
      <c r="I300" t="n">
        <v>5.9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45113-2023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45191</v>
      </c>
      <c r="E301" s="1" t="n">
        <v>46313</v>
      </c>
      <c r="F301" t="inlineStr">
        <is>
          <t>KALMAR LÄN</t>
        </is>
      </c>
      <c r="G301" t="inlineStr">
        <is>
          <t>NYBRO</t>
        </is>
      </c>
      <c r="H301" t="inlineStr">
        <is>
          <t>Sveaskog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45497-2024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45577</v>
      </c>
      <c r="E302" s="1" t="n">
        <v>46313</v>
      </c>
      <c r="F302" t="inlineStr">
        <is>
          <t>KALMAR LÄN</t>
        </is>
      </c>
      <c r="G302" t="inlineStr">
        <is>
          <t>NYBRO</t>
        </is>
      </c>
      <c r="I302" t="n">
        <v>2.2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8150-2022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44609</v>
      </c>
      <c r="E303" s="1" t="n">
        <v>46313</v>
      </c>
      <c r="F303" t="inlineStr">
        <is>
          <t>KALMAR LÄN</t>
        </is>
      </c>
      <c r="G303" t="inlineStr">
        <is>
          <t>NYBRO</t>
        </is>
      </c>
      <c r="I303" t="n">
        <v>2.1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49929-2022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44865</v>
      </c>
      <c r="E304" s="1" t="n">
        <v>46313</v>
      </c>
      <c r="F304" t="inlineStr">
        <is>
          <t>KALMAR LÄN</t>
        </is>
      </c>
      <c r="G304" t="inlineStr">
        <is>
          <t>NYBRO</t>
        </is>
      </c>
      <c r="I304" t="n">
        <v>1.1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28683-2024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45478</v>
      </c>
      <c r="E305" s="1" t="n">
        <v>46313</v>
      </c>
      <c r="F305" t="inlineStr">
        <is>
          <t>KALMAR LÄN</t>
        </is>
      </c>
      <c r="G305" t="inlineStr">
        <is>
          <t>NYBRO</t>
        </is>
      </c>
      <c r="I305" t="n">
        <v>1.5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63260-2021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44505</v>
      </c>
      <c r="E306" s="1" t="n">
        <v>46313</v>
      </c>
      <c r="F306" t="inlineStr">
        <is>
          <t>KALMAR LÄN</t>
        </is>
      </c>
      <c r="G306" t="inlineStr">
        <is>
          <t>NYBRO</t>
        </is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23191-2025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45791</v>
      </c>
      <c r="E307" s="1" t="n">
        <v>46313</v>
      </c>
      <c r="F307" t="inlineStr">
        <is>
          <t>KALMAR LÄN</t>
        </is>
      </c>
      <c r="G307" t="inlineStr">
        <is>
          <t>NYBRO</t>
        </is>
      </c>
      <c r="I307" t="n">
        <v>1.4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6195-2025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45698</v>
      </c>
      <c r="E308" s="1" t="n">
        <v>46313</v>
      </c>
      <c r="F308" t="inlineStr">
        <is>
          <t>KALMAR LÄN</t>
        </is>
      </c>
      <c r="G308" t="inlineStr">
        <is>
          <t>NYBRO</t>
        </is>
      </c>
      <c r="I308" t="n">
        <v>1.5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50783-2023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45217</v>
      </c>
      <c r="E309" s="1" t="n">
        <v>46313</v>
      </c>
      <c r="F309" t="inlineStr">
        <is>
          <t>KALMAR LÄN</t>
        </is>
      </c>
      <c r="G309" t="inlineStr">
        <is>
          <t>NYBRO</t>
        </is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59837-2023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45253</v>
      </c>
      <c r="E310" s="1" t="n">
        <v>46313</v>
      </c>
      <c r="F310" t="inlineStr">
        <is>
          <t>KALMAR LÄN</t>
        </is>
      </c>
      <c r="G310" t="inlineStr">
        <is>
          <t>NYBRO</t>
        </is>
      </c>
      <c r="I310" t="n">
        <v>2.1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51448-2024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45603</v>
      </c>
      <c r="E311" s="1" t="n">
        <v>46313</v>
      </c>
      <c r="F311" t="inlineStr">
        <is>
          <t>KALMAR LÄN</t>
        </is>
      </c>
      <c r="G311" t="inlineStr">
        <is>
          <t>NYBRO</t>
        </is>
      </c>
      <c r="I311" t="n">
        <v>2.4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39034-2025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45888</v>
      </c>
      <c r="E312" s="1" t="n">
        <v>46313</v>
      </c>
      <c r="F312" t="inlineStr">
        <is>
          <t>KALMAR LÄN</t>
        </is>
      </c>
      <c r="G312" t="inlineStr">
        <is>
          <t>NYBRO</t>
        </is>
      </c>
      <c r="I312" t="n">
        <v>7.1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35635-2025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45859</v>
      </c>
      <c r="E313" s="1" t="n">
        <v>46313</v>
      </c>
      <c r="F313" t="inlineStr">
        <is>
          <t>KALMAR LÄN</t>
        </is>
      </c>
      <c r="G313" t="inlineStr">
        <is>
          <t>NYBRO</t>
        </is>
      </c>
      <c r="I313" t="n">
        <v>2.7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35129-2023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45145</v>
      </c>
      <c r="E314" s="1" t="n">
        <v>46313</v>
      </c>
      <c r="F314" t="inlineStr">
        <is>
          <t>KALMAR LÄN</t>
        </is>
      </c>
      <c r="G314" t="inlineStr">
        <is>
          <t>NYBRO</t>
        </is>
      </c>
      <c r="I314" t="n">
        <v>3.8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35165-2023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45145</v>
      </c>
      <c r="E315" s="1" t="n">
        <v>46313</v>
      </c>
      <c r="F315" t="inlineStr">
        <is>
          <t>KALMAR LÄN</t>
        </is>
      </c>
      <c r="G315" t="inlineStr">
        <is>
          <t>NYBRO</t>
        </is>
      </c>
      <c r="I315" t="n">
        <v>2.5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43909-2025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45914</v>
      </c>
      <c r="E316" s="1" t="n">
        <v>46313</v>
      </c>
      <c r="F316" t="inlineStr">
        <is>
          <t>KALMAR LÄN</t>
        </is>
      </c>
      <c r="G316" t="inlineStr">
        <is>
          <t>NYBRO</t>
        </is>
      </c>
      <c r="I316" t="n">
        <v>1.5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47616-2025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45930</v>
      </c>
      <c r="E317" s="1" t="n">
        <v>46313</v>
      </c>
      <c r="F317" t="inlineStr">
        <is>
          <t>KALMAR LÄN</t>
        </is>
      </c>
      <c r="G317" t="inlineStr">
        <is>
          <t>NYBRO</t>
        </is>
      </c>
      <c r="H317" t="inlineStr">
        <is>
          <t>Kyrkan</t>
        </is>
      </c>
      <c r="I317" t="n">
        <v>2.2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56895-2024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45628</v>
      </c>
      <c r="E318" s="1" t="n">
        <v>46313</v>
      </c>
      <c r="F318" t="inlineStr">
        <is>
          <t>KALMAR LÄN</t>
        </is>
      </c>
      <c r="G318" t="inlineStr">
        <is>
          <t>NYBRO</t>
        </is>
      </c>
      <c r="I318" t="n">
        <v>2.3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38844-2023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45163</v>
      </c>
      <c r="E319" s="1" t="n">
        <v>46313</v>
      </c>
      <c r="F319" t="inlineStr">
        <is>
          <t>KALMAR LÄN</t>
        </is>
      </c>
      <c r="G319" t="inlineStr">
        <is>
          <t>NYBRO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40347-2023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45169</v>
      </c>
      <c r="E320" s="1" t="n">
        <v>46313</v>
      </c>
      <c r="F320" t="inlineStr">
        <is>
          <t>KALMAR LÄN</t>
        </is>
      </c>
      <c r="G320" t="inlineStr">
        <is>
          <t>NYBRO</t>
        </is>
      </c>
      <c r="I320" t="n">
        <v>2.8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42817-2023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45182</v>
      </c>
      <c r="E321" s="1" t="n">
        <v>46313</v>
      </c>
      <c r="F321" t="inlineStr">
        <is>
          <t>KALMAR LÄN</t>
        </is>
      </c>
      <c r="G321" t="inlineStr">
        <is>
          <t>NYBRO</t>
        </is>
      </c>
      <c r="I321" t="n">
        <v>1.9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39458-2023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45166</v>
      </c>
      <c r="E322" s="1" t="n">
        <v>46313</v>
      </c>
      <c r="F322" t="inlineStr">
        <is>
          <t>KALMAR LÄN</t>
        </is>
      </c>
      <c r="G322" t="inlineStr">
        <is>
          <t>NYBRO</t>
        </is>
      </c>
      <c r="I322" t="n">
        <v>1.3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39771-2022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44819</v>
      </c>
      <c r="E323" s="1" t="n">
        <v>46313</v>
      </c>
      <c r="F323" t="inlineStr">
        <is>
          <t>KALMAR LÄN</t>
        </is>
      </c>
      <c r="G323" t="inlineStr">
        <is>
          <t>NYBRO</t>
        </is>
      </c>
      <c r="H323" t="inlineStr">
        <is>
          <t>Kommuner</t>
        </is>
      </c>
      <c r="I323" t="n">
        <v>3.6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40075-2025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45894</v>
      </c>
      <c r="E324" s="1" t="n">
        <v>46313</v>
      </c>
      <c r="F324" t="inlineStr">
        <is>
          <t>KALMAR LÄN</t>
        </is>
      </c>
      <c r="G324" t="inlineStr">
        <is>
          <t>NYBRO</t>
        </is>
      </c>
      <c r="I324" t="n">
        <v>1.1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40077-2025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45894</v>
      </c>
      <c r="E325" s="1" t="n">
        <v>46313</v>
      </c>
      <c r="F325" t="inlineStr">
        <is>
          <t>KALMAR LÄN</t>
        </is>
      </c>
      <c r="G325" t="inlineStr">
        <is>
          <t>NYBRO</t>
        </is>
      </c>
      <c r="I325" t="n">
        <v>1.3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50978-2022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44867</v>
      </c>
      <c r="E326" s="1" t="n">
        <v>46313</v>
      </c>
      <c r="F326" t="inlineStr">
        <is>
          <t>KALMAR LÄN</t>
        </is>
      </c>
      <c r="G326" t="inlineStr">
        <is>
          <t>NYBRO</t>
        </is>
      </c>
      <c r="I326" t="n">
        <v>1.6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68345-2021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44528</v>
      </c>
      <c r="E327" s="1" t="n">
        <v>46313</v>
      </c>
      <c r="F327" t="inlineStr">
        <is>
          <t>KALMAR LÄN</t>
        </is>
      </c>
      <c r="G327" t="inlineStr">
        <is>
          <t>NYBRO</t>
        </is>
      </c>
      <c r="I327" t="n">
        <v>2.9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51305-2024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45603</v>
      </c>
      <c r="E328" s="1" t="n">
        <v>46313</v>
      </c>
      <c r="F328" t="inlineStr">
        <is>
          <t>KALMAR LÄN</t>
        </is>
      </c>
      <c r="G328" t="inlineStr">
        <is>
          <t>NYBRO</t>
        </is>
      </c>
      <c r="I328" t="n">
        <v>1.9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26120-2023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45091</v>
      </c>
      <c r="E329" s="1" t="n">
        <v>46313</v>
      </c>
      <c r="F329" t="inlineStr">
        <is>
          <t>KALMAR LÄN</t>
        </is>
      </c>
      <c r="G329" t="inlineStr">
        <is>
          <t>NYBRO</t>
        </is>
      </c>
      <c r="I329" t="n">
        <v>1.1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51588-2025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45951</v>
      </c>
      <c r="E330" s="1" t="n">
        <v>46313</v>
      </c>
      <c r="F330" t="inlineStr">
        <is>
          <t>KALMAR LÄN</t>
        </is>
      </c>
      <c r="G330" t="inlineStr">
        <is>
          <t>NYBRO</t>
        </is>
      </c>
      <c r="I330" t="n">
        <v>1.2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40335-2023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45169</v>
      </c>
      <c r="E331" s="1" t="n">
        <v>46313</v>
      </c>
      <c r="F331" t="inlineStr">
        <is>
          <t>KALMAR LÄN</t>
        </is>
      </c>
      <c r="G331" t="inlineStr">
        <is>
          <t>NYBRO</t>
        </is>
      </c>
      <c r="I331" t="n">
        <v>3.3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9581-2023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44982</v>
      </c>
      <c r="E332" s="1" t="n">
        <v>46313</v>
      </c>
      <c r="F332" t="inlineStr">
        <is>
          <t>KALMAR LÄN</t>
        </is>
      </c>
      <c r="G332" t="inlineStr">
        <is>
          <t>NYBRO</t>
        </is>
      </c>
      <c r="I332" t="n">
        <v>1.7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54512-2023</t>
        </is>
      </c>
      <c r="B333" t="inlineStr">
        <is>
          <t>avverkningsanmälan</t>
        </is>
      </c>
      <c r="C333" t="inlineStr">
        <is>
          <t>Avverkning för annat ändamål</t>
        </is>
      </c>
      <c r="D333" s="1" t="n">
        <v>45233</v>
      </c>
      <c r="E333" s="1" t="n">
        <v>46313</v>
      </c>
      <c r="F333" t="inlineStr">
        <is>
          <t>KALMAR LÄN</t>
        </is>
      </c>
      <c r="G333" t="inlineStr">
        <is>
          <t>NYBRO</t>
        </is>
      </c>
      <c r="H333" t="inlineStr">
        <is>
          <t>Sveaskog</t>
        </is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35931-2025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45862</v>
      </c>
      <c r="E334" s="1" t="n">
        <v>46313</v>
      </c>
      <c r="F334" t="inlineStr">
        <is>
          <t>KALMAR LÄN</t>
        </is>
      </c>
      <c r="G334" t="inlineStr">
        <is>
          <t>NYBRO</t>
        </is>
      </c>
      <c r="I334" t="n">
        <v>1.4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24710-2025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45798</v>
      </c>
      <c r="E335" s="1" t="n">
        <v>46313</v>
      </c>
      <c r="F335" t="inlineStr">
        <is>
          <t>KALMAR LÄN</t>
        </is>
      </c>
      <c r="G335" t="inlineStr">
        <is>
          <t>NYBRO</t>
        </is>
      </c>
      <c r="I335" t="n">
        <v>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54616-2025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45966</v>
      </c>
      <c r="E336" s="1" t="n">
        <v>46313</v>
      </c>
      <c r="F336" t="inlineStr">
        <is>
          <t>KALMAR LÄN</t>
        </is>
      </c>
      <c r="G336" t="inlineStr">
        <is>
          <t>NYBRO</t>
        </is>
      </c>
      <c r="I336" t="n">
        <v>1.4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28479-2023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45103</v>
      </c>
      <c r="E337" s="1" t="n">
        <v>46313</v>
      </c>
      <c r="F337" t="inlineStr">
        <is>
          <t>KALMAR LÄN</t>
        </is>
      </c>
      <c r="G337" t="inlineStr">
        <is>
          <t>NYBRO</t>
        </is>
      </c>
      <c r="I337" t="n">
        <v>1.4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28503-2023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45103</v>
      </c>
      <c r="E338" s="1" t="n">
        <v>46313</v>
      </c>
      <c r="F338" t="inlineStr">
        <is>
          <t>KALMAR LÄN</t>
        </is>
      </c>
      <c r="G338" t="inlineStr">
        <is>
          <t>NYBRO</t>
        </is>
      </c>
      <c r="I338" t="n">
        <v>2.2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28756-2025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45820</v>
      </c>
      <c r="E339" s="1" t="n">
        <v>46313</v>
      </c>
      <c r="F339" t="inlineStr">
        <is>
          <t>KALMAR LÄN</t>
        </is>
      </c>
      <c r="G339" t="inlineStr">
        <is>
          <t>NYBRO</t>
        </is>
      </c>
      <c r="H339" t="inlineStr">
        <is>
          <t>Sveaskog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33317-2025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45841</v>
      </c>
      <c r="E340" s="1" t="n">
        <v>46313</v>
      </c>
      <c r="F340" t="inlineStr">
        <is>
          <t>KALMAR LÄN</t>
        </is>
      </c>
      <c r="G340" t="inlineStr">
        <is>
          <t>NYBRO</t>
        </is>
      </c>
      <c r="I340" t="n">
        <v>1.8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31222-2025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45832</v>
      </c>
      <c r="E341" s="1" t="n">
        <v>46313</v>
      </c>
      <c r="F341" t="inlineStr">
        <is>
          <t>KALMAR LÄN</t>
        </is>
      </c>
      <c r="G341" t="inlineStr">
        <is>
          <t>NYBRO</t>
        </is>
      </c>
      <c r="I341" t="n">
        <v>2.4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38780-2025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45887</v>
      </c>
      <c r="E342" s="1" t="n">
        <v>46313</v>
      </c>
      <c r="F342" t="inlineStr">
        <is>
          <t>KALMAR LÄN</t>
        </is>
      </c>
      <c r="G342" t="inlineStr">
        <is>
          <t>NYBRO</t>
        </is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20646-2026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46141</v>
      </c>
      <c r="E343" s="1" t="n">
        <v>46313</v>
      </c>
      <c r="F343" t="inlineStr">
        <is>
          <t>KALMAR LÄN</t>
        </is>
      </c>
      <c r="G343" t="inlineStr">
        <is>
          <t>NYBRO</t>
        </is>
      </c>
      <c r="H343" t="inlineStr">
        <is>
          <t>Sveaskog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36162-2024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45534</v>
      </c>
      <c r="E344" s="1" t="n">
        <v>46313</v>
      </c>
      <c r="F344" t="inlineStr">
        <is>
          <t>KALMAR LÄN</t>
        </is>
      </c>
      <c r="G344" t="inlineStr">
        <is>
          <t>NYBRO</t>
        </is>
      </c>
      <c r="I344" t="n">
        <v>13.2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4405-2024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45327</v>
      </c>
      <c r="E345" s="1" t="n">
        <v>46313</v>
      </c>
      <c r="F345" t="inlineStr">
        <is>
          <t>KALMAR LÄN</t>
        </is>
      </c>
      <c r="G345" t="inlineStr">
        <is>
          <t>NYBRO</t>
        </is>
      </c>
      <c r="I345" t="n">
        <v>2.8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20642-2026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46141</v>
      </c>
      <c r="E346" s="1" t="n">
        <v>46313</v>
      </c>
      <c r="F346" t="inlineStr">
        <is>
          <t>KALMAR LÄN</t>
        </is>
      </c>
      <c r="G346" t="inlineStr">
        <is>
          <t>NYBRO</t>
        </is>
      </c>
      <c r="H346" t="inlineStr">
        <is>
          <t>Sveaskog</t>
        </is>
      </c>
      <c r="I346" t="n">
        <v>4.1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20643-2026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46141</v>
      </c>
      <c r="E347" s="1" t="n">
        <v>46313</v>
      </c>
      <c r="F347" t="inlineStr">
        <is>
          <t>KALMAR LÄN</t>
        </is>
      </c>
      <c r="G347" t="inlineStr">
        <is>
          <t>NYBRO</t>
        </is>
      </c>
      <c r="H347" t="inlineStr">
        <is>
          <t>Sveaskog</t>
        </is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14061-2024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45392</v>
      </c>
      <c r="E348" s="1" t="n">
        <v>46313</v>
      </c>
      <c r="F348" t="inlineStr">
        <is>
          <t>KALMAR LÄN</t>
        </is>
      </c>
      <c r="G348" t="inlineStr">
        <is>
          <t>NYBRO</t>
        </is>
      </c>
      <c r="I348" t="n">
        <v>1.1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6895-2024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45342</v>
      </c>
      <c r="E349" s="1" t="n">
        <v>46313</v>
      </c>
      <c r="F349" t="inlineStr">
        <is>
          <t>KALMAR LÄN</t>
        </is>
      </c>
      <c r="G349" t="inlineStr">
        <is>
          <t>NYBRO</t>
        </is>
      </c>
      <c r="I349" t="n">
        <v>1.4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35134-2025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45852</v>
      </c>
      <c r="E350" s="1" t="n">
        <v>46313</v>
      </c>
      <c r="F350" t="inlineStr">
        <is>
          <t>KALMAR LÄN</t>
        </is>
      </c>
      <c r="G350" t="inlineStr">
        <is>
          <t>NYBRO</t>
        </is>
      </c>
      <c r="I350" t="n">
        <v>1.5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3642-2024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45321</v>
      </c>
      <c r="E351" s="1" t="n">
        <v>46313</v>
      </c>
      <c r="F351" t="inlineStr">
        <is>
          <t>KALMAR LÄN</t>
        </is>
      </c>
      <c r="G351" t="inlineStr">
        <is>
          <t>NYBRO</t>
        </is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61839-2024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45649</v>
      </c>
      <c r="E352" s="1" t="n">
        <v>46313</v>
      </c>
      <c r="F352" t="inlineStr">
        <is>
          <t>KALMAR LÄN</t>
        </is>
      </c>
      <c r="G352" t="inlineStr">
        <is>
          <t>NYBRO</t>
        </is>
      </c>
      <c r="I352" t="n">
        <v>1.2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49895-2023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45213</v>
      </c>
      <c r="E353" s="1" t="n">
        <v>46313</v>
      </c>
      <c r="F353" t="inlineStr">
        <is>
          <t>KALMAR LÄN</t>
        </is>
      </c>
      <c r="G353" t="inlineStr">
        <is>
          <t>NYBRO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51082-2022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44868</v>
      </c>
      <c r="E354" s="1" t="n">
        <v>46313</v>
      </c>
      <c r="F354" t="inlineStr">
        <is>
          <t>KALMAR LÄN</t>
        </is>
      </c>
      <c r="G354" t="inlineStr">
        <is>
          <t>NYBRO</t>
        </is>
      </c>
      <c r="I354" t="n">
        <v>1.7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42814-2025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45908</v>
      </c>
      <c r="E355" s="1" t="n">
        <v>46313</v>
      </c>
      <c r="F355" t="inlineStr">
        <is>
          <t>KALMAR LÄN</t>
        </is>
      </c>
      <c r="G355" t="inlineStr">
        <is>
          <t>NYBRO</t>
        </is>
      </c>
      <c r="I355" t="n">
        <v>1.6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57224-2024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45629</v>
      </c>
      <c r="E356" s="1" t="n">
        <v>46313</v>
      </c>
      <c r="F356" t="inlineStr">
        <is>
          <t>KALMAR LÄN</t>
        </is>
      </c>
      <c r="G356" t="inlineStr">
        <is>
          <t>NYBRO</t>
        </is>
      </c>
      <c r="I356" t="n">
        <v>2.6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34021-2023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45135</v>
      </c>
      <c r="E357" s="1" t="n">
        <v>46313</v>
      </c>
      <c r="F357" t="inlineStr">
        <is>
          <t>KALMAR LÄN</t>
        </is>
      </c>
      <c r="G357" t="inlineStr">
        <is>
          <t>NYBRO</t>
        </is>
      </c>
      <c r="I357" t="n">
        <v>2.1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33292-2025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45840</v>
      </c>
      <c r="E358" s="1" t="n">
        <v>46313</v>
      </c>
      <c r="F358" t="inlineStr">
        <is>
          <t>KALMAR LÄN</t>
        </is>
      </c>
      <c r="G358" t="inlineStr">
        <is>
          <t>NYBRO</t>
        </is>
      </c>
      <c r="I358" t="n">
        <v>1.7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2884-2023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44945</v>
      </c>
      <c r="E359" s="1" t="n">
        <v>46313</v>
      </c>
      <c r="F359" t="inlineStr">
        <is>
          <t>KALMAR LÄN</t>
        </is>
      </c>
      <c r="G359" t="inlineStr">
        <is>
          <t>NYBRO</t>
        </is>
      </c>
      <c r="I359" t="n">
        <v>0.9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49405-2023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45211</v>
      </c>
      <c r="E360" s="1" t="n">
        <v>46313</v>
      </c>
      <c r="F360" t="inlineStr">
        <is>
          <t>KALMAR LÄN</t>
        </is>
      </c>
      <c r="G360" t="inlineStr">
        <is>
          <t>NYBRO</t>
        </is>
      </c>
      <c r="I360" t="n">
        <v>2.3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18323-2025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45762</v>
      </c>
      <c r="E361" s="1" t="n">
        <v>46313</v>
      </c>
      <c r="F361" t="inlineStr">
        <is>
          <t>KALMAR LÄN</t>
        </is>
      </c>
      <c r="G361" t="inlineStr">
        <is>
          <t>NYBRO</t>
        </is>
      </c>
      <c r="H361" t="inlineStr">
        <is>
          <t>Sveaskog</t>
        </is>
      </c>
      <c r="I361" t="n">
        <v>0.9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44661-2025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45917</v>
      </c>
      <c r="E362" s="1" t="n">
        <v>46313</v>
      </c>
      <c r="F362" t="inlineStr">
        <is>
          <t>KALMAR LÄN</t>
        </is>
      </c>
      <c r="G362" t="inlineStr">
        <is>
          <t>NYBRO</t>
        </is>
      </c>
      <c r="I362" t="n">
        <v>0.5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59207-2024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45637</v>
      </c>
      <c r="E363" s="1" t="n">
        <v>46313</v>
      </c>
      <c r="F363" t="inlineStr">
        <is>
          <t>KALMAR LÄN</t>
        </is>
      </c>
      <c r="G363" t="inlineStr">
        <is>
          <t>NYBRO</t>
        </is>
      </c>
      <c r="I363" t="n">
        <v>3.3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37967-2022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44811</v>
      </c>
      <c r="E364" s="1" t="n">
        <v>46313</v>
      </c>
      <c r="F364" t="inlineStr">
        <is>
          <t>KALMAR LÄN</t>
        </is>
      </c>
      <c r="G364" t="inlineStr">
        <is>
          <t>NYBRO</t>
        </is>
      </c>
      <c r="I364" t="n">
        <v>1.1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27340-2023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45096</v>
      </c>
      <c r="E365" s="1" t="n">
        <v>46313</v>
      </c>
      <c r="F365" t="inlineStr">
        <is>
          <t>KALMAR LÄN</t>
        </is>
      </c>
      <c r="G365" t="inlineStr">
        <is>
          <t>NYBRO</t>
        </is>
      </c>
      <c r="I365" t="n">
        <v>1.1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51908-2023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45216</v>
      </c>
      <c r="E366" s="1" t="n">
        <v>46313</v>
      </c>
      <c r="F366" t="inlineStr">
        <is>
          <t>KALMAR LÄN</t>
        </is>
      </c>
      <c r="G366" t="inlineStr">
        <is>
          <t>NYBRO</t>
        </is>
      </c>
      <c r="I366" t="n">
        <v>2.7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60026-2022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44909</v>
      </c>
      <c r="E367" s="1" t="n">
        <v>46313</v>
      </c>
      <c r="F367" t="inlineStr">
        <is>
          <t>KALMAR LÄN</t>
        </is>
      </c>
      <c r="G367" t="inlineStr">
        <is>
          <t>NYBRO</t>
        </is>
      </c>
      <c r="I367" t="n">
        <v>7.6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10895-2023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44991</v>
      </c>
      <c r="E368" s="1" t="n">
        <v>46313</v>
      </c>
      <c r="F368" t="inlineStr">
        <is>
          <t>KALMAR LÄN</t>
        </is>
      </c>
      <c r="G368" t="inlineStr">
        <is>
          <t>NYBRO</t>
        </is>
      </c>
      <c r="I368" t="n">
        <v>1.7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22059-2023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45069</v>
      </c>
      <c r="E369" s="1" t="n">
        <v>46313</v>
      </c>
      <c r="F369" t="inlineStr">
        <is>
          <t>KALMAR LÄN</t>
        </is>
      </c>
      <c r="G369" t="inlineStr">
        <is>
          <t>NYBRO</t>
        </is>
      </c>
      <c r="I369" t="n">
        <v>1.2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3349-2025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45679</v>
      </c>
      <c r="E370" s="1" t="n">
        <v>46313</v>
      </c>
      <c r="F370" t="inlineStr">
        <is>
          <t>KALMAR LÄN</t>
        </is>
      </c>
      <c r="G370" t="inlineStr">
        <is>
          <t>NYBRO</t>
        </is>
      </c>
      <c r="I370" t="n">
        <v>0.4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7958-2023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44973</v>
      </c>
      <c r="E371" s="1" t="n">
        <v>46313</v>
      </c>
      <c r="F371" t="inlineStr">
        <is>
          <t>KALMAR LÄN</t>
        </is>
      </c>
      <c r="G371" t="inlineStr">
        <is>
          <t>NYBRO</t>
        </is>
      </c>
      <c r="I371" t="n">
        <v>2.2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45911-2025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45923</v>
      </c>
      <c r="E372" s="1" t="n">
        <v>46313</v>
      </c>
      <c r="F372" t="inlineStr">
        <is>
          <t>KALMAR LÄN</t>
        </is>
      </c>
      <c r="G372" t="inlineStr">
        <is>
          <t>NYBRO</t>
        </is>
      </c>
      <c r="I372" t="n">
        <v>4.9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18072-2022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44684</v>
      </c>
      <c r="E373" s="1" t="n">
        <v>46313</v>
      </c>
      <c r="F373" t="inlineStr">
        <is>
          <t>KALMAR LÄN</t>
        </is>
      </c>
      <c r="G373" t="inlineStr">
        <is>
          <t>NYBRO</t>
        </is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8100-2023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44974</v>
      </c>
      <c r="E374" s="1" t="n">
        <v>46313</v>
      </c>
      <c r="F374" t="inlineStr">
        <is>
          <t>KALMAR LÄN</t>
        </is>
      </c>
      <c r="G374" t="inlineStr">
        <is>
          <t>NYBRO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21175-2023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45057</v>
      </c>
      <c r="E375" s="1" t="n">
        <v>46313</v>
      </c>
      <c r="F375" t="inlineStr">
        <is>
          <t>KALMAR LÄN</t>
        </is>
      </c>
      <c r="G375" t="inlineStr">
        <is>
          <t>NYBRO</t>
        </is>
      </c>
      <c r="I375" t="n">
        <v>4.7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21180-2023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45057</v>
      </c>
      <c r="E376" s="1" t="n">
        <v>46313</v>
      </c>
      <c r="F376" t="inlineStr">
        <is>
          <t>KALMAR LÄN</t>
        </is>
      </c>
      <c r="G376" t="inlineStr">
        <is>
          <t>NYBRO</t>
        </is>
      </c>
      <c r="I376" t="n">
        <v>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7650-2023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44972</v>
      </c>
      <c r="E377" s="1" t="n">
        <v>46313</v>
      </c>
      <c r="F377" t="inlineStr">
        <is>
          <t>KALMAR LÄN</t>
        </is>
      </c>
      <c r="G377" t="inlineStr">
        <is>
          <t>NYBRO</t>
        </is>
      </c>
      <c r="I377" t="n">
        <v>1.2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46821-2025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45926</v>
      </c>
      <c r="E378" s="1" t="n">
        <v>46313</v>
      </c>
      <c r="F378" t="inlineStr">
        <is>
          <t>KALMAR LÄN</t>
        </is>
      </c>
      <c r="G378" t="inlineStr">
        <is>
          <t>NYBRO</t>
        </is>
      </c>
      <c r="I378" t="n">
        <v>0.4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51652-2024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45606</v>
      </c>
      <c r="E379" s="1" t="n">
        <v>46313</v>
      </c>
      <c r="F379" t="inlineStr">
        <is>
          <t>KALMAR LÄN</t>
        </is>
      </c>
      <c r="G379" t="inlineStr">
        <is>
          <t>NYBRO</t>
        </is>
      </c>
      <c r="I379" t="n">
        <v>2.1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22093-2026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46153</v>
      </c>
      <c r="E380" s="1" t="n">
        <v>46313</v>
      </c>
      <c r="F380" t="inlineStr">
        <is>
          <t>KALMAR LÄN</t>
        </is>
      </c>
      <c r="G380" t="inlineStr">
        <is>
          <t>NYBRO</t>
        </is>
      </c>
      <c r="H380" t="inlineStr">
        <is>
          <t>Sveaskog</t>
        </is>
      </c>
      <c r="I380" t="n">
        <v>1.9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49338-2025</t>
        </is>
      </c>
      <c r="B381" t="inlineStr">
        <is>
          <t>avverkningsanmälan</t>
        </is>
      </c>
      <c r="C381" t="inlineStr">
        <is>
          <t>Avverkning för att bevara och utveckla /försöksver</t>
        </is>
      </c>
      <c r="D381" s="1" t="n">
        <v>45938</v>
      </c>
      <c r="E381" s="1" t="n">
        <v>46313</v>
      </c>
      <c r="F381" t="inlineStr">
        <is>
          <t>KALMAR LÄN</t>
        </is>
      </c>
      <c r="G381" t="inlineStr">
        <is>
          <t>NYBRO</t>
        </is>
      </c>
      <c r="I381" t="n">
        <v>3.5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22087-2026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46153</v>
      </c>
      <c r="E382" s="1" t="n">
        <v>46313</v>
      </c>
      <c r="F382" t="inlineStr">
        <is>
          <t>KALMAR LÄN</t>
        </is>
      </c>
      <c r="G382" t="inlineStr">
        <is>
          <t>NYBRO</t>
        </is>
      </c>
      <c r="H382" t="inlineStr">
        <is>
          <t>Sveaskog</t>
        </is>
      </c>
      <c r="I382" t="n">
        <v>1.2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50662-2023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45217</v>
      </c>
      <c r="E383" s="1" t="n">
        <v>46313</v>
      </c>
      <c r="F383" t="inlineStr">
        <is>
          <t>KALMAR LÄN</t>
        </is>
      </c>
      <c r="G383" t="inlineStr">
        <is>
          <t>NYBRO</t>
        </is>
      </c>
      <c r="I383" t="n">
        <v>7.4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41161-2023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45174</v>
      </c>
      <c r="E384" s="1" t="n">
        <v>46313</v>
      </c>
      <c r="F384" t="inlineStr">
        <is>
          <t>KALMAR LÄN</t>
        </is>
      </c>
      <c r="G384" t="inlineStr">
        <is>
          <t>NYBRO</t>
        </is>
      </c>
      <c r="I384" t="n">
        <v>3.9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12943-2024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45385</v>
      </c>
      <c r="E385" s="1" t="n">
        <v>46313</v>
      </c>
      <c r="F385" t="inlineStr">
        <is>
          <t>KALMAR LÄN</t>
        </is>
      </c>
      <c r="G385" t="inlineStr">
        <is>
          <t>NYBRO</t>
        </is>
      </c>
      <c r="I385" t="n">
        <v>1.3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14299-2023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45011</v>
      </c>
      <c r="E386" s="1" t="n">
        <v>46313</v>
      </c>
      <c r="F386" t="inlineStr">
        <is>
          <t>KALMAR LÄN</t>
        </is>
      </c>
      <c r="G386" t="inlineStr">
        <is>
          <t>NYBRO</t>
        </is>
      </c>
      <c r="I386" t="n">
        <v>2.2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13445-2022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44645</v>
      </c>
      <c r="E387" s="1" t="n">
        <v>46313</v>
      </c>
      <c r="F387" t="inlineStr">
        <is>
          <t>KALMAR LÄN</t>
        </is>
      </c>
      <c r="G387" t="inlineStr">
        <is>
          <t>NYBRO</t>
        </is>
      </c>
      <c r="I387" t="n">
        <v>1.1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50477-2025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45945</v>
      </c>
      <c r="E388" s="1" t="n">
        <v>46313</v>
      </c>
      <c r="F388" t="inlineStr">
        <is>
          <t>KALMAR LÄN</t>
        </is>
      </c>
      <c r="G388" t="inlineStr">
        <is>
          <t>NYBRO</t>
        </is>
      </c>
      <c r="I388" t="n">
        <v>0.4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15332-2024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45400</v>
      </c>
      <c r="E389" s="1" t="n">
        <v>46313</v>
      </c>
      <c r="F389" t="inlineStr">
        <is>
          <t>KALMAR LÄN</t>
        </is>
      </c>
      <c r="G389" t="inlineStr">
        <is>
          <t>NYBRO</t>
        </is>
      </c>
      <c r="I389" t="n">
        <v>1.3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55255-2023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45231</v>
      </c>
      <c r="E390" s="1" t="n">
        <v>46313</v>
      </c>
      <c r="F390" t="inlineStr">
        <is>
          <t>KALMAR LÄN</t>
        </is>
      </c>
      <c r="G390" t="inlineStr">
        <is>
          <t>NYBRO</t>
        </is>
      </c>
      <c r="I390" t="n">
        <v>1.3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52752-2024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45610</v>
      </c>
      <c r="E391" s="1" t="n">
        <v>46313</v>
      </c>
      <c r="F391" t="inlineStr">
        <is>
          <t>KALMAR LÄN</t>
        </is>
      </c>
      <c r="G391" t="inlineStr">
        <is>
          <t>NYBRO</t>
        </is>
      </c>
      <c r="I391" t="n">
        <v>1.2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20112-2023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45055</v>
      </c>
      <c r="E392" s="1" t="n">
        <v>46313</v>
      </c>
      <c r="F392" t="inlineStr">
        <is>
          <t>KALMAR LÄN</t>
        </is>
      </c>
      <c r="G392" t="inlineStr">
        <is>
          <t>NYBRO</t>
        </is>
      </c>
      <c r="I392" t="n">
        <v>2.7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50965-2025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45946</v>
      </c>
      <c r="E393" s="1" t="n">
        <v>46313</v>
      </c>
      <c r="F393" t="inlineStr">
        <is>
          <t>KALMAR LÄN</t>
        </is>
      </c>
      <c r="G393" t="inlineStr">
        <is>
          <t>NYBRO</t>
        </is>
      </c>
      <c r="I393" t="n">
        <v>0.7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15200-2025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45744</v>
      </c>
      <c r="E394" s="1" t="n">
        <v>46313</v>
      </c>
      <c r="F394" t="inlineStr">
        <is>
          <t>KALMAR LÄN</t>
        </is>
      </c>
      <c r="G394" t="inlineStr">
        <is>
          <t>NYBRO</t>
        </is>
      </c>
      <c r="I394" t="n">
        <v>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9138-2025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45714</v>
      </c>
      <c r="E395" s="1" t="n">
        <v>46313</v>
      </c>
      <c r="F395" t="inlineStr">
        <is>
          <t>KALMAR LÄN</t>
        </is>
      </c>
      <c r="G395" t="inlineStr">
        <is>
          <t>NYBRO</t>
        </is>
      </c>
      <c r="I395" t="n">
        <v>0.8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50964-2025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45946</v>
      </c>
      <c r="E396" s="1" t="n">
        <v>46313</v>
      </c>
      <c r="F396" t="inlineStr">
        <is>
          <t>KALMAR LÄN</t>
        </is>
      </c>
      <c r="G396" t="inlineStr">
        <is>
          <t>NYBRO</t>
        </is>
      </c>
      <c r="I396" t="n">
        <v>5.4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682-2025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45664</v>
      </c>
      <c r="E397" s="1" t="n">
        <v>46313</v>
      </c>
      <c r="F397" t="inlineStr">
        <is>
          <t>KALMAR LÄN</t>
        </is>
      </c>
      <c r="G397" t="inlineStr">
        <is>
          <t>NYBRO</t>
        </is>
      </c>
      <c r="I397" t="n">
        <v>0.8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59525-2023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45253</v>
      </c>
      <c r="E398" s="1" t="n">
        <v>46313</v>
      </c>
      <c r="F398" t="inlineStr">
        <is>
          <t>KALMAR LÄN</t>
        </is>
      </c>
      <c r="G398" t="inlineStr">
        <is>
          <t>NYBRO</t>
        </is>
      </c>
      <c r="I398" t="n">
        <v>4.5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16862-2024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45411</v>
      </c>
      <c r="E399" s="1" t="n">
        <v>46313</v>
      </c>
      <c r="F399" t="inlineStr">
        <is>
          <t>KALMAR LÄN</t>
        </is>
      </c>
      <c r="G399" t="inlineStr">
        <is>
          <t>NYBRO</t>
        </is>
      </c>
      <c r="I399" t="n">
        <v>3.4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45074-2023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45191</v>
      </c>
      <c r="E400" s="1" t="n">
        <v>46313</v>
      </c>
      <c r="F400" t="inlineStr">
        <is>
          <t>KALMAR LÄN</t>
        </is>
      </c>
      <c r="G400" t="inlineStr">
        <is>
          <t>NYBRO</t>
        </is>
      </c>
      <c r="H400" t="inlineStr">
        <is>
          <t>Sveaskog</t>
        </is>
      </c>
      <c r="I400" t="n">
        <v>0.7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22575-2026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46155</v>
      </c>
      <c r="E401" s="1" t="n">
        <v>46313</v>
      </c>
      <c r="F401" t="inlineStr">
        <is>
          <t>KALMAR LÄN</t>
        </is>
      </c>
      <c r="G401" t="inlineStr">
        <is>
          <t>NYBRO</t>
        </is>
      </c>
      <c r="I401" t="n">
        <v>2.3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27513-2024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45474</v>
      </c>
      <c r="E402" s="1" t="n">
        <v>46313</v>
      </c>
      <c r="F402" t="inlineStr">
        <is>
          <t>KALMAR LÄN</t>
        </is>
      </c>
      <c r="G402" t="inlineStr">
        <is>
          <t>NYBRO</t>
        </is>
      </c>
      <c r="I402" t="n">
        <v>0.5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61807-2024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45649</v>
      </c>
      <c r="E403" s="1" t="n">
        <v>46313</v>
      </c>
      <c r="F403" t="inlineStr">
        <is>
          <t>KALMAR LÄN</t>
        </is>
      </c>
      <c r="G403" t="inlineStr">
        <is>
          <t>NYBRO</t>
        </is>
      </c>
      <c r="I403" t="n">
        <v>14.2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61835-2024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45649</v>
      </c>
      <c r="E404" s="1" t="n">
        <v>46313</v>
      </c>
      <c r="F404" t="inlineStr">
        <is>
          <t>KALMAR LÄN</t>
        </is>
      </c>
      <c r="G404" t="inlineStr">
        <is>
          <t>NYBRO</t>
        </is>
      </c>
      <c r="I404" t="n">
        <v>5.7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53046-2025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45958</v>
      </c>
      <c r="E405" s="1" t="n">
        <v>46313</v>
      </c>
      <c r="F405" t="inlineStr">
        <is>
          <t>KALMAR LÄN</t>
        </is>
      </c>
      <c r="G405" t="inlineStr">
        <is>
          <t>NYBRO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18288-2025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45762</v>
      </c>
      <c r="E406" s="1" t="n">
        <v>46313</v>
      </c>
      <c r="F406" t="inlineStr">
        <is>
          <t>KALMAR LÄN</t>
        </is>
      </c>
      <c r="G406" t="inlineStr">
        <is>
          <t>NYBRO</t>
        </is>
      </c>
      <c r="H406" t="inlineStr">
        <is>
          <t>Sveaskog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61780-2022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44917</v>
      </c>
      <c r="E407" s="1" t="n">
        <v>46313</v>
      </c>
      <c r="F407" t="inlineStr">
        <is>
          <t>KALMAR LÄN</t>
        </is>
      </c>
      <c r="G407" t="inlineStr">
        <is>
          <t>NYBRO</t>
        </is>
      </c>
      <c r="H407" t="inlineStr">
        <is>
          <t>Kommuner</t>
        </is>
      </c>
      <c r="I407" t="n">
        <v>6.4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53068-2025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45958</v>
      </c>
      <c r="E408" s="1" t="n">
        <v>46313</v>
      </c>
      <c r="F408" t="inlineStr">
        <is>
          <t>KALMAR LÄN</t>
        </is>
      </c>
      <c r="G408" t="inlineStr">
        <is>
          <t>NYBRO</t>
        </is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53071-2025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45958</v>
      </c>
      <c r="E409" s="1" t="n">
        <v>46313</v>
      </c>
      <c r="F409" t="inlineStr">
        <is>
          <t>KALMAR LÄN</t>
        </is>
      </c>
      <c r="G409" t="inlineStr">
        <is>
          <t>NYBRO</t>
        </is>
      </c>
      <c r="I409" t="n">
        <v>3.7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1729-2023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44938</v>
      </c>
      <c r="E410" s="1" t="n">
        <v>46313</v>
      </c>
      <c r="F410" t="inlineStr">
        <is>
          <t>KALMAR LÄN</t>
        </is>
      </c>
      <c r="G410" t="inlineStr">
        <is>
          <t>NYBRO</t>
        </is>
      </c>
      <c r="I410" t="n">
        <v>0.7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53066-2025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45958</v>
      </c>
      <c r="E411" s="1" t="n">
        <v>46313</v>
      </c>
      <c r="F411" t="inlineStr">
        <is>
          <t>KALMAR LÄN</t>
        </is>
      </c>
      <c r="G411" t="inlineStr">
        <is>
          <t>NYBRO</t>
        </is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41679-2024</t>
        </is>
      </c>
      <c r="B412" t="inlineStr">
        <is>
          <t>avverkningsanmälan</t>
        </is>
      </c>
      <c r="C412" t="inlineStr">
        <is>
          <t>Avverkning för att bevara och utveckla /försöksver</t>
        </is>
      </c>
      <c r="D412" s="1" t="n">
        <v>45560</v>
      </c>
      <c r="E412" s="1" t="n">
        <v>46313</v>
      </c>
      <c r="F412" t="inlineStr">
        <is>
          <t>KALMAR LÄN</t>
        </is>
      </c>
      <c r="G412" t="inlineStr">
        <is>
          <t>NYBRO</t>
        </is>
      </c>
      <c r="I412" t="n">
        <v>0.5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7037-2026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46057</v>
      </c>
      <c r="E413" s="1" t="n">
        <v>46313</v>
      </c>
      <c r="F413" t="inlineStr">
        <is>
          <t>KALMAR LÄN</t>
        </is>
      </c>
      <c r="G413" t="inlineStr">
        <is>
          <t>NYBRO</t>
        </is>
      </c>
      <c r="I413" t="n">
        <v>1.6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40193-2025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45894</v>
      </c>
      <c r="E414" s="1" t="n">
        <v>46313</v>
      </c>
      <c r="F414" t="inlineStr">
        <is>
          <t>KALMAR LÄN</t>
        </is>
      </c>
      <c r="G414" t="inlineStr">
        <is>
          <t>NYBRO</t>
        </is>
      </c>
      <c r="I414" t="n">
        <v>2.6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50938-2022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44867</v>
      </c>
      <c r="E415" s="1" t="n">
        <v>46313</v>
      </c>
      <c r="F415" t="inlineStr">
        <is>
          <t>KALMAR LÄN</t>
        </is>
      </c>
      <c r="G415" t="inlineStr">
        <is>
          <t>NYBRO</t>
        </is>
      </c>
      <c r="I415" t="n">
        <v>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64453-2023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45280</v>
      </c>
      <c r="E416" s="1" t="n">
        <v>46313</v>
      </c>
      <c r="F416" t="inlineStr">
        <is>
          <t>KALMAR LÄN</t>
        </is>
      </c>
      <c r="G416" t="inlineStr">
        <is>
          <t>NYBRO</t>
        </is>
      </c>
      <c r="I416" t="n">
        <v>0.5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2580-2022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44580</v>
      </c>
      <c r="E417" s="1" t="n">
        <v>46313</v>
      </c>
      <c r="F417" t="inlineStr">
        <is>
          <t>KALMAR LÄN</t>
        </is>
      </c>
      <c r="G417" t="inlineStr">
        <is>
          <t>NYBRO</t>
        </is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48467-2024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45591</v>
      </c>
      <c r="E418" s="1" t="n">
        <v>46313</v>
      </c>
      <c r="F418" t="inlineStr">
        <is>
          <t>KALMAR LÄN</t>
        </is>
      </c>
      <c r="G418" t="inlineStr">
        <is>
          <t>NYBRO</t>
        </is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22872-2026</t>
        </is>
      </c>
      <c r="B419" t="inlineStr">
        <is>
          <t>avverkningsanmälan</t>
        </is>
      </c>
      <c r="C419" t="inlineStr">
        <is>
          <t>Avverkning för annat ändamål</t>
        </is>
      </c>
      <c r="D419" s="1" t="n">
        <v>46160</v>
      </c>
      <c r="E419" s="1" t="n">
        <v>46313</v>
      </c>
      <c r="F419" t="inlineStr">
        <is>
          <t>KALMAR LÄN</t>
        </is>
      </c>
      <c r="G419" t="inlineStr">
        <is>
          <t>NYBRO</t>
        </is>
      </c>
      <c r="I419" t="n">
        <v>3.5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18571-2023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45043</v>
      </c>
      <c r="E420" s="1" t="n">
        <v>46313</v>
      </c>
      <c r="F420" t="inlineStr">
        <is>
          <t>KALMAR LÄN</t>
        </is>
      </c>
      <c r="G420" t="inlineStr">
        <is>
          <t>NYBRO</t>
        </is>
      </c>
      <c r="I420" t="n">
        <v>1.1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54252-2024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45616</v>
      </c>
      <c r="E421" s="1" t="n">
        <v>46313</v>
      </c>
      <c r="F421" t="inlineStr">
        <is>
          <t>KALMAR LÄN</t>
        </is>
      </c>
      <c r="G421" t="inlineStr">
        <is>
          <t>NYBRO</t>
        </is>
      </c>
      <c r="I421" t="n">
        <v>2.2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18831-2024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45426</v>
      </c>
      <c r="E422" s="1" t="n">
        <v>46313</v>
      </c>
      <c r="F422" t="inlineStr">
        <is>
          <t>KALMAR LÄN</t>
        </is>
      </c>
      <c r="G422" t="inlineStr">
        <is>
          <t>NYBRO</t>
        </is>
      </c>
      <c r="I422" t="n">
        <v>0.6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19539-2023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45050</v>
      </c>
      <c r="E423" s="1" t="n">
        <v>46313</v>
      </c>
      <c r="F423" t="inlineStr">
        <is>
          <t>KALMAR LÄN</t>
        </is>
      </c>
      <c r="G423" t="inlineStr">
        <is>
          <t>NYBRO</t>
        </is>
      </c>
      <c r="I423" t="n">
        <v>3.7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5242-2024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45330</v>
      </c>
      <c r="E424" s="1" t="n">
        <v>46313</v>
      </c>
      <c r="F424" t="inlineStr">
        <is>
          <t>KALMAR LÄN</t>
        </is>
      </c>
      <c r="G424" t="inlineStr">
        <is>
          <t>NYBRO</t>
        </is>
      </c>
      <c r="I424" t="n">
        <v>5.3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28522-2023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45103</v>
      </c>
      <c r="E425" s="1" t="n">
        <v>46313</v>
      </c>
      <c r="F425" t="inlineStr">
        <is>
          <t>KALMAR LÄN</t>
        </is>
      </c>
      <c r="G425" t="inlineStr">
        <is>
          <t>NYBRO</t>
        </is>
      </c>
      <c r="I425" t="n">
        <v>0.6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8069-2023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44974</v>
      </c>
      <c r="E426" s="1" t="n">
        <v>46313</v>
      </c>
      <c r="F426" t="inlineStr">
        <is>
          <t>KALMAR LÄN</t>
        </is>
      </c>
      <c r="G426" t="inlineStr">
        <is>
          <t>NYBRO</t>
        </is>
      </c>
      <c r="I426" t="n">
        <v>2.3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19451-2022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44693</v>
      </c>
      <c r="E427" s="1" t="n">
        <v>46313</v>
      </c>
      <c r="F427" t="inlineStr">
        <is>
          <t>KALMAR LÄN</t>
        </is>
      </c>
      <c r="G427" t="inlineStr">
        <is>
          <t>NYBRO</t>
        </is>
      </c>
      <c r="H427" t="inlineStr">
        <is>
          <t>Sveaskog</t>
        </is>
      </c>
      <c r="I427" t="n">
        <v>1.4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26715-2022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44739</v>
      </c>
      <c r="E428" s="1" t="n">
        <v>46313</v>
      </c>
      <c r="F428" t="inlineStr">
        <is>
          <t>KALMAR LÄN</t>
        </is>
      </c>
      <c r="G428" t="inlineStr">
        <is>
          <t>NYBRO</t>
        </is>
      </c>
      <c r="I428" t="n">
        <v>1.3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56686-2025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45975</v>
      </c>
      <c r="E429" s="1" t="n">
        <v>46313</v>
      </c>
      <c r="F429" t="inlineStr">
        <is>
          <t>KALMAR LÄN</t>
        </is>
      </c>
      <c r="G429" t="inlineStr">
        <is>
          <t>NYBRO</t>
        </is>
      </c>
      <c r="I429" t="n">
        <v>1.3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59689-2021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44494</v>
      </c>
      <c r="E430" s="1" t="n">
        <v>46313</v>
      </c>
      <c r="F430" t="inlineStr">
        <is>
          <t>KALMAR LÄN</t>
        </is>
      </c>
      <c r="G430" t="inlineStr">
        <is>
          <t>NYBRO</t>
        </is>
      </c>
      <c r="I430" t="n">
        <v>1.1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443-2024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45296</v>
      </c>
      <c r="E431" s="1" t="n">
        <v>46313</v>
      </c>
      <c r="F431" t="inlineStr">
        <is>
          <t>KALMAR LÄN</t>
        </is>
      </c>
      <c r="G431" t="inlineStr">
        <is>
          <t>NYBRO</t>
        </is>
      </c>
      <c r="I431" t="n">
        <v>3.9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57490-2025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45980</v>
      </c>
      <c r="E432" s="1" t="n">
        <v>46313</v>
      </c>
      <c r="F432" t="inlineStr">
        <is>
          <t>KALMAR LÄN</t>
        </is>
      </c>
      <c r="G432" t="inlineStr">
        <is>
          <t>NYBRO</t>
        </is>
      </c>
      <c r="H432" t="inlineStr">
        <is>
          <t>Sveaskog</t>
        </is>
      </c>
      <c r="I432" t="n">
        <v>0.5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43731-2023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45187</v>
      </c>
      <c r="E433" s="1" t="n">
        <v>46313</v>
      </c>
      <c r="F433" t="inlineStr">
        <is>
          <t>KALMAR LÄN</t>
        </is>
      </c>
      <c r="G433" t="inlineStr">
        <is>
          <t>NYBRO</t>
        </is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3612-2022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44586</v>
      </c>
      <c r="E434" s="1" t="n">
        <v>46313</v>
      </c>
      <c r="F434" t="inlineStr">
        <is>
          <t>KALMAR LÄN</t>
        </is>
      </c>
      <c r="G434" t="inlineStr">
        <is>
          <t>NYBRO</t>
        </is>
      </c>
      <c r="I434" t="n">
        <v>1.5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59052-2022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44904</v>
      </c>
      <c r="E435" s="1" t="n">
        <v>46313</v>
      </c>
      <c r="F435" t="inlineStr">
        <is>
          <t>KALMAR LÄN</t>
        </is>
      </c>
      <c r="G435" t="inlineStr">
        <is>
          <t>NYBRO</t>
        </is>
      </c>
      <c r="I435" t="n">
        <v>1.2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57474-2025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45980</v>
      </c>
      <c r="E436" s="1" t="n">
        <v>46313</v>
      </c>
      <c r="F436" t="inlineStr">
        <is>
          <t>KALMAR LÄN</t>
        </is>
      </c>
      <c r="G436" t="inlineStr">
        <is>
          <t>NYBRO</t>
        </is>
      </c>
      <c r="H436" t="inlineStr">
        <is>
          <t>Sveaskog</t>
        </is>
      </c>
      <c r="I436" t="n">
        <v>0.8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57476-2025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45980</v>
      </c>
      <c r="E437" s="1" t="n">
        <v>46313</v>
      </c>
      <c r="F437" t="inlineStr">
        <is>
          <t>KALMAR LÄN</t>
        </is>
      </c>
      <c r="G437" t="inlineStr">
        <is>
          <t>NYBRO</t>
        </is>
      </c>
      <c r="H437" t="inlineStr">
        <is>
          <t>Sveaskog</t>
        </is>
      </c>
      <c r="I437" t="n">
        <v>0.4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35371-2022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44798</v>
      </c>
      <c r="E438" s="1" t="n">
        <v>46313</v>
      </c>
      <c r="F438" t="inlineStr">
        <is>
          <t>KALMAR LÄN</t>
        </is>
      </c>
      <c r="G438" t="inlineStr">
        <is>
          <t>NYBRO</t>
        </is>
      </c>
      <c r="I438" t="n">
        <v>1.2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58482-2025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45985</v>
      </c>
      <c r="E439" s="1" t="n">
        <v>46313</v>
      </c>
      <c r="F439" t="inlineStr">
        <is>
          <t>KALMAR LÄN</t>
        </is>
      </c>
      <c r="G439" t="inlineStr">
        <is>
          <t>NYBRO</t>
        </is>
      </c>
      <c r="I439" t="n">
        <v>1.5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12785-2025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45733</v>
      </c>
      <c r="E440" s="1" t="n">
        <v>46313</v>
      </c>
      <c r="F440" t="inlineStr">
        <is>
          <t>KALMAR LÄN</t>
        </is>
      </c>
      <c r="G440" t="inlineStr">
        <is>
          <t>NYBRO</t>
        </is>
      </c>
      <c r="I440" t="n">
        <v>1.9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17432-2024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45415</v>
      </c>
      <c r="E441" s="1" t="n">
        <v>46313</v>
      </c>
      <c r="F441" t="inlineStr">
        <is>
          <t>KALMAR LÄN</t>
        </is>
      </c>
      <c r="G441" t="inlineStr">
        <is>
          <t>NYBRO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8489-2023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44977</v>
      </c>
      <c r="E442" s="1" t="n">
        <v>46313</v>
      </c>
      <c r="F442" t="inlineStr">
        <is>
          <t>KALMAR LÄN</t>
        </is>
      </c>
      <c r="G442" t="inlineStr">
        <is>
          <t>NYBRO</t>
        </is>
      </c>
      <c r="I442" t="n">
        <v>0.9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17605-2023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45035</v>
      </c>
      <c r="E443" s="1" t="n">
        <v>46313</v>
      </c>
      <c r="F443" t="inlineStr">
        <is>
          <t>KALMAR LÄN</t>
        </is>
      </c>
      <c r="G443" t="inlineStr">
        <is>
          <t>NYBRO</t>
        </is>
      </c>
      <c r="I443" t="n">
        <v>15.1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59940-2022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44909</v>
      </c>
      <c r="E444" s="1" t="n">
        <v>46313</v>
      </c>
      <c r="F444" t="inlineStr">
        <is>
          <t>KALMAR LÄN</t>
        </is>
      </c>
      <c r="G444" t="inlineStr">
        <is>
          <t>NYBRO</t>
        </is>
      </c>
      <c r="I444" t="n">
        <v>2.3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58673-2025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45986</v>
      </c>
      <c r="E445" s="1" t="n">
        <v>46313</v>
      </c>
      <c r="F445" t="inlineStr">
        <is>
          <t>KALMAR LÄN</t>
        </is>
      </c>
      <c r="G445" t="inlineStr">
        <is>
          <t>NYBRO</t>
        </is>
      </c>
      <c r="I445" t="n">
        <v>1.5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25816-2023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45090</v>
      </c>
      <c r="E446" s="1" t="n">
        <v>46313</v>
      </c>
      <c r="F446" t="inlineStr">
        <is>
          <t>KALMAR LÄN</t>
        </is>
      </c>
      <c r="G446" t="inlineStr">
        <is>
          <t>NYBRO</t>
        </is>
      </c>
      <c r="I446" t="n">
        <v>2.1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58680-2025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45986</v>
      </c>
      <c r="E447" s="1" t="n">
        <v>46313</v>
      </c>
      <c r="F447" t="inlineStr">
        <is>
          <t>KALMAR LÄN</t>
        </is>
      </c>
      <c r="G447" t="inlineStr">
        <is>
          <t>NYBRO</t>
        </is>
      </c>
      <c r="I447" t="n">
        <v>1.3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10114-2022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44621</v>
      </c>
      <c r="E448" s="1" t="n">
        <v>46313</v>
      </c>
      <c r="F448" t="inlineStr">
        <is>
          <t>KALMAR LÄN</t>
        </is>
      </c>
      <c r="G448" t="inlineStr">
        <is>
          <t>NYBRO</t>
        </is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58988-2025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45987</v>
      </c>
      <c r="E449" s="1" t="n">
        <v>46313</v>
      </c>
      <c r="F449" t="inlineStr">
        <is>
          <t>KALMAR LÄN</t>
        </is>
      </c>
      <c r="G449" t="inlineStr">
        <is>
          <t>NYBRO</t>
        </is>
      </c>
      <c r="I449" t="n">
        <v>4.4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2380-2022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44579</v>
      </c>
      <c r="E450" s="1" t="n">
        <v>46313</v>
      </c>
      <c r="F450" t="inlineStr">
        <is>
          <t>KALMAR LÄN</t>
        </is>
      </c>
      <c r="G450" t="inlineStr">
        <is>
          <t>NYBRO</t>
        </is>
      </c>
      <c r="I450" t="n">
        <v>8.4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11352-2024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45372</v>
      </c>
      <c r="E451" s="1" t="n">
        <v>46313</v>
      </c>
      <c r="F451" t="inlineStr">
        <is>
          <t>KALMAR LÄN</t>
        </is>
      </c>
      <c r="G451" t="inlineStr">
        <is>
          <t>NYBRO</t>
        </is>
      </c>
      <c r="I451" t="n">
        <v>1.5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36247-2022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44803</v>
      </c>
      <c r="E452" s="1" t="n">
        <v>46313</v>
      </c>
      <c r="F452" t="inlineStr">
        <is>
          <t>KALMAR LÄN</t>
        </is>
      </c>
      <c r="G452" t="inlineStr">
        <is>
          <t>NYBRO</t>
        </is>
      </c>
      <c r="I452" t="n">
        <v>1.7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59053-2022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44904</v>
      </c>
      <c r="E453" s="1" t="n">
        <v>46313</v>
      </c>
      <c r="F453" t="inlineStr">
        <is>
          <t>KALMAR LÄN</t>
        </is>
      </c>
      <c r="G453" t="inlineStr">
        <is>
          <t>NYBRO</t>
        </is>
      </c>
      <c r="I453" t="n">
        <v>1.1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59054-2022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44904</v>
      </c>
      <c r="E454" s="1" t="n">
        <v>46313</v>
      </c>
      <c r="F454" t="inlineStr">
        <is>
          <t>KALMAR LÄN</t>
        </is>
      </c>
      <c r="G454" t="inlineStr">
        <is>
          <t>NYBRO</t>
        </is>
      </c>
      <c r="I454" t="n">
        <v>1.9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41674-2024</t>
        </is>
      </c>
      <c r="B455" t="inlineStr">
        <is>
          <t>avverkningsanmälan</t>
        </is>
      </c>
      <c r="C455" t="inlineStr">
        <is>
          <t>Avverkning för att bevara och utveckla /försöksver</t>
        </is>
      </c>
      <c r="D455" s="1" t="n">
        <v>45560</v>
      </c>
      <c r="E455" s="1" t="n">
        <v>46313</v>
      </c>
      <c r="F455" t="inlineStr">
        <is>
          <t>KALMAR LÄN</t>
        </is>
      </c>
      <c r="G455" t="inlineStr">
        <is>
          <t>NYBRO</t>
        </is>
      </c>
      <c r="I455" t="n">
        <v>1.2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24127-2023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45079</v>
      </c>
      <c r="E456" s="1" t="n">
        <v>46313</v>
      </c>
      <c r="F456" t="inlineStr">
        <is>
          <t>KALMAR LÄN</t>
        </is>
      </c>
      <c r="G456" t="inlineStr">
        <is>
          <t>NYBRO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18587-2025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45763</v>
      </c>
      <c r="E457" s="1" t="n">
        <v>46313</v>
      </c>
      <c r="F457" t="inlineStr">
        <is>
          <t>KALMAR LÄN</t>
        </is>
      </c>
      <c r="G457" t="inlineStr">
        <is>
          <t>NYBRO</t>
        </is>
      </c>
      <c r="I457" t="n">
        <v>30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46282-2023</t>
        </is>
      </c>
      <c r="B458" t="inlineStr">
        <is>
          <t>avverkningsanmälan</t>
        </is>
      </c>
      <c r="C458" t="inlineStr">
        <is>
          <t>Avverkning för annat ändamål</t>
        </is>
      </c>
      <c r="D458" s="1" t="n">
        <v>45197</v>
      </c>
      <c r="E458" s="1" t="n">
        <v>46313</v>
      </c>
      <c r="F458" t="inlineStr">
        <is>
          <t>KALMAR LÄN</t>
        </is>
      </c>
      <c r="G458" t="inlineStr">
        <is>
          <t>NYBRO</t>
        </is>
      </c>
      <c r="I458" t="n">
        <v>0.8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26442-2024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45469</v>
      </c>
      <c r="E459" s="1" t="n">
        <v>46313</v>
      </c>
      <c r="F459" t="inlineStr">
        <is>
          <t>KALMAR LÄN</t>
        </is>
      </c>
      <c r="G459" t="inlineStr">
        <is>
          <t>NYBRO</t>
        </is>
      </c>
      <c r="I459" t="n">
        <v>1.9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24040-2026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46168</v>
      </c>
      <c r="E460" s="1" t="n">
        <v>46313</v>
      </c>
      <c r="F460" t="inlineStr">
        <is>
          <t>KALMAR LÄN</t>
        </is>
      </c>
      <c r="G460" t="inlineStr">
        <is>
          <t>NYBRO</t>
        </is>
      </c>
      <c r="I460" t="n">
        <v>0.7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28728-2024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45478</v>
      </c>
      <c r="E461" s="1" t="n">
        <v>46313</v>
      </c>
      <c r="F461" t="inlineStr">
        <is>
          <t>KALMAR LÄN</t>
        </is>
      </c>
      <c r="G461" t="inlineStr">
        <is>
          <t>NYBRO</t>
        </is>
      </c>
      <c r="I461" t="n">
        <v>3.5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1965-2023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44939</v>
      </c>
      <c r="E462" s="1" t="n">
        <v>46313</v>
      </c>
      <c r="F462" t="inlineStr">
        <is>
          <t>KALMAR LÄN</t>
        </is>
      </c>
      <c r="G462" t="inlineStr">
        <is>
          <t>NYBRO</t>
        </is>
      </c>
      <c r="I462" t="n">
        <v>1.7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60758-2025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45999</v>
      </c>
      <c r="E463" s="1" t="n">
        <v>46313</v>
      </c>
      <c r="F463" t="inlineStr">
        <is>
          <t>KALMAR LÄN</t>
        </is>
      </c>
      <c r="G463" t="inlineStr">
        <is>
          <t>NYBRO</t>
        </is>
      </c>
      <c r="I463" t="n">
        <v>2.4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61074-2025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46000</v>
      </c>
      <c r="E464" s="1" t="n">
        <v>46313</v>
      </c>
      <c r="F464" t="inlineStr">
        <is>
          <t>KALMAR LÄN</t>
        </is>
      </c>
      <c r="G464" t="inlineStr">
        <is>
          <t>NYBRO</t>
        </is>
      </c>
      <c r="I464" t="n">
        <v>0.7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2529-2024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45313</v>
      </c>
      <c r="E465" s="1" t="n">
        <v>46313</v>
      </c>
      <c r="F465" t="inlineStr">
        <is>
          <t>KALMAR LÄN</t>
        </is>
      </c>
      <c r="G465" t="inlineStr">
        <is>
          <t>NYBRO</t>
        </is>
      </c>
      <c r="I465" t="n">
        <v>0.4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24188-2023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45079</v>
      </c>
      <c r="E466" s="1" t="n">
        <v>46313</v>
      </c>
      <c r="F466" t="inlineStr">
        <is>
          <t>KALMAR LÄN</t>
        </is>
      </c>
      <c r="G466" t="inlineStr">
        <is>
          <t>NYBRO</t>
        </is>
      </c>
      <c r="I466" t="n">
        <v>2.8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25798-2023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45090</v>
      </c>
      <c r="E467" s="1" t="n">
        <v>46313</v>
      </c>
      <c r="F467" t="inlineStr">
        <is>
          <t>KALMAR LÄN</t>
        </is>
      </c>
      <c r="G467" t="inlineStr">
        <is>
          <t>NYBRO</t>
        </is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17226-2025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45756</v>
      </c>
      <c r="E468" s="1" t="n">
        <v>46313</v>
      </c>
      <c r="F468" t="inlineStr">
        <is>
          <t>KALMAR LÄN</t>
        </is>
      </c>
      <c r="G468" t="inlineStr">
        <is>
          <t>NYBRO</t>
        </is>
      </c>
      <c r="I468" t="n">
        <v>4.5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6811-2024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45342</v>
      </c>
      <c r="E469" s="1" t="n">
        <v>46313</v>
      </c>
      <c r="F469" t="inlineStr">
        <is>
          <t>KALMAR LÄN</t>
        </is>
      </c>
      <c r="G469" t="inlineStr">
        <is>
          <t>NYBRO</t>
        </is>
      </c>
      <c r="I469" t="n">
        <v>0.7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61136-2022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44908</v>
      </c>
      <c r="E470" s="1" t="n">
        <v>46313</v>
      </c>
      <c r="F470" t="inlineStr">
        <is>
          <t>KALMAR LÄN</t>
        </is>
      </c>
      <c r="G470" t="inlineStr">
        <is>
          <t>NYBRO</t>
        </is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42030-2024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45561</v>
      </c>
      <c r="E471" s="1" t="n">
        <v>46313</v>
      </c>
      <c r="F471" t="inlineStr">
        <is>
          <t>KALMAR LÄN</t>
        </is>
      </c>
      <c r="G471" t="inlineStr">
        <is>
          <t>NYBRO</t>
        </is>
      </c>
      <c r="H471" t="inlineStr">
        <is>
          <t>Kyrkan</t>
        </is>
      </c>
      <c r="I471" t="n">
        <v>6.8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1535-2025</t>
        </is>
      </c>
      <c r="B472" t="inlineStr">
        <is>
          <t>avverkningsanmälan</t>
        </is>
      </c>
      <c r="C472" t="inlineStr">
        <is>
          <t>Avverkning för att bevara och utveckla /försöksver</t>
        </is>
      </c>
      <c r="D472" s="1" t="n">
        <v>45670</v>
      </c>
      <c r="E472" s="1" t="n">
        <v>46313</v>
      </c>
      <c r="F472" t="inlineStr">
        <is>
          <t>KALMAR LÄN</t>
        </is>
      </c>
      <c r="G472" t="inlineStr">
        <is>
          <t>NYBRO</t>
        </is>
      </c>
      <c r="H472" t="inlineStr">
        <is>
          <t>Sveaskog</t>
        </is>
      </c>
      <c r="I472" t="n">
        <v>6.6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25838-2023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45090</v>
      </c>
      <c r="E473" s="1" t="n">
        <v>46313</v>
      </c>
      <c r="F473" t="inlineStr">
        <is>
          <t>KALMAR LÄN</t>
        </is>
      </c>
      <c r="G473" t="inlineStr">
        <is>
          <t>NYBRO</t>
        </is>
      </c>
      <c r="I473" t="n">
        <v>0.5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32542-2023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45110</v>
      </c>
      <c r="E474" s="1" t="n">
        <v>46313</v>
      </c>
      <c r="F474" t="inlineStr">
        <is>
          <t>KALMAR LÄN</t>
        </is>
      </c>
      <c r="G474" t="inlineStr">
        <is>
          <t>NYBRO</t>
        </is>
      </c>
      <c r="H474" t="inlineStr">
        <is>
          <t>Kyrkan</t>
        </is>
      </c>
      <c r="I474" t="n">
        <v>1.6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23818-2023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45078</v>
      </c>
      <c r="E475" s="1" t="n">
        <v>46313</v>
      </c>
      <c r="F475" t="inlineStr">
        <is>
          <t>KALMAR LÄN</t>
        </is>
      </c>
      <c r="G475" t="inlineStr">
        <is>
          <t>NYBRO</t>
        </is>
      </c>
      <c r="I475" t="n">
        <v>1.6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14586-2023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45013</v>
      </c>
      <c r="E476" s="1" t="n">
        <v>46313</v>
      </c>
      <c r="F476" t="inlineStr">
        <is>
          <t>KALMAR LÄN</t>
        </is>
      </c>
      <c r="G476" t="inlineStr">
        <is>
          <t>NYBRO</t>
        </is>
      </c>
      <c r="I476" t="n">
        <v>1.6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29289-2023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45098</v>
      </c>
      <c r="E477" s="1" t="n">
        <v>46313</v>
      </c>
      <c r="F477" t="inlineStr">
        <is>
          <t>KALMAR LÄN</t>
        </is>
      </c>
      <c r="G477" t="inlineStr">
        <is>
          <t>NYBRO</t>
        </is>
      </c>
      <c r="I477" t="n">
        <v>0.8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57980-2022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44900</v>
      </c>
      <c r="E478" s="1" t="n">
        <v>46313</v>
      </c>
      <c r="F478" t="inlineStr">
        <is>
          <t>KALMAR LÄN</t>
        </is>
      </c>
      <c r="G478" t="inlineStr">
        <is>
          <t>NYBRO</t>
        </is>
      </c>
      <c r="I478" t="n">
        <v>2.6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22812-2023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45072</v>
      </c>
      <c r="E479" s="1" t="n">
        <v>46313</v>
      </c>
      <c r="F479" t="inlineStr">
        <is>
          <t>KALMAR LÄN</t>
        </is>
      </c>
      <c r="G479" t="inlineStr">
        <is>
          <t>NYBRO</t>
        </is>
      </c>
      <c r="I479" t="n">
        <v>2.3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16354-2024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45407</v>
      </c>
      <c r="E480" s="1" t="n">
        <v>46313</v>
      </c>
      <c r="F480" t="inlineStr">
        <is>
          <t>KALMAR LÄN</t>
        </is>
      </c>
      <c r="G480" t="inlineStr">
        <is>
          <t>NYBRO</t>
        </is>
      </c>
      <c r="I480" t="n">
        <v>1.8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61237-2025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46000</v>
      </c>
      <c r="E481" s="1" t="n">
        <v>46313</v>
      </c>
      <c r="F481" t="inlineStr">
        <is>
          <t>KALMAR LÄN</t>
        </is>
      </c>
      <c r="G481" t="inlineStr">
        <is>
          <t>NYBRO</t>
        </is>
      </c>
      <c r="I481" t="n">
        <v>1.2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7308-2023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44970</v>
      </c>
      <c r="E482" s="1" t="n">
        <v>46313</v>
      </c>
      <c r="F482" t="inlineStr">
        <is>
          <t>KALMAR LÄN</t>
        </is>
      </c>
      <c r="G482" t="inlineStr">
        <is>
          <t>NYBRO</t>
        </is>
      </c>
      <c r="I482" t="n">
        <v>0.8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18586-2025</t>
        </is>
      </c>
      <c r="B483" t="inlineStr">
        <is>
          <t>avverkningsanmälan</t>
        </is>
      </c>
      <c r="C483" t="inlineStr">
        <is>
          <t>Avverkning för annat ändamål</t>
        </is>
      </c>
      <c r="D483" s="1" t="n">
        <v>45763</v>
      </c>
      <c r="E483" s="1" t="n">
        <v>46313</v>
      </c>
      <c r="F483" t="inlineStr">
        <is>
          <t>KALMAR LÄN</t>
        </is>
      </c>
      <c r="G483" t="inlineStr">
        <is>
          <t>NYBRO</t>
        </is>
      </c>
      <c r="I483" t="n">
        <v>0.5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28272-2024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45477</v>
      </c>
      <c r="E484" s="1" t="n">
        <v>46313</v>
      </c>
      <c r="F484" t="inlineStr">
        <is>
          <t>KALMAR LÄN</t>
        </is>
      </c>
      <c r="G484" t="inlineStr">
        <is>
          <t>NYBRO</t>
        </is>
      </c>
      <c r="I484" t="n">
        <v>4.5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678-2026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46029</v>
      </c>
      <c r="E485" s="1" t="n">
        <v>46313</v>
      </c>
      <c r="F485" t="inlineStr">
        <is>
          <t>KALMAR LÄN</t>
        </is>
      </c>
      <c r="G485" t="inlineStr">
        <is>
          <t>NYBRO</t>
        </is>
      </c>
      <c r="I485" t="n">
        <v>2.6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39351-2024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45551</v>
      </c>
      <c r="E486" s="1" t="n">
        <v>46313</v>
      </c>
      <c r="F486" t="inlineStr">
        <is>
          <t>KALMAR LÄN</t>
        </is>
      </c>
      <c r="G486" t="inlineStr">
        <is>
          <t>NYBRO</t>
        </is>
      </c>
      <c r="I486" t="n">
        <v>1.6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51081-2022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44868</v>
      </c>
      <c r="E487" s="1" t="n">
        <v>46313</v>
      </c>
      <c r="F487" t="inlineStr">
        <is>
          <t>KALMAR LÄN</t>
        </is>
      </c>
      <c r="G487" t="inlineStr">
        <is>
          <t>NYBRO</t>
        </is>
      </c>
      <c r="I487" t="n">
        <v>0.9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11966-2025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45728</v>
      </c>
      <c r="E488" s="1" t="n">
        <v>46313</v>
      </c>
      <c r="F488" t="inlineStr">
        <is>
          <t>KALMAR LÄN</t>
        </is>
      </c>
      <c r="G488" t="inlineStr">
        <is>
          <t>NYBRO</t>
        </is>
      </c>
      <c r="H488" t="inlineStr">
        <is>
          <t>Sveaskog</t>
        </is>
      </c>
      <c r="I488" t="n">
        <v>1.3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50561-2022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44866</v>
      </c>
      <c r="E489" s="1" t="n">
        <v>46313</v>
      </c>
      <c r="F489" t="inlineStr">
        <is>
          <t>KALMAR LÄN</t>
        </is>
      </c>
      <c r="G489" t="inlineStr">
        <is>
          <t>NYBRO</t>
        </is>
      </c>
      <c r="I489" t="n">
        <v>1.9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46024-2023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45196</v>
      </c>
      <c r="E490" s="1" t="n">
        <v>46313</v>
      </c>
      <c r="F490" t="inlineStr">
        <is>
          <t>KALMAR LÄN</t>
        </is>
      </c>
      <c r="G490" t="inlineStr">
        <is>
          <t>NYBRO</t>
        </is>
      </c>
      <c r="I490" t="n">
        <v>1.6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25143-2026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46175</v>
      </c>
      <c r="E491" s="1" t="n">
        <v>46313</v>
      </c>
      <c r="F491" t="inlineStr">
        <is>
          <t>KALMAR LÄN</t>
        </is>
      </c>
      <c r="G491" t="inlineStr">
        <is>
          <t>NYBRO</t>
        </is>
      </c>
      <c r="I491" t="n">
        <v>1.9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24614-2026</t>
        </is>
      </c>
      <c r="B492" t="inlineStr">
        <is>
          <t>avverkningsanmälan</t>
        </is>
      </c>
      <c r="C492" t="inlineStr">
        <is>
          <t>Avverkning för annat ändamål</t>
        </is>
      </c>
      <c r="D492" s="1" t="n">
        <v>46169</v>
      </c>
      <c r="E492" s="1" t="n">
        <v>46313</v>
      </c>
      <c r="F492" t="inlineStr">
        <is>
          <t>KALMAR LÄN</t>
        </is>
      </c>
      <c r="G492" t="inlineStr">
        <is>
          <t>NYBRO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25717-2026</t>
        </is>
      </c>
      <c r="B493" t="inlineStr">
        <is>
          <t>avverkningsanmälan</t>
        </is>
      </c>
      <c r="C493" t="inlineStr">
        <is>
          <t>Avverkning för att bevara och utveckla /försöksver</t>
        </is>
      </c>
      <c r="D493" s="1" t="n">
        <v>46178</v>
      </c>
      <c r="E493" s="1" t="n">
        <v>46313</v>
      </c>
      <c r="F493" t="inlineStr">
        <is>
          <t>KALMAR LÄN</t>
        </is>
      </c>
      <c r="G493" t="inlineStr">
        <is>
          <t>NYBRO</t>
        </is>
      </c>
      <c r="I493" t="n">
        <v>0.5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25510-2026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46177</v>
      </c>
      <c r="E494" s="1" t="n">
        <v>46313</v>
      </c>
      <c r="F494" t="inlineStr">
        <is>
          <t>KALMAR LÄN</t>
        </is>
      </c>
      <c r="G494" t="inlineStr">
        <is>
          <t>NYBRO</t>
        </is>
      </c>
      <c r="H494" t="inlineStr">
        <is>
          <t>Sveaskog</t>
        </is>
      </c>
      <c r="I494" t="n">
        <v>4.1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44779-2023</t>
        </is>
      </c>
      <c r="B495" t="inlineStr">
        <is>
          <t>avverkningsanmälan</t>
        </is>
      </c>
      <c r="C495" t="inlineStr">
        <is>
          <t>Avverkning för annat ändamål</t>
        </is>
      </c>
      <c r="D495" s="1" t="n">
        <v>45190</v>
      </c>
      <c r="E495" s="1" t="n">
        <v>46313</v>
      </c>
      <c r="F495" t="inlineStr">
        <is>
          <t>KALMAR LÄN</t>
        </is>
      </c>
      <c r="G495" t="inlineStr">
        <is>
          <t>NYBRO</t>
        </is>
      </c>
      <c r="I495" t="n">
        <v>0.3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16530-2024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45408</v>
      </c>
      <c r="E496" s="1" t="n">
        <v>46313</v>
      </c>
      <c r="F496" t="inlineStr">
        <is>
          <t>KALMAR LÄN</t>
        </is>
      </c>
      <c r="G496" t="inlineStr">
        <is>
          <t>NYBRO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25714-2026</t>
        </is>
      </c>
      <c r="B497" t="inlineStr">
        <is>
          <t>avverkningsanmälan</t>
        </is>
      </c>
      <c r="C497" t="inlineStr">
        <is>
          <t>Avverkning för att bevara och utveckla /försöksver</t>
        </is>
      </c>
      <c r="D497" s="1" t="n">
        <v>46178</v>
      </c>
      <c r="E497" s="1" t="n">
        <v>46313</v>
      </c>
      <c r="F497" t="inlineStr">
        <is>
          <t>KALMAR LÄN</t>
        </is>
      </c>
      <c r="G497" t="inlineStr">
        <is>
          <t>NYBRO</t>
        </is>
      </c>
      <c r="I497" t="n">
        <v>1.4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10758-2024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45369</v>
      </c>
      <c r="E498" s="1" t="n">
        <v>46313</v>
      </c>
      <c r="F498" t="inlineStr">
        <is>
          <t>KALMAR LÄN</t>
        </is>
      </c>
      <c r="G498" t="inlineStr">
        <is>
          <t>NYBRO</t>
        </is>
      </c>
      <c r="I498" t="n">
        <v>1.3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4750-2023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44957</v>
      </c>
      <c r="E499" s="1" t="n">
        <v>46313</v>
      </c>
      <c r="F499" t="inlineStr">
        <is>
          <t>KALMAR LÄN</t>
        </is>
      </c>
      <c r="G499" t="inlineStr">
        <is>
          <t>NYBRO</t>
        </is>
      </c>
      <c r="I499" t="n">
        <v>0.6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4751-2023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44957</v>
      </c>
      <c r="E500" s="1" t="n">
        <v>46313</v>
      </c>
      <c r="F500" t="inlineStr">
        <is>
          <t>KALMAR LÄN</t>
        </is>
      </c>
      <c r="G500" t="inlineStr">
        <is>
          <t>NYBRO</t>
        </is>
      </c>
      <c r="I500" t="n">
        <v>0.5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5928-2025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45695</v>
      </c>
      <c r="E501" s="1" t="n">
        <v>46313</v>
      </c>
      <c r="F501" t="inlineStr">
        <is>
          <t>KALMAR LÄN</t>
        </is>
      </c>
      <c r="G501" t="inlineStr">
        <is>
          <t>NYBRO</t>
        </is>
      </c>
      <c r="I501" t="n">
        <v>1.1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14600-2023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45013</v>
      </c>
      <c r="E502" s="1" t="n">
        <v>46313</v>
      </c>
      <c r="F502" t="inlineStr">
        <is>
          <t>KALMAR LÄN</t>
        </is>
      </c>
      <c r="G502" t="inlineStr">
        <is>
          <t>NYBRO</t>
        </is>
      </c>
      <c r="I502" t="n">
        <v>1.9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39624-2024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45552</v>
      </c>
      <c r="E503" s="1" t="n">
        <v>46313</v>
      </c>
      <c r="F503" t="inlineStr">
        <is>
          <t>KALMAR LÄN</t>
        </is>
      </c>
      <c r="G503" t="inlineStr">
        <is>
          <t>NYBRO</t>
        </is>
      </c>
      <c r="I503" t="n">
        <v>1.5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5728-2026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46051</v>
      </c>
      <c r="E504" s="1" t="n">
        <v>46313</v>
      </c>
      <c r="F504" t="inlineStr">
        <is>
          <t>KALMAR LÄN</t>
        </is>
      </c>
      <c r="G504" t="inlineStr">
        <is>
          <t>NYBRO</t>
        </is>
      </c>
      <c r="H504" t="inlineStr">
        <is>
          <t>Sveaskog</t>
        </is>
      </c>
      <c r="I504" t="n">
        <v>1.1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36108-2023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45149</v>
      </c>
      <c r="E505" s="1" t="n">
        <v>46313</v>
      </c>
      <c r="F505" t="inlineStr">
        <is>
          <t>KALMAR LÄN</t>
        </is>
      </c>
      <c r="G505" t="inlineStr">
        <is>
          <t>NYBRO</t>
        </is>
      </c>
      <c r="I505" t="n">
        <v>2.3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21388-2024</t>
        </is>
      </c>
      <c r="B506" t="inlineStr">
        <is>
          <t>avverkningsanmälan</t>
        </is>
      </c>
      <c r="C506" t="inlineStr">
        <is>
          <t>Avverkning för annat ändamål</t>
        </is>
      </c>
      <c r="D506" s="1" t="n">
        <v>45440</v>
      </c>
      <c r="E506" s="1" t="n">
        <v>46313</v>
      </c>
      <c r="F506" t="inlineStr">
        <is>
          <t>KALMAR LÄN</t>
        </is>
      </c>
      <c r="G506" t="inlineStr">
        <is>
          <t>NYBRO</t>
        </is>
      </c>
      <c r="I506" t="n">
        <v>1.7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24452-2023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45082</v>
      </c>
      <c r="E507" s="1" t="n">
        <v>46313</v>
      </c>
      <c r="F507" t="inlineStr">
        <is>
          <t>KALMAR LÄN</t>
        </is>
      </c>
      <c r="G507" t="inlineStr">
        <is>
          <t>NYBRO</t>
        </is>
      </c>
      <c r="H507" t="inlineStr">
        <is>
          <t>Kommuner</t>
        </is>
      </c>
      <c r="I507" t="n">
        <v>1.3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7848-2023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44973</v>
      </c>
      <c r="E508" s="1" t="n">
        <v>46313</v>
      </c>
      <c r="F508" t="inlineStr">
        <is>
          <t>KALMAR LÄN</t>
        </is>
      </c>
      <c r="G508" t="inlineStr">
        <is>
          <t>NYBRO</t>
        </is>
      </c>
      <c r="I508" t="n">
        <v>3.3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26422-2023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45092</v>
      </c>
      <c r="E509" s="1" t="n">
        <v>46313</v>
      </c>
      <c r="F509" t="inlineStr">
        <is>
          <t>KALMAR LÄN</t>
        </is>
      </c>
      <c r="G509" t="inlineStr">
        <is>
          <t>NYBRO</t>
        </is>
      </c>
      <c r="H509" t="inlineStr">
        <is>
          <t>Kommuner</t>
        </is>
      </c>
      <c r="I509" t="n">
        <v>2.7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26208-2026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46182</v>
      </c>
      <c r="E510" s="1" t="n">
        <v>46313</v>
      </c>
      <c r="F510" t="inlineStr">
        <is>
          <t>KALMAR LÄN</t>
        </is>
      </c>
      <c r="G510" t="inlineStr">
        <is>
          <t>NYBRO</t>
        </is>
      </c>
      <c r="H510" t="inlineStr">
        <is>
          <t>Kommuner</t>
        </is>
      </c>
      <c r="I510" t="n">
        <v>2.4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27115-2026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46184</v>
      </c>
      <c r="E511" s="1" t="n">
        <v>46313</v>
      </c>
      <c r="F511" t="inlineStr">
        <is>
          <t>KALMAR LÄN</t>
        </is>
      </c>
      <c r="G511" t="inlineStr">
        <is>
          <t>NYBRO</t>
        </is>
      </c>
      <c r="I511" t="n">
        <v>4.8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12407-2023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44999</v>
      </c>
      <c r="E512" s="1" t="n">
        <v>46313</v>
      </c>
      <c r="F512" t="inlineStr">
        <is>
          <t>KALMAR LÄN</t>
        </is>
      </c>
      <c r="G512" t="inlineStr">
        <is>
          <t>NYBRO</t>
        </is>
      </c>
      <c r="I512" t="n">
        <v>16.5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44801-2022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44841</v>
      </c>
      <c r="E513" s="1" t="n">
        <v>46313</v>
      </c>
      <c r="F513" t="inlineStr">
        <is>
          <t>KALMAR LÄN</t>
        </is>
      </c>
      <c r="G513" t="inlineStr">
        <is>
          <t>NYBRO</t>
        </is>
      </c>
      <c r="I513" t="n">
        <v>7.3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32681-2023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45121</v>
      </c>
      <c r="E514" s="1" t="n">
        <v>46313</v>
      </c>
      <c r="F514" t="inlineStr">
        <is>
          <t>KALMAR LÄN</t>
        </is>
      </c>
      <c r="G514" t="inlineStr">
        <is>
          <t>NYBRO</t>
        </is>
      </c>
      <c r="I514" t="n">
        <v>2.3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44920-2024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45575</v>
      </c>
      <c r="E515" s="1" t="n">
        <v>46313</v>
      </c>
      <c r="F515" t="inlineStr">
        <is>
          <t>KALMAR LÄN</t>
        </is>
      </c>
      <c r="G515" t="inlineStr">
        <is>
          <t>NYBRO</t>
        </is>
      </c>
      <c r="I515" t="n">
        <v>8.199999999999999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27138-2026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46184</v>
      </c>
      <c r="E516" s="1" t="n">
        <v>46313</v>
      </c>
      <c r="F516" t="inlineStr">
        <is>
          <t>KALMAR LÄN</t>
        </is>
      </c>
      <c r="G516" t="inlineStr">
        <is>
          <t>NYBRO</t>
        </is>
      </c>
      <c r="I516" t="n">
        <v>15.9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8382-2026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46064</v>
      </c>
      <c r="E517" s="1" t="n">
        <v>46313</v>
      </c>
      <c r="F517" t="inlineStr">
        <is>
          <t>KALMAR LÄN</t>
        </is>
      </c>
      <c r="G517" t="inlineStr">
        <is>
          <t>NYBRO</t>
        </is>
      </c>
      <c r="I517" t="n">
        <v>1.5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8384-2026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46064</v>
      </c>
      <c r="E518" s="1" t="n">
        <v>46313</v>
      </c>
      <c r="F518" t="inlineStr">
        <is>
          <t>KALMAR LÄN</t>
        </is>
      </c>
      <c r="G518" t="inlineStr">
        <is>
          <t>NYBRO</t>
        </is>
      </c>
      <c r="I518" t="n">
        <v>0.8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22873-2023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45072</v>
      </c>
      <c r="E519" s="1" t="n">
        <v>46313</v>
      </c>
      <c r="F519" t="inlineStr">
        <is>
          <t>KALMAR LÄN</t>
        </is>
      </c>
      <c r="G519" t="inlineStr">
        <is>
          <t>NYBRO</t>
        </is>
      </c>
      <c r="I519" t="n">
        <v>1.2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15830-2023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45022</v>
      </c>
      <c r="E520" s="1" t="n">
        <v>46313</v>
      </c>
      <c r="F520" t="inlineStr">
        <is>
          <t>KALMAR LÄN</t>
        </is>
      </c>
      <c r="G520" t="inlineStr">
        <is>
          <t>NYBRO</t>
        </is>
      </c>
      <c r="I520" t="n">
        <v>0.5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26893-2024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45470</v>
      </c>
      <c r="E521" s="1" t="n">
        <v>46313</v>
      </c>
      <c r="F521" t="inlineStr">
        <is>
          <t>KALMAR LÄN</t>
        </is>
      </c>
      <c r="G521" t="inlineStr">
        <is>
          <t>NYBRO</t>
        </is>
      </c>
      <c r="I521" t="n">
        <v>0.7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9010-2026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46069</v>
      </c>
      <c r="E522" s="1" t="n">
        <v>46313</v>
      </c>
      <c r="F522" t="inlineStr">
        <is>
          <t>KALMAR LÄN</t>
        </is>
      </c>
      <c r="G522" t="inlineStr">
        <is>
          <t>NYBRO</t>
        </is>
      </c>
      <c r="I522" t="n">
        <v>0.5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5257-2023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44959</v>
      </c>
      <c r="E523" s="1" t="n">
        <v>46313</v>
      </c>
      <c r="F523" t="inlineStr">
        <is>
          <t>KALMAR LÄN</t>
        </is>
      </c>
      <c r="G523" t="inlineStr">
        <is>
          <t>NYBRO</t>
        </is>
      </c>
      <c r="I523" t="n">
        <v>0.5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9009-2026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46069</v>
      </c>
      <c r="E524" s="1" t="n">
        <v>46313</v>
      </c>
      <c r="F524" t="inlineStr">
        <is>
          <t>KALMAR LÄN</t>
        </is>
      </c>
      <c r="G524" t="inlineStr">
        <is>
          <t>NYBRO</t>
        </is>
      </c>
      <c r="I524" t="n">
        <v>0.5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8883-2026</t>
        </is>
      </c>
      <c r="B525" t="inlineStr">
        <is>
          <t>avverkningsanmälan</t>
        </is>
      </c>
      <c r="C525" t="inlineStr">
        <is>
          <t>Avverkning för annat ändamål</t>
        </is>
      </c>
      <c r="D525" s="1" t="n">
        <v>46067</v>
      </c>
      <c r="E525" s="1" t="n">
        <v>46313</v>
      </c>
      <c r="F525" t="inlineStr">
        <is>
          <t>KALMAR LÄN</t>
        </is>
      </c>
      <c r="G525" t="inlineStr">
        <is>
          <t>NYBRO</t>
        </is>
      </c>
      <c r="I525" t="n">
        <v>0.9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9690-2026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46072</v>
      </c>
      <c r="E526" s="1" t="n">
        <v>46313</v>
      </c>
      <c r="F526" t="inlineStr">
        <is>
          <t>KALMAR LÄN</t>
        </is>
      </c>
      <c r="G526" t="inlineStr">
        <is>
          <t>NYBRO</t>
        </is>
      </c>
      <c r="I526" t="n">
        <v>1.6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9679-2026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46072</v>
      </c>
      <c r="E527" s="1" t="n">
        <v>46313</v>
      </c>
      <c r="F527" t="inlineStr">
        <is>
          <t>KALMAR LÄN</t>
        </is>
      </c>
      <c r="G527" t="inlineStr">
        <is>
          <t>NYBRO</t>
        </is>
      </c>
      <c r="I527" t="n">
        <v>1.2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44395-2022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44839</v>
      </c>
      <c r="E528" s="1" t="n">
        <v>46313</v>
      </c>
      <c r="F528" t="inlineStr">
        <is>
          <t>KALMAR LÄN</t>
        </is>
      </c>
      <c r="G528" t="inlineStr">
        <is>
          <t>NYBRO</t>
        </is>
      </c>
      <c r="I528" t="n">
        <v>0.6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10739-2024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45369</v>
      </c>
      <c r="E529" s="1" t="n">
        <v>46313</v>
      </c>
      <c r="F529" t="inlineStr">
        <is>
          <t>KALMAR LÄN</t>
        </is>
      </c>
      <c r="G529" t="inlineStr">
        <is>
          <t>NYBRO</t>
        </is>
      </c>
      <c r="I529" t="n">
        <v>1.3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10742-2026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46078</v>
      </c>
      <c r="E530" s="1" t="n">
        <v>46313</v>
      </c>
      <c r="F530" t="inlineStr">
        <is>
          <t>KALMAR LÄN</t>
        </is>
      </c>
      <c r="G530" t="inlineStr">
        <is>
          <t>NYBRO</t>
        </is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26729-2023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45093</v>
      </c>
      <c r="E531" s="1" t="n">
        <v>46313</v>
      </c>
      <c r="F531" t="inlineStr">
        <is>
          <t>KALMAR LÄN</t>
        </is>
      </c>
      <c r="G531" t="inlineStr">
        <is>
          <t>NYBRO</t>
        </is>
      </c>
      <c r="I531" t="n">
        <v>2.9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25547-2024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45463</v>
      </c>
      <c r="E532" s="1" t="n">
        <v>46313</v>
      </c>
      <c r="F532" t="inlineStr">
        <is>
          <t>KALMAR LÄN</t>
        </is>
      </c>
      <c r="G532" t="inlineStr">
        <is>
          <t>NYBRO</t>
        </is>
      </c>
      <c r="I532" t="n">
        <v>4.7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26863-2023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45093</v>
      </c>
      <c r="E533" s="1" t="n">
        <v>46313</v>
      </c>
      <c r="F533" t="inlineStr">
        <is>
          <t>KALMAR LÄN</t>
        </is>
      </c>
      <c r="G533" t="inlineStr">
        <is>
          <t>NYBRO</t>
        </is>
      </c>
      <c r="I533" t="n">
        <v>1.4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32660-2023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45121</v>
      </c>
      <c r="E534" s="1" t="n">
        <v>46313</v>
      </c>
      <c r="F534" t="inlineStr">
        <is>
          <t>KALMAR LÄN</t>
        </is>
      </c>
      <c r="G534" t="inlineStr">
        <is>
          <t>NYBRO</t>
        </is>
      </c>
      <c r="I534" t="n">
        <v>1.1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41992-2024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45561</v>
      </c>
      <c r="E535" s="1" t="n">
        <v>46313</v>
      </c>
      <c r="F535" t="inlineStr">
        <is>
          <t>KALMAR LÄN</t>
        </is>
      </c>
      <c r="G535" t="inlineStr">
        <is>
          <t>NYBRO</t>
        </is>
      </c>
      <c r="H535" t="inlineStr">
        <is>
          <t>Kyrkan</t>
        </is>
      </c>
      <c r="I535" t="n">
        <v>3.8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41993-2024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45561</v>
      </c>
      <c r="E536" s="1" t="n">
        <v>46313</v>
      </c>
      <c r="F536" t="inlineStr">
        <is>
          <t>KALMAR LÄN</t>
        </is>
      </c>
      <c r="G536" t="inlineStr">
        <is>
          <t>NYBRO</t>
        </is>
      </c>
      <c r="H536" t="inlineStr">
        <is>
          <t>Kyrkan</t>
        </is>
      </c>
      <c r="I536" t="n">
        <v>9.800000000000001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28145-2022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44746</v>
      </c>
      <c r="E537" s="1" t="n">
        <v>46313</v>
      </c>
      <c r="F537" t="inlineStr">
        <is>
          <t>KALMAR LÄN</t>
        </is>
      </c>
      <c r="G537" t="inlineStr">
        <is>
          <t>NYBRO</t>
        </is>
      </c>
      <c r="I537" t="n">
        <v>8.4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20952-2024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45439</v>
      </c>
      <c r="E538" s="1" t="n">
        <v>46313</v>
      </c>
      <c r="F538" t="inlineStr">
        <is>
          <t>KALMAR LÄN</t>
        </is>
      </c>
      <c r="G538" t="inlineStr">
        <is>
          <t>NYBRO</t>
        </is>
      </c>
      <c r="I538" t="n">
        <v>3.6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11450-2026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46083</v>
      </c>
      <c r="E539" s="1" t="n">
        <v>46313</v>
      </c>
      <c r="F539" t="inlineStr">
        <is>
          <t>KALMAR LÄN</t>
        </is>
      </c>
      <c r="G539" t="inlineStr">
        <is>
          <t>NYBRO</t>
        </is>
      </c>
      <c r="I539" t="n">
        <v>0.6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11449-2026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46083</v>
      </c>
      <c r="E540" s="1" t="n">
        <v>46313</v>
      </c>
      <c r="F540" t="inlineStr">
        <is>
          <t>KALMAR LÄN</t>
        </is>
      </c>
      <c r="G540" t="inlineStr">
        <is>
          <t>NYBRO</t>
        </is>
      </c>
      <c r="I540" t="n">
        <v>0.8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23926-2023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45075</v>
      </c>
      <c r="E541" s="1" t="n">
        <v>46313</v>
      </c>
      <c r="F541" t="inlineStr">
        <is>
          <t>KALMAR LÄN</t>
        </is>
      </c>
      <c r="G541" t="inlineStr">
        <is>
          <t>NYBRO</t>
        </is>
      </c>
      <c r="I541" t="n">
        <v>0.5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12044-2026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46086</v>
      </c>
      <c r="E542" s="1" t="n">
        <v>46313</v>
      </c>
      <c r="F542" t="inlineStr">
        <is>
          <t>KALMAR LÄN</t>
        </is>
      </c>
      <c r="G542" t="inlineStr">
        <is>
          <t>NYBRO</t>
        </is>
      </c>
      <c r="I542" t="n">
        <v>3.6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27683-2026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46190</v>
      </c>
      <c r="E543" s="1" t="n">
        <v>46313</v>
      </c>
      <c r="F543" t="inlineStr">
        <is>
          <t>KALMAR LÄN</t>
        </is>
      </c>
      <c r="G543" t="inlineStr">
        <is>
          <t>NYBRO</t>
        </is>
      </c>
      <c r="I543" t="n">
        <v>3.1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22429-2023</t>
        </is>
      </c>
      <c r="B544" t="inlineStr">
        <is>
          <t>avverkningsanmälan</t>
        </is>
      </c>
      <c r="C544" t="inlineStr">
        <is>
          <t>Avverkning för annat ändamål</t>
        </is>
      </c>
      <c r="D544" s="1" t="n">
        <v>45070</v>
      </c>
      <c r="E544" s="1" t="n">
        <v>46313</v>
      </c>
      <c r="F544" t="inlineStr">
        <is>
          <t>KALMAR LÄN</t>
        </is>
      </c>
      <c r="G544" t="inlineStr">
        <is>
          <t>NYBRO</t>
        </is>
      </c>
      <c r="I544" t="n">
        <v>0.7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57818-2023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45244</v>
      </c>
      <c r="E545" s="1" t="n">
        <v>46313</v>
      </c>
      <c r="F545" t="inlineStr">
        <is>
          <t>KALMAR LÄN</t>
        </is>
      </c>
      <c r="G545" t="inlineStr">
        <is>
          <t>NYBRO</t>
        </is>
      </c>
      <c r="I545" t="n">
        <v>0.8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54051-2022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44881</v>
      </c>
      <c r="E546" s="1" t="n">
        <v>46313</v>
      </c>
      <c r="F546" t="inlineStr">
        <is>
          <t>KALMAR LÄN</t>
        </is>
      </c>
      <c r="G546" t="inlineStr">
        <is>
          <t>NYBRO</t>
        </is>
      </c>
      <c r="I546" t="n">
        <v>2.2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12236-2026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46087</v>
      </c>
      <c r="E547" s="1" t="n">
        <v>46313</v>
      </c>
      <c r="F547" t="inlineStr">
        <is>
          <t>KALMAR LÄN</t>
        </is>
      </c>
      <c r="G547" t="inlineStr">
        <is>
          <t>NYBRO</t>
        </is>
      </c>
      <c r="I547" t="n">
        <v>4.3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14223-2025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45740</v>
      </c>
      <c r="E548" s="1" t="n">
        <v>46313</v>
      </c>
      <c r="F548" t="inlineStr">
        <is>
          <t>KALMAR LÄN</t>
        </is>
      </c>
      <c r="G548" t="inlineStr">
        <is>
          <t>NYBRO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52311-2022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44873</v>
      </c>
      <c r="E549" s="1" t="n">
        <v>46313</v>
      </c>
      <c r="F549" t="inlineStr">
        <is>
          <t>KALMAR LÄN</t>
        </is>
      </c>
      <c r="G549" t="inlineStr">
        <is>
          <t>NYBRO</t>
        </is>
      </c>
      <c r="I549" t="n">
        <v>4.1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12884-2026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46092</v>
      </c>
      <c r="E550" s="1" t="n">
        <v>46313</v>
      </c>
      <c r="F550" t="inlineStr">
        <is>
          <t>KALMAR LÄN</t>
        </is>
      </c>
      <c r="G550" t="inlineStr">
        <is>
          <t>NYBRO</t>
        </is>
      </c>
      <c r="I550" t="n">
        <v>2.5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12910-2026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46092</v>
      </c>
      <c r="E551" s="1" t="n">
        <v>46313</v>
      </c>
      <c r="F551" t="inlineStr">
        <is>
          <t>KALMAR LÄN</t>
        </is>
      </c>
      <c r="G551" t="inlineStr">
        <is>
          <t>NYBRO</t>
        </is>
      </c>
      <c r="I551" t="n">
        <v>5.5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24689-2023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45084</v>
      </c>
      <c r="E552" s="1" t="n">
        <v>46313</v>
      </c>
      <c r="F552" t="inlineStr">
        <is>
          <t>KALMAR LÄN</t>
        </is>
      </c>
      <c r="G552" t="inlineStr">
        <is>
          <t>NYBRO</t>
        </is>
      </c>
      <c r="I552" t="n">
        <v>3.6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7956-2023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44973</v>
      </c>
      <c r="E553" s="1" t="n">
        <v>46313</v>
      </c>
      <c r="F553" t="inlineStr">
        <is>
          <t>KALMAR LÄN</t>
        </is>
      </c>
      <c r="G553" t="inlineStr">
        <is>
          <t>NYBRO</t>
        </is>
      </c>
      <c r="I553" t="n">
        <v>3.2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21695-2024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45442</v>
      </c>
      <c r="E554" s="1" t="n">
        <v>46313</v>
      </c>
      <c r="F554" t="inlineStr">
        <is>
          <t>KALMAR LÄN</t>
        </is>
      </c>
      <c r="G554" t="inlineStr">
        <is>
          <t>NYBRO</t>
        </is>
      </c>
      <c r="I554" t="n">
        <v>1.8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5944-2024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45336</v>
      </c>
      <c r="E555" s="1" t="n">
        <v>46313</v>
      </c>
      <c r="F555" t="inlineStr">
        <is>
          <t>KALMAR LÄN</t>
        </is>
      </c>
      <c r="G555" t="inlineStr">
        <is>
          <t>NYBRO</t>
        </is>
      </c>
      <c r="I555" t="n">
        <v>0.7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45412-2022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44844</v>
      </c>
      <c r="E556" s="1" t="n">
        <v>46313</v>
      </c>
      <c r="F556" t="inlineStr">
        <is>
          <t>KALMAR LÄN</t>
        </is>
      </c>
      <c r="G556" t="inlineStr">
        <is>
          <t>NYBRO</t>
        </is>
      </c>
      <c r="I556" t="n">
        <v>8.300000000000001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24111-2023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45079</v>
      </c>
      <c r="E557" s="1" t="n">
        <v>46313</v>
      </c>
      <c r="F557" t="inlineStr">
        <is>
          <t>KALMAR LÄN</t>
        </is>
      </c>
      <c r="G557" t="inlineStr">
        <is>
          <t>NYBRO</t>
        </is>
      </c>
      <c r="I557" t="n">
        <v>1.5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2958-2024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45315</v>
      </c>
      <c r="E558" s="1" t="n">
        <v>46313</v>
      </c>
      <c r="F558" t="inlineStr">
        <is>
          <t>KALMAR LÄN</t>
        </is>
      </c>
      <c r="G558" t="inlineStr">
        <is>
          <t>NYBRO</t>
        </is>
      </c>
      <c r="I558" t="n">
        <v>2.5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6544-2024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45341</v>
      </c>
      <c r="E559" s="1" t="n">
        <v>46313</v>
      </c>
      <c r="F559" t="inlineStr">
        <is>
          <t>KALMAR LÄN</t>
        </is>
      </c>
      <c r="G559" t="inlineStr">
        <is>
          <t>NYBRO</t>
        </is>
      </c>
      <c r="I559" t="n">
        <v>0.8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31870-2024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45509</v>
      </c>
      <c r="E560" s="1" t="n">
        <v>46313</v>
      </c>
      <c r="F560" t="inlineStr">
        <is>
          <t>KALMAR LÄN</t>
        </is>
      </c>
      <c r="G560" t="inlineStr">
        <is>
          <t>NYBRO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31917-2024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45510</v>
      </c>
      <c r="E561" s="1" t="n">
        <v>46313</v>
      </c>
      <c r="F561" t="inlineStr">
        <is>
          <t>KALMAR LÄN</t>
        </is>
      </c>
      <c r="G561" t="inlineStr">
        <is>
          <t>NYBRO</t>
        </is>
      </c>
      <c r="I561" t="n">
        <v>0.5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22488-2022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44713</v>
      </c>
      <c r="E562" s="1" t="n">
        <v>46313</v>
      </c>
      <c r="F562" t="inlineStr">
        <is>
          <t>KALMAR LÄN</t>
        </is>
      </c>
      <c r="G562" t="inlineStr">
        <is>
          <t>NYBRO</t>
        </is>
      </c>
      <c r="I562" t="n">
        <v>1.2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14834-2026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46104</v>
      </c>
      <c r="E563" s="1" t="n">
        <v>46313</v>
      </c>
      <c r="F563" t="inlineStr">
        <is>
          <t>KALMAR LÄN</t>
        </is>
      </c>
      <c r="G563" t="inlineStr">
        <is>
          <t>NYBRO</t>
        </is>
      </c>
      <c r="I563" t="n">
        <v>7.1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10630-2024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45367</v>
      </c>
      <c r="E564" s="1" t="n">
        <v>46313</v>
      </c>
      <c r="F564" t="inlineStr">
        <is>
          <t>KALMAR LÄN</t>
        </is>
      </c>
      <c r="G564" t="inlineStr">
        <is>
          <t>NYBRO</t>
        </is>
      </c>
      <c r="I564" t="n">
        <v>10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58551-2024</t>
        </is>
      </c>
      <c r="B565" t="inlineStr">
        <is>
          <t>avverkningsanmälan</t>
        </is>
      </c>
      <c r="C565" t="inlineStr">
        <is>
          <t>Avverkning för att bevara och utveckla /försöksver</t>
        </is>
      </c>
      <c r="D565" s="1" t="n">
        <v>45635</v>
      </c>
      <c r="E565" s="1" t="n">
        <v>46313</v>
      </c>
      <c r="F565" t="inlineStr">
        <is>
          <t>KALMAR LÄN</t>
        </is>
      </c>
      <c r="G565" t="inlineStr">
        <is>
          <t>NYBRO</t>
        </is>
      </c>
      <c r="I565" t="n">
        <v>2.7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27873-2024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45475</v>
      </c>
      <c r="E566" s="1" t="n">
        <v>46313</v>
      </c>
      <c r="F566" t="inlineStr">
        <is>
          <t>KALMAR LÄN</t>
        </is>
      </c>
      <c r="G566" t="inlineStr">
        <is>
          <t>NYBRO</t>
        </is>
      </c>
      <c r="I566" t="n">
        <v>2.8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27881-2024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45475</v>
      </c>
      <c r="E567" s="1" t="n">
        <v>46313</v>
      </c>
      <c r="F567" t="inlineStr">
        <is>
          <t>KALMAR LÄN</t>
        </is>
      </c>
      <c r="G567" t="inlineStr">
        <is>
          <t>NYBRO</t>
        </is>
      </c>
      <c r="I567" t="n">
        <v>2.3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15436-2026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46106</v>
      </c>
      <c r="E568" s="1" t="n">
        <v>46313</v>
      </c>
      <c r="F568" t="inlineStr">
        <is>
          <t>KALMAR LÄN</t>
        </is>
      </c>
      <c r="G568" t="inlineStr">
        <is>
          <t>NYBRO</t>
        </is>
      </c>
      <c r="H568" t="inlineStr">
        <is>
          <t>Sveaskog</t>
        </is>
      </c>
      <c r="I568" t="n">
        <v>3.5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15432-2026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46106</v>
      </c>
      <c r="E569" s="1" t="n">
        <v>46313</v>
      </c>
      <c r="F569" t="inlineStr">
        <is>
          <t>KALMAR LÄN</t>
        </is>
      </c>
      <c r="G569" t="inlineStr">
        <is>
          <t>NYBRO</t>
        </is>
      </c>
      <c r="H569" t="inlineStr">
        <is>
          <t>Sveaskog</t>
        </is>
      </c>
      <c r="I569" t="n">
        <v>1.8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40902-2022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44825</v>
      </c>
      <c r="E570" s="1" t="n">
        <v>46313</v>
      </c>
      <c r="F570" t="inlineStr">
        <is>
          <t>KALMAR LÄN</t>
        </is>
      </c>
      <c r="G570" t="inlineStr">
        <is>
          <t>NYBRO</t>
        </is>
      </c>
      <c r="I570" t="n">
        <v>1.6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980-2025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45666</v>
      </c>
      <c r="E571" s="1" t="n">
        <v>46313</v>
      </c>
      <c r="F571" t="inlineStr">
        <is>
          <t>KALMAR LÄN</t>
        </is>
      </c>
      <c r="G571" t="inlineStr">
        <is>
          <t>NYBRO</t>
        </is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61060-2021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44497</v>
      </c>
      <c r="E572" s="1" t="n">
        <v>46313</v>
      </c>
      <c r="F572" t="inlineStr">
        <is>
          <t>KALMAR LÄN</t>
        </is>
      </c>
      <c r="G572" t="inlineStr">
        <is>
          <t>NYBRO</t>
        </is>
      </c>
      <c r="I572" t="n">
        <v>6.4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40131-2024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45554</v>
      </c>
      <c r="E573" s="1" t="n">
        <v>46313</v>
      </c>
      <c r="F573" t="inlineStr">
        <is>
          <t>KALMAR LÄN</t>
        </is>
      </c>
      <c r="G573" t="inlineStr">
        <is>
          <t>NYBRO</t>
        </is>
      </c>
      <c r="H573" t="inlineStr">
        <is>
          <t>Kyrkan</t>
        </is>
      </c>
      <c r="I573" t="n">
        <v>6.8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16604-2026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46112</v>
      </c>
      <c r="E574" s="1" t="n">
        <v>46313</v>
      </c>
      <c r="F574" t="inlineStr">
        <is>
          <t>KALMAR LÄN</t>
        </is>
      </c>
      <c r="G574" t="inlineStr">
        <is>
          <t>NYBRO</t>
        </is>
      </c>
      <c r="I574" t="n">
        <v>2.5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28438-2026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46197</v>
      </c>
      <c r="E575" s="1" t="n">
        <v>46313</v>
      </c>
      <c r="F575" t="inlineStr">
        <is>
          <t>KALMAR LÄN</t>
        </is>
      </c>
      <c r="G575" t="inlineStr">
        <is>
          <t>NYBRO</t>
        </is>
      </c>
      <c r="H575" t="inlineStr">
        <is>
          <t>Sveaskog</t>
        </is>
      </c>
      <c r="I575" t="n">
        <v>0.8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28437-2026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46197</v>
      </c>
      <c r="E576" s="1" t="n">
        <v>46313</v>
      </c>
      <c r="F576" t="inlineStr">
        <is>
          <t>KALMAR LÄN</t>
        </is>
      </c>
      <c r="G576" t="inlineStr">
        <is>
          <t>NYBRO</t>
        </is>
      </c>
      <c r="H576" t="inlineStr">
        <is>
          <t>Sveaskog</t>
        </is>
      </c>
      <c r="I576" t="n">
        <v>4.7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28436-2026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46197</v>
      </c>
      <c r="E577" s="1" t="n">
        <v>46313</v>
      </c>
      <c r="F577" t="inlineStr">
        <is>
          <t>KALMAR LÄN</t>
        </is>
      </c>
      <c r="G577" t="inlineStr">
        <is>
          <t>NYBRO</t>
        </is>
      </c>
      <c r="H577" t="inlineStr">
        <is>
          <t>Sveaskog</t>
        </is>
      </c>
      <c r="I577" t="n">
        <v>1.8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16631-2026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46112</v>
      </c>
      <c r="E578" s="1" t="n">
        <v>46313</v>
      </c>
      <c r="F578" t="inlineStr">
        <is>
          <t>KALMAR LÄN</t>
        </is>
      </c>
      <c r="G578" t="inlineStr">
        <is>
          <t>NYBRO</t>
        </is>
      </c>
      <c r="I578" t="n">
        <v>2.4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16634-2026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46112</v>
      </c>
      <c r="E579" s="1" t="n">
        <v>46313</v>
      </c>
      <c r="F579" t="inlineStr">
        <is>
          <t>KALMAR LÄN</t>
        </is>
      </c>
      <c r="G579" t="inlineStr">
        <is>
          <t>NYBRO</t>
        </is>
      </c>
      <c r="I579" t="n">
        <v>0.6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23255-2023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45071</v>
      </c>
      <c r="E580" s="1" t="n">
        <v>46313</v>
      </c>
      <c r="F580" t="inlineStr">
        <is>
          <t>KALMAR LÄN</t>
        </is>
      </c>
      <c r="G580" t="inlineStr">
        <is>
          <t>NYBRO</t>
        </is>
      </c>
      <c r="I580" t="n">
        <v>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16844-2026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46113</v>
      </c>
      <c r="E581" s="1" t="n">
        <v>46313</v>
      </c>
      <c r="F581" t="inlineStr">
        <is>
          <t>KALMAR LÄN</t>
        </is>
      </c>
      <c r="G581" t="inlineStr">
        <is>
          <t>NYBRO</t>
        </is>
      </c>
      <c r="I581" t="n">
        <v>3.4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31612-2023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45117</v>
      </c>
      <c r="E582" s="1" t="n">
        <v>46313</v>
      </c>
      <c r="F582" t="inlineStr">
        <is>
          <t>KALMAR LÄN</t>
        </is>
      </c>
      <c r="G582" t="inlineStr">
        <is>
          <t>NYBRO</t>
        </is>
      </c>
      <c r="I582" t="n">
        <v>2.6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8697-2024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45356</v>
      </c>
      <c r="E583" s="1" t="n">
        <v>46313</v>
      </c>
      <c r="F583" t="inlineStr">
        <is>
          <t>KALMAR LÄN</t>
        </is>
      </c>
      <c r="G583" t="inlineStr">
        <is>
          <t>NYBRO</t>
        </is>
      </c>
      <c r="I583" t="n">
        <v>0.4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41632-2023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45175</v>
      </c>
      <c r="E584" s="1" t="n">
        <v>46313</v>
      </c>
      <c r="F584" t="inlineStr">
        <is>
          <t>KALMAR LÄN</t>
        </is>
      </c>
      <c r="G584" t="inlineStr">
        <is>
          <t>NYBRO</t>
        </is>
      </c>
      <c r="I584" t="n">
        <v>0.4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4172-2023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44953</v>
      </c>
      <c r="E585" s="1" t="n">
        <v>46313</v>
      </c>
      <c r="F585" t="inlineStr">
        <is>
          <t>KALMAR LÄN</t>
        </is>
      </c>
      <c r="G585" t="inlineStr">
        <is>
          <t>NYBRO</t>
        </is>
      </c>
      <c r="I585" t="n">
        <v>1.8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5766-2024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45335</v>
      </c>
      <c r="E586" s="1" t="n">
        <v>46313</v>
      </c>
      <c r="F586" t="inlineStr">
        <is>
          <t>KALMAR LÄN</t>
        </is>
      </c>
      <c r="G586" t="inlineStr">
        <is>
          <t>NYBRO</t>
        </is>
      </c>
      <c r="I586" t="n">
        <v>3.5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5803-2024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45335</v>
      </c>
      <c r="E587" s="1" t="n">
        <v>46313</v>
      </c>
      <c r="F587" t="inlineStr">
        <is>
          <t>KALMAR LÄN</t>
        </is>
      </c>
      <c r="G587" t="inlineStr">
        <is>
          <t>NYBRO</t>
        </is>
      </c>
      <c r="H587" t="inlineStr">
        <is>
          <t>Sveaskog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17957-2026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46122</v>
      </c>
      <c r="E588" s="1" t="n">
        <v>46313</v>
      </c>
      <c r="F588" t="inlineStr">
        <is>
          <t>KALMAR LÄN</t>
        </is>
      </c>
      <c r="G588" t="inlineStr">
        <is>
          <t>NYBRO</t>
        </is>
      </c>
      <c r="I588" t="n">
        <v>2.3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50905-2023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45218</v>
      </c>
      <c r="E589" s="1" t="n">
        <v>46313</v>
      </c>
      <c r="F589" t="inlineStr">
        <is>
          <t>KALMAR LÄN</t>
        </is>
      </c>
      <c r="G589" t="inlineStr">
        <is>
          <t>NYBRO</t>
        </is>
      </c>
      <c r="I589" t="n">
        <v>1.3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26859-2023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45093</v>
      </c>
      <c r="E590" s="1" t="n">
        <v>46313</v>
      </c>
      <c r="F590" t="inlineStr">
        <is>
          <t>KALMAR LÄN</t>
        </is>
      </c>
      <c r="G590" t="inlineStr">
        <is>
          <t>NYBRO</t>
        </is>
      </c>
      <c r="I590" t="n">
        <v>2.3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23824-2023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45078</v>
      </c>
      <c r="E591" s="1" t="n">
        <v>46313</v>
      </c>
      <c r="F591" t="inlineStr">
        <is>
          <t>KALMAR LÄN</t>
        </is>
      </c>
      <c r="G591" t="inlineStr">
        <is>
          <t>NYBRO</t>
        </is>
      </c>
      <c r="I591" t="n">
        <v>4.8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38814-2022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44816</v>
      </c>
      <c r="E592" s="1" t="n">
        <v>46313</v>
      </c>
      <c r="F592" t="inlineStr">
        <is>
          <t>KALMAR LÄN</t>
        </is>
      </c>
      <c r="G592" t="inlineStr">
        <is>
          <t>NYBRO</t>
        </is>
      </c>
      <c r="I592" t="n">
        <v>0.5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175-2023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44928</v>
      </c>
      <c r="E593" s="1" t="n">
        <v>46313</v>
      </c>
      <c r="F593" t="inlineStr">
        <is>
          <t>KALMAR LÄN</t>
        </is>
      </c>
      <c r="G593" t="inlineStr">
        <is>
          <t>NYBRO</t>
        </is>
      </c>
      <c r="I593" t="n">
        <v>1.3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18090-2026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46125</v>
      </c>
      <c r="E594" s="1" t="n">
        <v>46313</v>
      </c>
      <c r="F594" t="inlineStr">
        <is>
          <t>KALMAR LÄN</t>
        </is>
      </c>
      <c r="G594" t="inlineStr">
        <is>
          <t>NYBRO</t>
        </is>
      </c>
      <c r="I594" t="n">
        <v>1.2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18465-2026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46127</v>
      </c>
      <c r="E595" s="1" t="n">
        <v>46313</v>
      </c>
      <c r="F595" t="inlineStr">
        <is>
          <t>KALMAR LÄN</t>
        </is>
      </c>
      <c r="G595" t="inlineStr">
        <is>
          <t>NYBRO</t>
        </is>
      </c>
      <c r="I595" t="n">
        <v>2.6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17409-2024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45414</v>
      </c>
      <c r="E596" s="1" t="n">
        <v>46313</v>
      </c>
      <c r="F596" t="inlineStr">
        <is>
          <t>KALMAR LÄN</t>
        </is>
      </c>
      <c r="G596" t="inlineStr">
        <is>
          <t>NYBRO</t>
        </is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22489-2022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44713</v>
      </c>
      <c r="E597" s="1" t="n">
        <v>46313</v>
      </c>
      <c r="F597" t="inlineStr">
        <is>
          <t>KALMAR LÄN</t>
        </is>
      </c>
      <c r="G597" t="inlineStr">
        <is>
          <t>NYBRO</t>
        </is>
      </c>
      <c r="I597" t="n">
        <v>1.2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18515-2026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46127</v>
      </c>
      <c r="E598" s="1" t="n">
        <v>46313</v>
      </c>
      <c r="F598" t="inlineStr">
        <is>
          <t>KALMAR LÄN</t>
        </is>
      </c>
      <c r="G598" t="inlineStr">
        <is>
          <t>NYBRO</t>
        </is>
      </c>
      <c r="I598" t="n">
        <v>1.5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28927-2026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46199</v>
      </c>
      <c r="E599" s="1" t="n">
        <v>46313</v>
      </c>
      <c r="F599" t="inlineStr">
        <is>
          <t>KALMAR LÄN</t>
        </is>
      </c>
      <c r="G599" t="inlineStr">
        <is>
          <t>NYBRO</t>
        </is>
      </c>
      <c r="I599" t="n">
        <v>2.2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19457-2026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46133</v>
      </c>
      <c r="E600" s="1" t="n">
        <v>46313</v>
      </c>
      <c r="F600" t="inlineStr">
        <is>
          <t>KALMAR LÄN</t>
        </is>
      </c>
      <c r="G600" t="inlineStr">
        <is>
          <t>NYBRO</t>
        </is>
      </c>
      <c r="I600" t="n">
        <v>1.2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13058-2024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45385</v>
      </c>
      <c r="E601" s="1" t="n">
        <v>46313</v>
      </c>
      <c r="F601" t="inlineStr">
        <is>
          <t>KALMAR LÄN</t>
        </is>
      </c>
      <c r="G601" t="inlineStr">
        <is>
          <t>NYBRO</t>
        </is>
      </c>
      <c r="I601" t="n">
        <v>2.7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19474-2026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46133</v>
      </c>
      <c r="E602" s="1" t="n">
        <v>46313</v>
      </c>
      <c r="F602" t="inlineStr">
        <is>
          <t>KALMAR LÄN</t>
        </is>
      </c>
      <c r="G602" t="inlineStr">
        <is>
          <t>NYBRO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14085-2024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45392</v>
      </c>
      <c r="E603" s="1" t="n">
        <v>46313</v>
      </c>
      <c r="F603" t="inlineStr">
        <is>
          <t>KALMAR LÄN</t>
        </is>
      </c>
      <c r="G603" t="inlineStr">
        <is>
          <t>NYBRO</t>
        </is>
      </c>
      <c r="I603" t="n">
        <v>1.9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19570-2026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46134</v>
      </c>
      <c r="E604" s="1" t="n">
        <v>46313</v>
      </c>
      <c r="F604" t="inlineStr">
        <is>
          <t>KALMAR LÄN</t>
        </is>
      </c>
      <c r="G604" t="inlineStr">
        <is>
          <t>NYBRO</t>
        </is>
      </c>
      <c r="I604" t="n">
        <v>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19515-2026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46134</v>
      </c>
      <c r="E605" s="1" t="n">
        <v>46313</v>
      </c>
      <c r="F605" t="inlineStr">
        <is>
          <t>KALMAR LÄN</t>
        </is>
      </c>
      <c r="G605" t="inlineStr">
        <is>
          <t>NYBRO</t>
        </is>
      </c>
      <c r="I605" t="n">
        <v>2.9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19567-2026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46134</v>
      </c>
      <c r="E606" s="1" t="n">
        <v>46313</v>
      </c>
      <c r="F606" t="inlineStr">
        <is>
          <t>KALMAR LÄN</t>
        </is>
      </c>
      <c r="G606" t="inlineStr">
        <is>
          <t>NYBRO</t>
        </is>
      </c>
      <c r="I606" t="n">
        <v>2.4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56143-2022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44889</v>
      </c>
      <c r="E607" s="1" t="n">
        <v>46313</v>
      </c>
      <c r="F607" t="inlineStr">
        <is>
          <t>KALMAR LÄN</t>
        </is>
      </c>
      <c r="G607" t="inlineStr">
        <is>
          <t>NYBRO</t>
        </is>
      </c>
      <c r="I607" t="n">
        <v>1.8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7423-2025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45705</v>
      </c>
      <c r="E608" s="1" t="n">
        <v>46313</v>
      </c>
      <c r="F608" t="inlineStr">
        <is>
          <t>KALMAR LÄN</t>
        </is>
      </c>
      <c r="G608" t="inlineStr">
        <is>
          <t>NYBRO</t>
        </is>
      </c>
      <c r="I608" t="n">
        <v>0.9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30442-2023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45111</v>
      </c>
      <c r="E609" s="1" t="n">
        <v>46313</v>
      </c>
      <c r="F609" t="inlineStr">
        <is>
          <t>KALMAR LÄN</t>
        </is>
      </c>
      <c r="G609" t="inlineStr">
        <is>
          <t>NYBRO</t>
        </is>
      </c>
      <c r="I609" t="n">
        <v>1.1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33472-2023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45131</v>
      </c>
      <c r="E610" s="1" t="n">
        <v>46313</v>
      </c>
      <c r="F610" t="inlineStr">
        <is>
          <t>KALMAR LÄN</t>
        </is>
      </c>
      <c r="G610" t="inlineStr">
        <is>
          <t>NYBRO</t>
        </is>
      </c>
      <c r="I610" t="n">
        <v>1.3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29847-2022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44756</v>
      </c>
      <c r="E611" s="1" t="n">
        <v>46313</v>
      </c>
      <c r="F611" t="inlineStr">
        <is>
          <t>KALMAR LÄN</t>
        </is>
      </c>
      <c r="G611" t="inlineStr">
        <is>
          <t>NYBRO</t>
        </is>
      </c>
      <c r="H611" t="inlineStr">
        <is>
          <t>Kyrkan</t>
        </is>
      </c>
      <c r="I611" t="n">
        <v>5.3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21433-2023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45063</v>
      </c>
      <c r="E612" s="1" t="n">
        <v>46313</v>
      </c>
      <c r="F612" t="inlineStr">
        <is>
          <t>KALMAR LÄN</t>
        </is>
      </c>
      <c r="G612" t="inlineStr">
        <is>
          <t>NYBRO</t>
        </is>
      </c>
      <c r="I612" t="n">
        <v>2.6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52382-2022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44874</v>
      </c>
      <c r="E613" s="1" t="n">
        <v>46313</v>
      </c>
      <c r="F613" t="inlineStr">
        <is>
          <t>KALMAR LÄN</t>
        </is>
      </c>
      <c r="G613" t="inlineStr">
        <is>
          <t>NYBRO</t>
        </is>
      </c>
      <c r="I613" t="n">
        <v>2.6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10745-2026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46078</v>
      </c>
      <c r="E614" s="1" t="n">
        <v>46313</v>
      </c>
      <c r="F614" t="inlineStr">
        <is>
          <t>KALMAR LÄN</t>
        </is>
      </c>
      <c r="G614" t="inlineStr">
        <is>
          <t>NYBRO</t>
        </is>
      </c>
      <c r="I614" t="n">
        <v>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57489-2025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45980</v>
      </c>
      <c r="E615" s="1" t="n">
        <v>46313</v>
      </c>
      <c r="F615" t="inlineStr">
        <is>
          <t>KALMAR LÄN</t>
        </is>
      </c>
      <c r="G615" t="inlineStr">
        <is>
          <t>NYBRO</t>
        </is>
      </c>
      <c r="H615" t="inlineStr">
        <is>
          <t>Sveaskog</t>
        </is>
      </c>
      <c r="I615" t="n">
        <v>1.9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28676-2024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45478</v>
      </c>
      <c r="E616" s="1" t="n">
        <v>46313</v>
      </c>
      <c r="F616" t="inlineStr">
        <is>
          <t>KALMAR LÄN</t>
        </is>
      </c>
      <c r="G616" t="inlineStr">
        <is>
          <t>NYBRO</t>
        </is>
      </c>
      <c r="I616" t="n">
        <v>1.8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20391-2026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46139</v>
      </c>
      <c r="E617" s="1" t="n">
        <v>46313</v>
      </c>
      <c r="F617" t="inlineStr">
        <is>
          <t>KALMAR LÄN</t>
        </is>
      </c>
      <c r="G617" t="inlineStr">
        <is>
          <t>NYBRO</t>
        </is>
      </c>
      <c r="I617" t="n">
        <v>3.8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31948-2023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45119</v>
      </c>
      <c r="E618" s="1" t="n">
        <v>46313</v>
      </c>
      <c r="F618" t="inlineStr">
        <is>
          <t>KALMAR LÄN</t>
        </is>
      </c>
      <c r="G618" t="inlineStr">
        <is>
          <t>NYBRO</t>
        </is>
      </c>
      <c r="I618" t="n">
        <v>2.1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60706-2024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45644</v>
      </c>
      <c r="E619" s="1" t="n">
        <v>46313</v>
      </c>
      <c r="F619" t="inlineStr">
        <is>
          <t>KALMAR LÄN</t>
        </is>
      </c>
      <c r="G619" t="inlineStr">
        <is>
          <t>NYBRO</t>
        </is>
      </c>
      <c r="I619" t="n">
        <v>6.5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39354-2024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45551</v>
      </c>
      <c r="E620" s="1" t="n">
        <v>46313</v>
      </c>
      <c r="F620" t="inlineStr">
        <is>
          <t>KALMAR LÄN</t>
        </is>
      </c>
      <c r="G620" t="inlineStr">
        <is>
          <t>NYBRO</t>
        </is>
      </c>
      <c r="I620" t="n">
        <v>1.1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17157-2022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44677</v>
      </c>
      <c r="E621" s="1" t="n">
        <v>46313</v>
      </c>
      <c r="F621" t="inlineStr">
        <is>
          <t>KALMAR LÄN</t>
        </is>
      </c>
      <c r="G621" t="inlineStr">
        <is>
          <t>NYBRO</t>
        </is>
      </c>
      <c r="I621" t="n">
        <v>0.5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47632-2025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45931</v>
      </c>
      <c r="E622" s="1" t="n">
        <v>46313</v>
      </c>
      <c r="F622" t="inlineStr">
        <is>
          <t>KALMAR LÄN</t>
        </is>
      </c>
      <c r="G622" t="inlineStr">
        <is>
          <t>NYBRO</t>
        </is>
      </c>
      <c r="H622" t="inlineStr">
        <is>
          <t>Kyrkan</t>
        </is>
      </c>
      <c r="I622" t="n">
        <v>2.2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46684-2023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45198</v>
      </c>
      <c r="E623" s="1" t="n">
        <v>46313</v>
      </c>
      <c r="F623" t="inlineStr">
        <is>
          <t>KALMAR LÄN</t>
        </is>
      </c>
      <c r="G623" t="inlineStr">
        <is>
          <t>NYBRO</t>
        </is>
      </c>
      <c r="I623" t="n">
        <v>2.4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866-2024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45301</v>
      </c>
      <c r="E624" s="1" t="n">
        <v>46313</v>
      </c>
      <c r="F624" t="inlineStr">
        <is>
          <t>KALMAR LÄN</t>
        </is>
      </c>
      <c r="G624" t="inlineStr">
        <is>
          <t>NYBRO</t>
        </is>
      </c>
      <c r="I624" t="n">
        <v>0.5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867-2024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45301</v>
      </c>
      <c r="E625" s="1" t="n">
        <v>46313</v>
      </c>
      <c r="F625" t="inlineStr">
        <is>
          <t>KALMAR LÄN</t>
        </is>
      </c>
      <c r="G625" t="inlineStr">
        <is>
          <t>NYBRO</t>
        </is>
      </c>
      <c r="I625" t="n">
        <v>0.9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32264-2024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45512</v>
      </c>
      <c r="E626" s="1" t="n">
        <v>46313</v>
      </c>
      <c r="F626" t="inlineStr">
        <is>
          <t>KALMAR LÄN</t>
        </is>
      </c>
      <c r="G626" t="inlineStr">
        <is>
          <t>NYBRO</t>
        </is>
      </c>
      <c r="I626" t="n">
        <v>0.5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29922-2026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46205</v>
      </c>
      <c r="E627" s="1" t="n">
        <v>46313</v>
      </c>
      <c r="F627" t="inlineStr">
        <is>
          <t>KALMAR LÄN</t>
        </is>
      </c>
      <c r="G627" t="inlineStr">
        <is>
          <t>NYBRO</t>
        </is>
      </c>
      <c r="I627" t="n">
        <v>5.1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27419-2022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44742</v>
      </c>
      <c r="E628" s="1" t="n">
        <v>46313</v>
      </c>
      <c r="F628" t="inlineStr">
        <is>
          <t>KALMAR LÄN</t>
        </is>
      </c>
      <c r="G628" t="inlineStr">
        <is>
          <t>NYBRO</t>
        </is>
      </c>
      <c r="I628" t="n">
        <v>2.2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9520-2024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45359</v>
      </c>
      <c r="E629" s="1" t="n">
        <v>46313</v>
      </c>
      <c r="F629" t="inlineStr">
        <is>
          <t>KALMAR LÄN</t>
        </is>
      </c>
      <c r="G629" t="inlineStr">
        <is>
          <t>NYBRO</t>
        </is>
      </c>
      <c r="I629" t="n">
        <v>1.9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22487-2022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44713</v>
      </c>
      <c r="E630" s="1" t="n">
        <v>46313</v>
      </c>
      <c r="F630" t="inlineStr">
        <is>
          <t>KALMAR LÄN</t>
        </is>
      </c>
      <c r="G630" t="inlineStr">
        <is>
          <t>NYBRO</t>
        </is>
      </c>
      <c r="I630" t="n">
        <v>1.4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27101-2023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45096</v>
      </c>
      <c r="E631" s="1" t="n">
        <v>46313</v>
      </c>
      <c r="F631" t="inlineStr">
        <is>
          <t>KALMAR LÄN</t>
        </is>
      </c>
      <c r="G631" t="inlineStr">
        <is>
          <t>NYBRO</t>
        </is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48312-2024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45590</v>
      </c>
      <c r="E632" s="1" t="n">
        <v>46313</v>
      </c>
      <c r="F632" t="inlineStr">
        <is>
          <t>KALMAR LÄN</t>
        </is>
      </c>
      <c r="G632" t="inlineStr">
        <is>
          <t>NYBRO</t>
        </is>
      </c>
      <c r="I632" t="n">
        <v>1.7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35406-2022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44798</v>
      </c>
      <c r="E633" s="1" t="n">
        <v>46313</v>
      </c>
      <c r="F633" t="inlineStr">
        <is>
          <t>KALMAR LÄN</t>
        </is>
      </c>
      <c r="G633" t="inlineStr">
        <is>
          <t>NYBRO</t>
        </is>
      </c>
      <c r="I633" t="n">
        <v>1.5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4863-2022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44593</v>
      </c>
      <c r="E634" s="1" t="n">
        <v>46313</v>
      </c>
      <c r="F634" t="inlineStr">
        <is>
          <t>KALMAR LÄN</t>
        </is>
      </c>
      <c r="G634" t="inlineStr">
        <is>
          <t>NYBRO</t>
        </is>
      </c>
      <c r="I634" t="n">
        <v>2.1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27997-2023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45098</v>
      </c>
      <c r="E635" s="1" t="n">
        <v>46313</v>
      </c>
      <c r="F635" t="inlineStr">
        <is>
          <t>KALMAR LÄN</t>
        </is>
      </c>
      <c r="G635" t="inlineStr">
        <is>
          <t>NYBRO</t>
        </is>
      </c>
      <c r="I635" t="n">
        <v>1.5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14057-2024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45392</v>
      </c>
      <c r="E636" s="1" t="n">
        <v>46313</v>
      </c>
      <c r="F636" t="inlineStr">
        <is>
          <t>KALMAR LÄN</t>
        </is>
      </c>
      <c r="G636" t="inlineStr">
        <is>
          <t>NYBRO</t>
        </is>
      </c>
      <c r="I636" t="n">
        <v>2.2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28164-2022</t>
        </is>
      </c>
      <c r="B637" t="inlineStr">
        <is>
          <t>avverkningsanmälan</t>
        </is>
      </c>
      <c r="C637" t="inlineStr">
        <is>
          <t>Avverkning för annat ändamål</t>
        </is>
      </c>
      <c r="D637" s="1" t="n">
        <v>44746</v>
      </c>
      <c r="E637" s="1" t="n">
        <v>46313</v>
      </c>
      <c r="F637" t="inlineStr">
        <is>
          <t>KALMAR LÄN</t>
        </is>
      </c>
      <c r="G637" t="inlineStr">
        <is>
          <t>NYBRO</t>
        </is>
      </c>
      <c r="I637" t="n">
        <v>0.5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20386-2023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45056</v>
      </c>
      <c r="E638" s="1" t="n">
        <v>46313</v>
      </c>
      <c r="F638" t="inlineStr">
        <is>
          <t>KALMAR LÄN</t>
        </is>
      </c>
      <c r="G638" t="inlineStr">
        <is>
          <t>NYBRO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31799-2023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45118</v>
      </c>
      <c r="E639" s="1" t="n">
        <v>46313</v>
      </c>
      <c r="F639" t="inlineStr">
        <is>
          <t>KALMAR LÄN</t>
        </is>
      </c>
      <c r="G639" t="inlineStr">
        <is>
          <t>NYBRO</t>
        </is>
      </c>
      <c r="I639" t="n">
        <v>2.4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20434-2023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45056</v>
      </c>
      <c r="E640" s="1" t="n">
        <v>46313</v>
      </c>
      <c r="F640" t="inlineStr">
        <is>
          <t>KALMAR LÄN</t>
        </is>
      </c>
      <c r="G640" t="inlineStr">
        <is>
          <t>NYBRO</t>
        </is>
      </c>
      <c r="I640" t="n">
        <v>1.7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38059-2024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45544</v>
      </c>
      <c r="E641" s="1" t="n">
        <v>46313</v>
      </c>
      <c r="F641" t="inlineStr">
        <is>
          <t>KALMAR LÄN</t>
        </is>
      </c>
      <c r="G641" t="inlineStr">
        <is>
          <t>NYBRO</t>
        </is>
      </c>
      <c r="I641" t="n">
        <v>0.5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41649-2022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44827</v>
      </c>
      <c r="E642" s="1" t="n">
        <v>46313</v>
      </c>
      <c r="F642" t="inlineStr">
        <is>
          <t>KALMAR LÄN</t>
        </is>
      </c>
      <c r="G642" t="inlineStr">
        <is>
          <t>NYBRO</t>
        </is>
      </c>
      <c r="I642" t="n">
        <v>12.1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15116-2023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45016</v>
      </c>
      <c r="E643" s="1" t="n">
        <v>46313</v>
      </c>
      <c r="F643" t="inlineStr">
        <is>
          <t>KALMAR LÄN</t>
        </is>
      </c>
      <c r="G643" t="inlineStr">
        <is>
          <t>NYBRO</t>
        </is>
      </c>
      <c r="I643" t="n">
        <v>2.3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41060-2022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44825</v>
      </c>
      <c r="E644" s="1" t="n">
        <v>46313</v>
      </c>
      <c r="F644" t="inlineStr">
        <is>
          <t>KALMAR LÄN</t>
        </is>
      </c>
      <c r="G644" t="inlineStr">
        <is>
          <t>NYBRO</t>
        </is>
      </c>
      <c r="I644" t="n">
        <v>18.6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36638-2026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46272</v>
      </c>
      <c r="E645" s="1" t="n">
        <v>46313</v>
      </c>
      <c r="F645" t="inlineStr">
        <is>
          <t>KALMAR LÄN</t>
        </is>
      </c>
      <c r="G645" t="inlineStr">
        <is>
          <t>NYBRO</t>
        </is>
      </c>
      <c r="I645" t="n">
        <v>2.4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36876-2026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46273</v>
      </c>
      <c r="E646" s="1" t="n">
        <v>46313</v>
      </c>
      <c r="F646" t="inlineStr">
        <is>
          <t>KALMAR LÄN</t>
        </is>
      </c>
      <c r="G646" t="inlineStr">
        <is>
          <t>NYBRO</t>
        </is>
      </c>
      <c r="I646" t="n">
        <v>1.6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27027-2023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45095</v>
      </c>
      <c r="E647" s="1" t="n">
        <v>46313</v>
      </c>
      <c r="F647" t="inlineStr">
        <is>
          <t>KALMAR LÄN</t>
        </is>
      </c>
      <c r="G647" t="inlineStr">
        <is>
          <t>NYBRO</t>
        </is>
      </c>
      <c r="I647" t="n">
        <v>0.7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37277-2026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46274</v>
      </c>
      <c r="E648" s="1" t="n">
        <v>46313</v>
      </c>
      <c r="F648" t="inlineStr">
        <is>
          <t>KALMAR LÄN</t>
        </is>
      </c>
      <c r="G648" t="inlineStr">
        <is>
          <t>NYBRO</t>
        </is>
      </c>
      <c r="I648" t="n">
        <v>3.8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57823-2023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45244</v>
      </c>
      <c r="E649" s="1" t="n">
        <v>46313</v>
      </c>
      <c r="F649" t="inlineStr">
        <is>
          <t>KALMAR LÄN</t>
        </is>
      </c>
      <c r="G649" t="inlineStr">
        <is>
          <t>NYBRO</t>
        </is>
      </c>
      <c r="I649" t="n">
        <v>1.8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37393-2026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46275</v>
      </c>
      <c r="E650" s="1" t="n">
        <v>46313</v>
      </c>
      <c r="F650" t="inlineStr">
        <is>
          <t>KALMAR LÄN</t>
        </is>
      </c>
      <c r="G650" t="inlineStr">
        <is>
          <t>NYBRO</t>
        </is>
      </c>
      <c r="H650" t="inlineStr">
        <is>
          <t>Sveaskog</t>
        </is>
      </c>
      <c r="I650" t="n">
        <v>2.2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49340-2023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45211</v>
      </c>
      <c r="E651" s="1" t="n">
        <v>46313</v>
      </c>
      <c r="F651" t="inlineStr">
        <is>
          <t>KALMAR LÄN</t>
        </is>
      </c>
      <c r="G651" t="inlineStr">
        <is>
          <t>NYBRO</t>
        </is>
      </c>
      <c r="I651" t="n">
        <v>3.6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10632-2024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45367</v>
      </c>
      <c r="E652" s="1" t="n">
        <v>46313</v>
      </c>
      <c r="F652" t="inlineStr">
        <is>
          <t>KALMAR LÄN</t>
        </is>
      </c>
      <c r="G652" t="inlineStr">
        <is>
          <t>NYBRO</t>
        </is>
      </c>
      <c r="I652" t="n">
        <v>2.9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37705-2026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46279</v>
      </c>
      <c r="E653" s="1" t="n">
        <v>46313</v>
      </c>
      <c r="F653" t="inlineStr">
        <is>
          <t>KALMAR LÄN</t>
        </is>
      </c>
      <c r="G653" t="inlineStr">
        <is>
          <t>NYBRO</t>
        </is>
      </c>
      <c r="I653" t="n">
        <v>4.4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22877-2023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45072</v>
      </c>
      <c r="E654" s="1" t="n">
        <v>46313</v>
      </c>
      <c r="F654" t="inlineStr">
        <is>
          <t>KALMAR LÄN</t>
        </is>
      </c>
      <c r="G654" t="inlineStr">
        <is>
          <t>NYBRO</t>
        </is>
      </c>
      <c r="I654" t="n">
        <v>1.4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57809-2023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45244</v>
      </c>
      <c r="E655" s="1" t="n">
        <v>46313</v>
      </c>
      <c r="F655" t="inlineStr">
        <is>
          <t>KALMAR LÄN</t>
        </is>
      </c>
      <c r="G655" t="inlineStr">
        <is>
          <t>NYBRO</t>
        </is>
      </c>
      <c r="I655" t="n">
        <v>1.2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37708-2026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46279</v>
      </c>
      <c r="E656" s="1" t="n">
        <v>46313</v>
      </c>
      <c r="F656" t="inlineStr">
        <is>
          <t>KALMAR LÄN</t>
        </is>
      </c>
      <c r="G656" t="inlineStr">
        <is>
          <t>NYBRO</t>
        </is>
      </c>
      <c r="I656" t="n">
        <v>5.7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12410-2023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44999</v>
      </c>
      <c r="E657" s="1" t="n">
        <v>46313</v>
      </c>
      <c r="F657" t="inlineStr">
        <is>
          <t>KALMAR LÄN</t>
        </is>
      </c>
      <c r="G657" t="inlineStr">
        <is>
          <t>NYBRO</t>
        </is>
      </c>
      <c r="I657" t="n">
        <v>0.8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44030-2023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45188</v>
      </c>
      <c r="E658" s="1" t="n">
        <v>46313</v>
      </c>
      <c r="F658" t="inlineStr">
        <is>
          <t>KALMAR LÄN</t>
        </is>
      </c>
      <c r="G658" t="inlineStr">
        <is>
          <t>NYBRO</t>
        </is>
      </c>
      <c r="I658" t="n">
        <v>1.9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32398-2026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46238</v>
      </c>
      <c r="E659" s="1" t="n">
        <v>46313</v>
      </c>
      <c r="F659" t="inlineStr">
        <is>
          <t>KALMAR LÄN</t>
        </is>
      </c>
      <c r="G659" t="inlineStr">
        <is>
          <t>NYBRO</t>
        </is>
      </c>
      <c r="H659" t="inlineStr">
        <is>
          <t>Sveaskog</t>
        </is>
      </c>
      <c r="I659" t="n">
        <v>10.3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6896-2024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45342</v>
      </c>
      <c r="E660" s="1" t="n">
        <v>46313</v>
      </c>
      <c r="F660" t="inlineStr">
        <is>
          <t>KALMAR LÄN</t>
        </is>
      </c>
      <c r="G660" t="inlineStr">
        <is>
          <t>NYBRO</t>
        </is>
      </c>
      <c r="I660" t="n">
        <v>1.6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61499-2022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44910</v>
      </c>
      <c r="E661" s="1" t="n">
        <v>46313</v>
      </c>
      <c r="F661" t="inlineStr">
        <is>
          <t>KALMAR LÄN</t>
        </is>
      </c>
      <c r="G661" t="inlineStr">
        <is>
          <t>NYBRO</t>
        </is>
      </c>
      <c r="I661" t="n">
        <v>4.5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37462-2023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45156</v>
      </c>
      <c r="E662" s="1" t="n">
        <v>46313</v>
      </c>
      <c r="F662" t="inlineStr">
        <is>
          <t>KALMAR LÄN</t>
        </is>
      </c>
      <c r="G662" t="inlineStr">
        <is>
          <t>NYBRO</t>
        </is>
      </c>
      <c r="I662" t="n">
        <v>0.6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32397-2026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46238</v>
      </c>
      <c r="E663" s="1" t="n">
        <v>46313</v>
      </c>
      <c r="F663" t="inlineStr">
        <is>
          <t>KALMAR LÄN</t>
        </is>
      </c>
      <c r="G663" t="inlineStr">
        <is>
          <t>NYBRO</t>
        </is>
      </c>
      <c r="H663" t="inlineStr">
        <is>
          <t>Sveaskog</t>
        </is>
      </c>
      <c r="I663" t="n">
        <v>6.3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494-2022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44566</v>
      </c>
      <c r="E664" s="1" t="n">
        <v>46313</v>
      </c>
      <c r="F664" t="inlineStr">
        <is>
          <t>KALMAR LÄN</t>
        </is>
      </c>
      <c r="G664" t="inlineStr">
        <is>
          <t>NYBRO</t>
        </is>
      </c>
      <c r="I664" t="n">
        <v>0.6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11645-2024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45373</v>
      </c>
      <c r="E665" s="1" t="n">
        <v>46313</v>
      </c>
      <c r="F665" t="inlineStr">
        <is>
          <t>KALMAR LÄN</t>
        </is>
      </c>
      <c r="G665" t="inlineStr">
        <is>
          <t>NYBRO</t>
        </is>
      </c>
      <c r="I665" t="n">
        <v>1.7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50723-2023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45210</v>
      </c>
      <c r="E666" s="1" t="n">
        <v>46313</v>
      </c>
      <c r="F666" t="inlineStr">
        <is>
          <t>KALMAR LÄN</t>
        </is>
      </c>
      <c r="G666" t="inlineStr">
        <is>
          <t>NYBRO</t>
        </is>
      </c>
      <c r="I666" t="n">
        <v>0.6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60030-2022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44909</v>
      </c>
      <c r="E667" s="1" t="n">
        <v>46313</v>
      </c>
      <c r="F667" t="inlineStr">
        <is>
          <t>KALMAR LÄN</t>
        </is>
      </c>
      <c r="G667" t="inlineStr">
        <is>
          <t>NYBRO</t>
        </is>
      </c>
      <c r="I667" t="n">
        <v>2.9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60041-2022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44909</v>
      </c>
      <c r="E668" s="1" t="n">
        <v>46313</v>
      </c>
      <c r="F668" t="inlineStr">
        <is>
          <t>KALMAR LÄN</t>
        </is>
      </c>
      <c r="G668" t="inlineStr">
        <is>
          <t>NYBRO</t>
        </is>
      </c>
      <c r="I668" t="n">
        <v>1.4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1419-2025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45668</v>
      </c>
      <c r="E669" s="1" t="n">
        <v>46313</v>
      </c>
      <c r="F669" t="inlineStr">
        <is>
          <t>KALMAR LÄN</t>
        </is>
      </c>
      <c r="G669" t="inlineStr">
        <is>
          <t>NYBRO</t>
        </is>
      </c>
      <c r="I669" t="n">
        <v>0.8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38288-2026</t>
        </is>
      </c>
      <c r="B670" t="inlineStr">
        <is>
          <t>avverkningsanmälan</t>
        </is>
      </c>
      <c r="C670" t="inlineStr">
        <is>
          <t>Avverkning för annat ändamål</t>
        </is>
      </c>
      <c r="D670" s="1" t="n">
        <v>46282</v>
      </c>
      <c r="E670" s="1" t="n">
        <v>46313</v>
      </c>
      <c r="F670" t="inlineStr">
        <is>
          <t>KALMAR LÄN</t>
        </is>
      </c>
      <c r="G670" t="inlineStr">
        <is>
          <t>NYBRO</t>
        </is>
      </c>
      <c r="I670" t="n">
        <v>8.800000000000001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38558-2026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46283</v>
      </c>
      <c r="E671" s="1" t="n">
        <v>46313</v>
      </c>
      <c r="F671" t="inlineStr">
        <is>
          <t>KALMAR LÄN</t>
        </is>
      </c>
      <c r="G671" t="inlineStr">
        <is>
          <t>NYBRO</t>
        </is>
      </c>
      <c r="I671" t="n">
        <v>3.1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37461-2023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45156</v>
      </c>
      <c r="E672" s="1" t="n">
        <v>46313</v>
      </c>
      <c r="F672" t="inlineStr">
        <is>
          <t>KALMAR LÄN</t>
        </is>
      </c>
      <c r="G672" t="inlineStr">
        <is>
          <t>NYBRO</t>
        </is>
      </c>
      <c r="I672" t="n">
        <v>1.8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50556-2022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44866</v>
      </c>
      <c r="E673" s="1" t="n">
        <v>46313</v>
      </c>
      <c r="F673" t="inlineStr">
        <is>
          <t>KALMAR LÄN</t>
        </is>
      </c>
      <c r="G673" t="inlineStr">
        <is>
          <t>NYBRO</t>
        </is>
      </c>
      <c r="I673" t="n">
        <v>0.7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29715-2022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44755</v>
      </c>
      <c r="E674" s="1" t="n">
        <v>46313</v>
      </c>
      <c r="F674" t="inlineStr">
        <is>
          <t>KALMAR LÄN</t>
        </is>
      </c>
      <c r="G674" t="inlineStr">
        <is>
          <t>NYBRO</t>
        </is>
      </c>
      <c r="I674" t="n">
        <v>4.8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5150-2022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44594</v>
      </c>
      <c r="E675" s="1" t="n">
        <v>46313</v>
      </c>
      <c r="F675" t="inlineStr">
        <is>
          <t>KALMAR LÄN</t>
        </is>
      </c>
      <c r="G675" t="inlineStr">
        <is>
          <t>NYBRO</t>
        </is>
      </c>
      <c r="I675" t="n">
        <v>3.1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11155-2023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44992</v>
      </c>
      <c r="E676" s="1" t="n">
        <v>46313</v>
      </c>
      <c r="F676" t="inlineStr">
        <is>
          <t>KALMAR LÄN</t>
        </is>
      </c>
      <c r="G676" t="inlineStr">
        <is>
          <t>NYBRO</t>
        </is>
      </c>
      <c r="I676" t="n">
        <v>0.6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11621-2024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45373</v>
      </c>
      <c r="E677" s="1" t="n">
        <v>46313</v>
      </c>
      <c r="F677" t="inlineStr">
        <is>
          <t>KALMAR LÄN</t>
        </is>
      </c>
      <c r="G677" t="inlineStr">
        <is>
          <t>NYBRO</t>
        </is>
      </c>
      <c r="I677" t="n">
        <v>0.9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24941-2023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45085</v>
      </c>
      <c r="E678" s="1" t="n">
        <v>46313</v>
      </c>
      <c r="F678" t="inlineStr">
        <is>
          <t>KALMAR LÄN</t>
        </is>
      </c>
      <c r="G678" t="inlineStr">
        <is>
          <t>NYBRO</t>
        </is>
      </c>
      <c r="I678" t="n">
        <v>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25131-2026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46175</v>
      </c>
      <c r="E679" s="1" t="n">
        <v>46313</v>
      </c>
      <c r="F679" t="inlineStr">
        <is>
          <t>KALMAR LÄN</t>
        </is>
      </c>
      <c r="G679" t="inlineStr">
        <is>
          <t>NYBRO</t>
        </is>
      </c>
      <c r="I679" t="n">
        <v>0.9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27870-2024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45475</v>
      </c>
      <c r="E680" s="1" t="n">
        <v>46313</v>
      </c>
      <c r="F680" t="inlineStr">
        <is>
          <t>KALMAR LÄN</t>
        </is>
      </c>
      <c r="G680" t="inlineStr">
        <is>
          <t>NYBRO</t>
        </is>
      </c>
      <c r="I680" t="n">
        <v>1.6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48102-2023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45205</v>
      </c>
      <c r="E681" s="1" t="n">
        <v>46313</v>
      </c>
      <c r="F681" t="inlineStr">
        <is>
          <t>KALMAR LÄN</t>
        </is>
      </c>
      <c r="G681" t="inlineStr">
        <is>
          <t>NYBRO</t>
        </is>
      </c>
      <c r="I681" t="n">
        <v>1.2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38945-2026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46286</v>
      </c>
      <c r="E682" s="1" t="n">
        <v>46313</v>
      </c>
      <c r="F682" t="inlineStr">
        <is>
          <t>KALMAR LÄN</t>
        </is>
      </c>
      <c r="G682" t="inlineStr">
        <is>
          <t>NYBRO</t>
        </is>
      </c>
      <c r="I682" t="n">
        <v>2.8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32788-2026</t>
        </is>
      </c>
      <c r="B683" t="inlineStr">
        <is>
          <t>avverkningsanmälan</t>
        </is>
      </c>
      <c r="C683" t="inlineStr">
        <is>
          <t>Avverkning för annat ändamål</t>
        </is>
      </c>
      <c r="D683" s="1" t="n">
        <v>46241</v>
      </c>
      <c r="E683" s="1" t="n">
        <v>46313</v>
      </c>
      <c r="F683" t="inlineStr">
        <is>
          <t>KALMAR LÄN</t>
        </is>
      </c>
      <c r="G683" t="inlineStr">
        <is>
          <t>NYBRO</t>
        </is>
      </c>
      <c r="I683" t="n">
        <v>3.7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15584-2024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45401</v>
      </c>
      <c r="E684" s="1" t="n">
        <v>46313</v>
      </c>
      <c r="F684" t="inlineStr">
        <is>
          <t>KALMAR LÄN</t>
        </is>
      </c>
      <c r="G684" t="inlineStr">
        <is>
          <t>NYBRO</t>
        </is>
      </c>
      <c r="I684" t="n">
        <v>0.8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15109-2025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45744</v>
      </c>
      <c r="E685" s="1" t="n">
        <v>46313</v>
      </c>
      <c r="F685" t="inlineStr">
        <is>
          <t>KALMAR LÄN</t>
        </is>
      </c>
      <c r="G685" t="inlineStr">
        <is>
          <t>NYBRO</t>
        </is>
      </c>
      <c r="I685" t="n">
        <v>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55723-2023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45239</v>
      </c>
      <c r="E686" s="1" t="n">
        <v>46313</v>
      </c>
      <c r="F686" t="inlineStr">
        <is>
          <t>KALMAR LÄN</t>
        </is>
      </c>
      <c r="G686" t="inlineStr">
        <is>
          <t>NYBRO</t>
        </is>
      </c>
      <c r="I686" t="n">
        <v>2.4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25382-2023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45089</v>
      </c>
      <c r="E687" s="1" t="n">
        <v>46313</v>
      </c>
      <c r="F687" t="inlineStr">
        <is>
          <t>KALMAR LÄN</t>
        </is>
      </c>
      <c r="G687" t="inlineStr">
        <is>
          <t>NYBRO</t>
        </is>
      </c>
      <c r="H687" t="inlineStr">
        <is>
          <t>Kommuner</t>
        </is>
      </c>
      <c r="I687" t="n">
        <v>1.3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24183-2023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45079</v>
      </c>
      <c r="E688" s="1" t="n">
        <v>46313</v>
      </c>
      <c r="F688" t="inlineStr">
        <is>
          <t>KALMAR LÄN</t>
        </is>
      </c>
      <c r="G688" t="inlineStr">
        <is>
          <t>NYBRO</t>
        </is>
      </c>
      <c r="I688" t="n">
        <v>3.9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19461-2024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45429</v>
      </c>
      <c r="E689" s="1" t="n">
        <v>46313</v>
      </c>
      <c r="F689" t="inlineStr">
        <is>
          <t>KALMAR LÄN</t>
        </is>
      </c>
      <c r="G689" t="inlineStr">
        <is>
          <t>NYBRO</t>
        </is>
      </c>
      <c r="I689" t="n">
        <v>1.1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33254-2026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46246</v>
      </c>
      <c r="E690" s="1" t="n">
        <v>46313</v>
      </c>
      <c r="F690" t="inlineStr">
        <is>
          <t>KALMAR LÄN</t>
        </is>
      </c>
      <c r="G690" t="inlineStr">
        <is>
          <t>NYBRO</t>
        </is>
      </c>
      <c r="I690" t="n">
        <v>0.8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18427-2025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45762</v>
      </c>
      <c r="E691" s="1" t="n">
        <v>46313</v>
      </c>
      <c r="F691" t="inlineStr">
        <is>
          <t>KALMAR LÄN</t>
        </is>
      </c>
      <c r="G691" t="inlineStr">
        <is>
          <t>NYBRO</t>
        </is>
      </c>
      <c r="I691" t="n">
        <v>3.6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33035-2022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44785</v>
      </c>
      <c r="E692" s="1" t="n">
        <v>46313</v>
      </c>
      <c r="F692" t="inlineStr">
        <is>
          <t>KALMAR LÄN</t>
        </is>
      </c>
      <c r="G692" t="inlineStr">
        <is>
          <t>NYBRO</t>
        </is>
      </c>
      <c r="I692" t="n">
        <v>1.2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31060-2023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45113</v>
      </c>
      <c r="E693" s="1" t="n">
        <v>46313</v>
      </c>
      <c r="F693" t="inlineStr">
        <is>
          <t>KALMAR LÄN</t>
        </is>
      </c>
      <c r="G693" t="inlineStr">
        <is>
          <t>NYBRO</t>
        </is>
      </c>
      <c r="I693" t="n">
        <v>0.6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53681-2022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44880</v>
      </c>
      <c r="E694" s="1" t="n">
        <v>46313</v>
      </c>
      <c r="F694" t="inlineStr">
        <is>
          <t>KALMAR LÄN</t>
        </is>
      </c>
      <c r="G694" t="inlineStr">
        <is>
          <t>NYBRO</t>
        </is>
      </c>
      <c r="I694" t="n">
        <v>1.1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33257-2026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46246</v>
      </c>
      <c r="E695" s="1" t="n">
        <v>46313</v>
      </c>
      <c r="F695" t="inlineStr">
        <is>
          <t>KALMAR LÄN</t>
        </is>
      </c>
      <c r="G695" t="inlineStr">
        <is>
          <t>NYBRO</t>
        </is>
      </c>
      <c r="I695" t="n">
        <v>0.8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58455-2021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44488</v>
      </c>
      <c r="E696" s="1" t="n">
        <v>46313</v>
      </c>
      <c r="F696" t="inlineStr">
        <is>
          <t>KALMAR LÄN</t>
        </is>
      </c>
      <c r="G696" t="inlineStr">
        <is>
          <t>NYBRO</t>
        </is>
      </c>
      <c r="I696" t="n">
        <v>2.4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25472-2023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45089</v>
      </c>
      <c r="E697" s="1" t="n">
        <v>46313</v>
      </c>
      <c r="F697" t="inlineStr">
        <is>
          <t>KALMAR LÄN</t>
        </is>
      </c>
      <c r="G697" t="inlineStr">
        <is>
          <t>NYBRO</t>
        </is>
      </c>
      <c r="I697" t="n">
        <v>1.6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48732-2023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45208</v>
      </c>
      <c r="E698" s="1" t="n">
        <v>46313</v>
      </c>
      <c r="F698" t="inlineStr">
        <is>
          <t>KALMAR LÄN</t>
        </is>
      </c>
      <c r="G698" t="inlineStr">
        <is>
          <t>NYBRO</t>
        </is>
      </c>
      <c r="I698" t="n">
        <v>2.8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39478-2026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46289</v>
      </c>
      <c r="E699" s="1" t="n">
        <v>46313</v>
      </c>
      <c r="F699" t="inlineStr">
        <is>
          <t>KALMAR LÄN</t>
        </is>
      </c>
      <c r="G699" t="inlineStr">
        <is>
          <t>NYBRO</t>
        </is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36366-2024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45534</v>
      </c>
      <c r="E700" s="1" t="n">
        <v>46313</v>
      </c>
      <c r="F700" t="inlineStr">
        <is>
          <t>KALMAR LÄN</t>
        </is>
      </c>
      <c r="G700" t="inlineStr">
        <is>
          <t>NYBRO</t>
        </is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6810-2024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45342</v>
      </c>
      <c r="E701" s="1" t="n">
        <v>46313</v>
      </c>
      <c r="F701" t="inlineStr">
        <is>
          <t>KALMAR LÄN</t>
        </is>
      </c>
      <c r="G701" t="inlineStr">
        <is>
          <t>NYBRO</t>
        </is>
      </c>
      <c r="I701" t="n">
        <v>1.9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19577-2026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46134</v>
      </c>
      <c r="E702" s="1" t="n">
        <v>46313</v>
      </c>
      <c r="F702" t="inlineStr">
        <is>
          <t>KALMAR LÄN</t>
        </is>
      </c>
      <c r="G702" t="inlineStr">
        <is>
          <t>NYBRO</t>
        </is>
      </c>
      <c r="I702" t="n">
        <v>1.1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29544-2024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45484</v>
      </c>
      <c r="E703" s="1" t="n">
        <v>46313</v>
      </c>
      <c r="F703" t="inlineStr">
        <is>
          <t>KALMAR LÄN</t>
        </is>
      </c>
      <c r="G703" t="inlineStr">
        <is>
          <t>NYBRO</t>
        </is>
      </c>
      <c r="I703" t="n">
        <v>1.5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5152-2022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44594</v>
      </c>
      <c r="E704" s="1" t="n">
        <v>46313</v>
      </c>
      <c r="F704" t="inlineStr">
        <is>
          <t>KALMAR LÄN</t>
        </is>
      </c>
      <c r="G704" t="inlineStr">
        <is>
          <t>NYBRO</t>
        </is>
      </c>
      <c r="I704" t="n">
        <v>1.1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7789-2025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45706</v>
      </c>
      <c r="E705" s="1" t="n">
        <v>46313</v>
      </c>
      <c r="F705" t="inlineStr">
        <is>
          <t>KALMAR LÄN</t>
        </is>
      </c>
      <c r="G705" t="inlineStr">
        <is>
          <t>NYBRO</t>
        </is>
      </c>
      <c r="I705" t="n">
        <v>3.6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33704-2026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46250</v>
      </c>
      <c r="E706" s="1" t="n">
        <v>46313</v>
      </c>
      <c r="F706" t="inlineStr">
        <is>
          <t>KALMAR LÄN</t>
        </is>
      </c>
      <c r="G706" t="inlineStr">
        <is>
          <t>NYBRO</t>
        </is>
      </c>
      <c r="I706" t="n">
        <v>1.1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33614-2026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46248</v>
      </c>
      <c r="E707" s="1" t="n">
        <v>46313</v>
      </c>
      <c r="F707" t="inlineStr">
        <is>
          <t>KALMAR LÄN</t>
        </is>
      </c>
      <c r="G707" t="inlineStr">
        <is>
          <t>NYBRO</t>
        </is>
      </c>
      <c r="I707" t="n">
        <v>2.9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17229-2025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45756</v>
      </c>
      <c r="E708" s="1" t="n">
        <v>46313</v>
      </c>
      <c r="F708" t="inlineStr">
        <is>
          <t>KALMAR LÄN</t>
        </is>
      </c>
      <c r="G708" t="inlineStr">
        <is>
          <t>NYBRO</t>
        </is>
      </c>
      <c r="I708" t="n">
        <v>1.5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20621-2022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44700</v>
      </c>
      <c r="E709" s="1" t="n">
        <v>46313</v>
      </c>
      <c r="F709" t="inlineStr">
        <is>
          <t>KALMAR LÄN</t>
        </is>
      </c>
      <c r="G709" t="inlineStr">
        <is>
          <t>NYBRO</t>
        </is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10289-2022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44622</v>
      </c>
      <c r="E710" s="1" t="n">
        <v>46313</v>
      </c>
      <c r="F710" t="inlineStr">
        <is>
          <t>KALMAR LÄN</t>
        </is>
      </c>
      <c r="G710" t="inlineStr">
        <is>
          <t>NYBRO</t>
        </is>
      </c>
      <c r="I710" t="n">
        <v>2.5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56103-2023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45240</v>
      </c>
      <c r="E711" s="1" t="n">
        <v>46313</v>
      </c>
      <c r="F711" t="inlineStr">
        <is>
          <t>KALMAR LÄN</t>
        </is>
      </c>
      <c r="G711" t="inlineStr">
        <is>
          <t>NYBRO</t>
        </is>
      </c>
      <c r="I711" t="n">
        <v>2.8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49390-2025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45938</v>
      </c>
      <c r="E712" s="1" t="n">
        <v>46313</v>
      </c>
      <c r="F712" t="inlineStr">
        <is>
          <t>KALMAR LÄN</t>
        </is>
      </c>
      <c r="G712" t="inlineStr">
        <is>
          <t>NYBRO</t>
        </is>
      </c>
      <c r="I712" t="n">
        <v>2.3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23479-2025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45792</v>
      </c>
      <c r="E713" s="1" t="n">
        <v>46313</v>
      </c>
      <c r="F713" t="inlineStr">
        <is>
          <t>KALMAR LÄN</t>
        </is>
      </c>
      <c r="G713" t="inlineStr">
        <is>
          <t>NYBRO</t>
        </is>
      </c>
      <c r="H713" t="inlineStr">
        <is>
          <t>Sveaskog</t>
        </is>
      </c>
      <c r="I713" t="n">
        <v>8.800000000000001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49912-2022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44865</v>
      </c>
      <c r="E714" s="1" t="n">
        <v>46313</v>
      </c>
      <c r="F714" t="inlineStr">
        <is>
          <t>KALMAR LÄN</t>
        </is>
      </c>
      <c r="G714" t="inlineStr">
        <is>
          <t>NYBRO</t>
        </is>
      </c>
      <c r="I714" t="n">
        <v>1.2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18219-2025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45761</v>
      </c>
      <c r="E715" s="1" t="n">
        <v>46313</v>
      </c>
      <c r="F715" t="inlineStr">
        <is>
          <t>KALMAR LÄN</t>
        </is>
      </c>
      <c r="G715" t="inlineStr">
        <is>
          <t>NYBRO</t>
        </is>
      </c>
      <c r="H715" t="inlineStr">
        <is>
          <t>Sveaskog</t>
        </is>
      </c>
      <c r="I715" t="n">
        <v>0.5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28795-2022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44749</v>
      </c>
      <c r="E716" s="1" t="n">
        <v>46313</v>
      </c>
      <c r="F716" t="inlineStr">
        <is>
          <t>KALMAR LÄN</t>
        </is>
      </c>
      <c r="G716" t="inlineStr">
        <is>
          <t>NYBRO</t>
        </is>
      </c>
      <c r="I716" t="n">
        <v>1.6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8000-2023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44973</v>
      </c>
      <c r="E717" s="1" t="n">
        <v>46313</v>
      </c>
      <c r="F717" t="inlineStr">
        <is>
          <t>KALMAR LÄN</t>
        </is>
      </c>
      <c r="G717" t="inlineStr">
        <is>
          <t>NYBRO</t>
        </is>
      </c>
      <c r="I717" t="n">
        <v>0.5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42277-2023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45175</v>
      </c>
      <c r="E718" s="1" t="n">
        <v>46313</v>
      </c>
      <c r="F718" t="inlineStr">
        <is>
          <t>KALMAR LÄN</t>
        </is>
      </c>
      <c r="G718" t="inlineStr">
        <is>
          <t>NYBRO</t>
        </is>
      </c>
      <c r="I718" t="n">
        <v>2.5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1928-2024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45308</v>
      </c>
      <c r="E719" s="1" t="n">
        <v>46313</v>
      </c>
      <c r="F719" t="inlineStr">
        <is>
          <t>KALMAR LÄN</t>
        </is>
      </c>
      <c r="G719" t="inlineStr">
        <is>
          <t>NYBRO</t>
        </is>
      </c>
      <c r="I719" t="n">
        <v>1.4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36100-2023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45149</v>
      </c>
      <c r="E720" s="1" t="n">
        <v>46313</v>
      </c>
      <c r="F720" t="inlineStr">
        <is>
          <t>KALMAR LÄN</t>
        </is>
      </c>
      <c r="G720" t="inlineStr">
        <is>
          <t>NYBRO</t>
        </is>
      </c>
      <c r="I720" t="n">
        <v>2.2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49096-2023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45210</v>
      </c>
      <c r="E721" s="1" t="n">
        <v>46313</v>
      </c>
      <c r="F721" t="inlineStr">
        <is>
          <t>KALMAR LÄN</t>
        </is>
      </c>
      <c r="G721" t="inlineStr">
        <is>
          <t>NYBRO</t>
        </is>
      </c>
      <c r="I721" t="n">
        <v>1.1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53999-2022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44881</v>
      </c>
      <c r="E722" s="1" t="n">
        <v>46313</v>
      </c>
      <c r="F722" t="inlineStr">
        <is>
          <t>KALMAR LÄN</t>
        </is>
      </c>
      <c r="G722" t="inlineStr">
        <is>
          <t>NYBRO</t>
        </is>
      </c>
      <c r="I722" t="n">
        <v>2.1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40608-2026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46295</v>
      </c>
      <c r="E723" s="1" t="n">
        <v>46313</v>
      </c>
      <c r="F723" t="inlineStr">
        <is>
          <t>KALMAR LÄN</t>
        </is>
      </c>
      <c r="G723" t="inlineStr">
        <is>
          <t>NYBRO</t>
        </is>
      </c>
      <c r="I723" t="n">
        <v>4.9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41635-2023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45175</v>
      </c>
      <c r="E724" s="1" t="n">
        <v>46313</v>
      </c>
      <c r="F724" t="inlineStr">
        <is>
          <t>KALMAR LÄN</t>
        </is>
      </c>
      <c r="G724" t="inlineStr">
        <is>
          <t>NYBRO</t>
        </is>
      </c>
      <c r="I724" t="n">
        <v>0.8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11150-2024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45371</v>
      </c>
      <c r="E725" s="1" t="n">
        <v>46313</v>
      </c>
      <c r="F725" t="inlineStr">
        <is>
          <t>KALMAR LÄN</t>
        </is>
      </c>
      <c r="G725" t="inlineStr">
        <is>
          <t>NYBRO</t>
        </is>
      </c>
      <c r="I725" t="n">
        <v>0.4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27610-2022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44743</v>
      </c>
      <c r="E726" s="1" t="n">
        <v>46313</v>
      </c>
      <c r="F726" t="inlineStr">
        <is>
          <t>KALMAR LÄN</t>
        </is>
      </c>
      <c r="G726" t="inlineStr">
        <is>
          <t>NYBRO</t>
        </is>
      </c>
      <c r="I726" t="n">
        <v>0.9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5355-2022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44594</v>
      </c>
      <c r="E727" s="1" t="n">
        <v>46313</v>
      </c>
      <c r="F727" t="inlineStr">
        <is>
          <t>KALMAR LÄN</t>
        </is>
      </c>
      <c r="G727" t="inlineStr">
        <is>
          <t>NYBRO</t>
        </is>
      </c>
      <c r="I727" t="n">
        <v>0.5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3428-2024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45320</v>
      </c>
      <c r="E728" s="1" t="n">
        <v>46313</v>
      </c>
      <c r="F728" t="inlineStr">
        <is>
          <t>KALMAR LÄN</t>
        </is>
      </c>
      <c r="G728" t="inlineStr">
        <is>
          <t>NYBRO</t>
        </is>
      </c>
      <c r="I728" t="n">
        <v>1.5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16584-2026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46112</v>
      </c>
      <c r="E729" s="1" t="n">
        <v>46313</v>
      </c>
      <c r="F729" t="inlineStr">
        <is>
          <t>KALMAR LÄN</t>
        </is>
      </c>
      <c r="G729" t="inlineStr">
        <is>
          <t>NYBRO</t>
        </is>
      </c>
      <c r="I729" t="n">
        <v>3.5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14371-2025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45741</v>
      </c>
      <c r="E730" s="1" t="n">
        <v>46313</v>
      </c>
      <c r="F730" t="inlineStr">
        <is>
          <t>KALMAR LÄN</t>
        </is>
      </c>
      <c r="G730" t="inlineStr">
        <is>
          <t>NYBRO</t>
        </is>
      </c>
      <c r="I730" t="n">
        <v>4.4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3632-2025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45681</v>
      </c>
      <c r="E731" s="1" t="n">
        <v>46313</v>
      </c>
      <c r="F731" t="inlineStr">
        <is>
          <t>KALMAR LÄN</t>
        </is>
      </c>
      <c r="G731" t="inlineStr">
        <is>
          <t>NYBRO</t>
        </is>
      </c>
      <c r="H731" t="inlineStr">
        <is>
          <t>Kyrkan</t>
        </is>
      </c>
      <c r="I731" t="n">
        <v>7.7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34923-2026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46255</v>
      </c>
      <c r="E732" s="1" t="n">
        <v>46313</v>
      </c>
      <c r="F732" t="inlineStr">
        <is>
          <t>KALMAR LÄN</t>
        </is>
      </c>
      <c r="G732" t="inlineStr">
        <is>
          <t>NYBRO</t>
        </is>
      </c>
      <c r="H732" t="inlineStr">
        <is>
          <t>Kyrkan</t>
        </is>
      </c>
      <c r="I732" t="n">
        <v>4.1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54341-2022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44882</v>
      </c>
      <c r="E733" s="1" t="n">
        <v>46313</v>
      </c>
      <c r="F733" t="inlineStr">
        <is>
          <t>KALMAR LÄN</t>
        </is>
      </c>
      <c r="G733" t="inlineStr">
        <is>
          <t>NYBRO</t>
        </is>
      </c>
      <c r="I733" t="n">
        <v>0.7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34260-2026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46253</v>
      </c>
      <c r="E734" s="1" t="n">
        <v>46313</v>
      </c>
      <c r="F734" t="inlineStr">
        <is>
          <t>KALMAR LÄN</t>
        </is>
      </c>
      <c r="G734" t="inlineStr">
        <is>
          <t>NYBRO</t>
        </is>
      </c>
      <c r="H734" t="inlineStr">
        <is>
          <t>Sveaskog</t>
        </is>
      </c>
      <c r="I734" t="n">
        <v>10.8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33252-2026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46246</v>
      </c>
      <c r="E735" s="1" t="n">
        <v>46313</v>
      </c>
      <c r="F735" t="inlineStr">
        <is>
          <t>KALMAR LÄN</t>
        </is>
      </c>
      <c r="G735" t="inlineStr">
        <is>
          <t>NYBRO</t>
        </is>
      </c>
      <c r="I735" t="n">
        <v>2.8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49739-2025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45940</v>
      </c>
      <c r="E736" s="1" t="n">
        <v>46313</v>
      </c>
      <c r="F736" t="inlineStr">
        <is>
          <t>KALMAR LÄN</t>
        </is>
      </c>
      <c r="G736" t="inlineStr">
        <is>
          <t>NYBRO</t>
        </is>
      </c>
      <c r="I736" t="n">
        <v>4.7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33924-2026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46252</v>
      </c>
      <c r="E737" s="1" t="n">
        <v>46313</v>
      </c>
      <c r="F737" t="inlineStr">
        <is>
          <t>KALMAR LÄN</t>
        </is>
      </c>
      <c r="G737" t="inlineStr">
        <is>
          <t>NYBRO</t>
        </is>
      </c>
      <c r="I737" t="n">
        <v>1.6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34363-2026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46254</v>
      </c>
      <c r="E738" s="1" t="n">
        <v>46313</v>
      </c>
      <c r="F738" t="inlineStr">
        <is>
          <t>KALMAR LÄN</t>
        </is>
      </c>
      <c r="G738" t="inlineStr">
        <is>
          <t>NYBRO</t>
        </is>
      </c>
      <c r="H738" t="inlineStr">
        <is>
          <t>Sveaskog</t>
        </is>
      </c>
      <c r="I738" t="n">
        <v>12.3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40921-2026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46297</v>
      </c>
      <c r="E739" s="1" t="n">
        <v>46313</v>
      </c>
      <c r="F739" t="inlineStr">
        <is>
          <t>KALMAR LÄN</t>
        </is>
      </c>
      <c r="G739" t="inlineStr">
        <is>
          <t>NYBRO</t>
        </is>
      </c>
      <c r="I739" t="n">
        <v>5.5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675-2026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46029</v>
      </c>
      <c r="E740" s="1" t="n">
        <v>46313</v>
      </c>
      <c r="F740" t="inlineStr">
        <is>
          <t>KALMAR LÄN</t>
        </is>
      </c>
      <c r="G740" t="inlineStr">
        <is>
          <t>NYBRO</t>
        </is>
      </c>
      <c r="I740" t="n">
        <v>1.9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34261-2026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46253</v>
      </c>
      <c r="E741" s="1" t="n">
        <v>46313</v>
      </c>
      <c r="F741" t="inlineStr">
        <is>
          <t>KALMAR LÄN</t>
        </is>
      </c>
      <c r="G741" t="inlineStr">
        <is>
          <t>NYBRO</t>
        </is>
      </c>
      <c r="H741" t="inlineStr">
        <is>
          <t>Sveaskog</t>
        </is>
      </c>
      <c r="I741" t="n">
        <v>1.2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3344-2025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45679</v>
      </c>
      <c r="E742" s="1" t="n">
        <v>46313</v>
      </c>
      <c r="F742" t="inlineStr">
        <is>
          <t>KALMAR LÄN</t>
        </is>
      </c>
      <c r="G742" t="inlineStr">
        <is>
          <t>NYBRO</t>
        </is>
      </c>
      <c r="I742" t="n">
        <v>1.7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41308-2026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46300</v>
      </c>
      <c r="E743" s="1" t="n">
        <v>46313</v>
      </c>
      <c r="F743" t="inlineStr">
        <is>
          <t>KALMAR LÄN</t>
        </is>
      </c>
      <c r="G743" t="inlineStr">
        <is>
          <t>NYBRO</t>
        </is>
      </c>
      <c r="I743" t="n">
        <v>1.2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47270-2024</t>
        </is>
      </c>
      <c r="B744" t="inlineStr">
        <is>
          <t>avverkningsanmälan</t>
        </is>
      </c>
      <c r="C744" t="inlineStr">
        <is>
          <t>Avverkning för annat ändamål</t>
        </is>
      </c>
      <c r="D744" s="1" t="n">
        <v>45586</v>
      </c>
      <c r="E744" s="1" t="n">
        <v>46313</v>
      </c>
      <c r="F744" t="inlineStr">
        <is>
          <t>KALMAR LÄN</t>
        </is>
      </c>
      <c r="G744" t="inlineStr">
        <is>
          <t>NYBRO</t>
        </is>
      </c>
      <c r="I744" t="n">
        <v>0.5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34617-2026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46255</v>
      </c>
      <c r="E745" s="1" t="n">
        <v>46313</v>
      </c>
      <c r="F745" t="inlineStr">
        <is>
          <t>KALMAR LÄN</t>
        </is>
      </c>
      <c r="G745" t="inlineStr">
        <is>
          <t>NYBRO</t>
        </is>
      </c>
      <c r="I745" t="n">
        <v>0.9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41309-2026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46300</v>
      </c>
      <c r="E746" s="1" t="n">
        <v>46313</v>
      </c>
      <c r="F746" t="inlineStr">
        <is>
          <t>KALMAR LÄN</t>
        </is>
      </c>
      <c r="G746" t="inlineStr">
        <is>
          <t>NYBRO</t>
        </is>
      </c>
      <c r="I746" t="n">
        <v>1.8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41318-2026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46300</v>
      </c>
      <c r="E747" s="1" t="n">
        <v>46313</v>
      </c>
      <c r="F747" t="inlineStr">
        <is>
          <t>KALMAR LÄN</t>
        </is>
      </c>
      <c r="G747" t="inlineStr">
        <is>
          <t>NYBRO</t>
        </is>
      </c>
      <c r="H747" t="inlineStr">
        <is>
          <t>Sveaskog</t>
        </is>
      </c>
      <c r="I747" t="n">
        <v>0.6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7424-2022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44606</v>
      </c>
      <c r="E748" s="1" t="n">
        <v>46313</v>
      </c>
      <c r="F748" t="inlineStr">
        <is>
          <t>KALMAR LÄN</t>
        </is>
      </c>
      <c r="G748" t="inlineStr">
        <is>
          <t>NYBRO</t>
        </is>
      </c>
      <c r="I748" t="n">
        <v>6.2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41246-2026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46300</v>
      </c>
      <c r="E749" s="1" t="n">
        <v>46313</v>
      </c>
      <c r="F749" t="inlineStr">
        <is>
          <t>KALMAR LÄN</t>
        </is>
      </c>
      <c r="G749" t="inlineStr">
        <is>
          <t>NYBRO</t>
        </is>
      </c>
      <c r="I749" t="n">
        <v>0.7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38170-2024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45545</v>
      </c>
      <c r="E750" s="1" t="n">
        <v>46313</v>
      </c>
      <c r="F750" t="inlineStr">
        <is>
          <t>KALMAR LÄN</t>
        </is>
      </c>
      <c r="G750" t="inlineStr">
        <is>
          <t>NYBRO</t>
        </is>
      </c>
      <c r="I750" t="n">
        <v>3.7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22974-2024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45449</v>
      </c>
      <c r="E751" s="1" t="n">
        <v>46313</v>
      </c>
      <c r="F751" t="inlineStr">
        <is>
          <t>KALMAR LÄN</t>
        </is>
      </c>
      <c r="G751" t="inlineStr">
        <is>
          <t>NYBRO</t>
        </is>
      </c>
      <c r="I751" t="n">
        <v>8.4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41319-2026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46300</v>
      </c>
      <c r="E752" s="1" t="n">
        <v>46313</v>
      </c>
      <c r="F752" t="inlineStr">
        <is>
          <t>KALMAR LÄN</t>
        </is>
      </c>
      <c r="G752" t="inlineStr">
        <is>
          <t>NYBRO</t>
        </is>
      </c>
      <c r="H752" t="inlineStr">
        <is>
          <t>Sveaskog</t>
        </is>
      </c>
      <c r="I752" t="n">
        <v>2.1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41320-2026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46300</v>
      </c>
      <c r="E753" s="1" t="n">
        <v>46313</v>
      </c>
      <c r="F753" t="inlineStr">
        <is>
          <t>KALMAR LÄN</t>
        </is>
      </c>
      <c r="G753" t="inlineStr">
        <is>
          <t>NYBRO</t>
        </is>
      </c>
      <c r="H753" t="inlineStr">
        <is>
          <t>Sveaskog</t>
        </is>
      </c>
      <c r="I753" t="n">
        <v>1.2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22435-2023</t>
        </is>
      </c>
      <c r="B754" t="inlineStr">
        <is>
          <t>avverkningsanmälan</t>
        </is>
      </c>
      <c r="C754" t="inlineStr">
        <is>
          <t>Avverkning för annat ändamål</t>
        </is>
      </c>
      <c r="D754" s="1" t="n">
        <v>45070</v>
      </c>
      <c r="E754" s="1" t="n">
        <v>46313</v>
      </c>
      <c r="F754" t="inlineStr">
        <is>
          <t>KALMAR LÄN</t>
        </is>
      </c>
      <c r="G754" t="inlineStr">
        <is>
          <t>NYBRO</t>
        </is>
      </c>
      <c r="I754" t="n">
        <v>1.4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50586-2024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45601</v>
      </c>
      <c r="E755" s="1" t="n">
        <v>46313</v>
      </c>
      <c r="F755" t="inlineStr">
        <is>
          <t>KALMAR LÄN</t>
        </is>
      </c>
      <c r="G755" t="inlineStr">
        <is>
          <t>NYBRO</t>
        </is>
      </c>
      <c r="I755" t="n">
        <v>1.3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27966-2024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45476</v>
      </c>
      <c r="E756" s="1" t="n">
        <v>46313</v>
      </c>
      <c r="F756" t="inlineStr">
        <is>
          <t>KALMAR LÄN</t>
        </is>
      </c>
      <c r="G756" t="inlineStr">
        <is>
          <t>NYBRO</t>
        </is>
      </c>
      <c r="I756" t="n">
        <v>1.4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30173-2024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45489</v>
      </c>
      <c r="E757" s="1" t="n">
        <v>46313</v>
      </c>
      <c r="F757" t="inlineStr">
        <is>
          <t>KALMAR LÄN</t>
        </is>
      </c>
      <c r="G757" t="inlineStr">
        <is>
          <t>NYBRO</t>
        </is>
      </c>
      <c r="I757" t="n">
        <v>2.2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28791-2026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46198</v>
      </c>
      <c r="E758" s="1" t="n">
        <v>46313</v>
      </c>
      <c r="F758" t="inlineStr">
        <is>
          <t>KALMAR LÄN</t>
        </is>
      </c>
      <c r="G758" t="inlineStr">
        <is>
          <t>NYBRO</t>
        </is>
      </c>
      <c r="I758" t="n">
        <v>1.1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41326-2026</t>
        </is>
      </c>
      <c r="B759" t="inlineStr">
        <is>
          <t>avverkningsanmälan</t>
        </is>
      </c>
      <c r="C759" t="inlineStr">
        <is>
          <t>Avverkning för annat ändamål</t>
        </is>
      </c>
      <c r="D759" s="1" t="n">
        <v>46301</v>
      </c>
      <c r="E759" s="1" t="n">
        <v>46313</v>
      </c>
      <c r="F759" t="inlineStr">
        <is>
          <t>KALMAR LÄN</t>
        </is>
      </c>
      <c r="G759" t="inlineStr">
        <is>
          <t>NYBRO</t>
        </is>
      </c>
      <c r="I759" t="n">
        <v>0.4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47335-2024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45587</v>
      </c>
      <c r="E760" s="1" t="n">
        <v>46313</v>
      </c>
      <c r="F760" t="inlineStr">
        <is>
          <t>KALMAR LÄN</t>
        </is>
      </c>
      <c r="G760" t="inlineStr">
        <is>
          <t>NYBRO</t>
        </is>
      </c>
      <c r="I760" t="n">
        <v>8.699999999999999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27673-2026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46190</v>
      </c>
      <c r="E761" s="1" t="n">
        <v>46313</v>
      </c>
      <c r="F761" t="inlineStr">
        <is>
          <t>KALMAR LÄN</t>
        </is>
      </c>
      <c r="G761" t="inlineStr">
        <is>
          <t>NYBRO</t>
        </is>
      </c>
      <c r="I761" t="n">
        <v>3.2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41200-2026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46300</v>
      </c>
      <c r="E762" s="1" t="n">
        <v>46313</v>
      </c>
      <c r="F762" t="inlineStr">
        <is>
          <t>KALMAR LÄN</t>
        </is>
      </c>
      <c r="G762" t="inlineStr">
        <is>
          <t>NYBRO</t>
        </is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22042-2025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45785</v>
      </c>
      <c r="E763" s="1" t="n">
        <v>46313</v>
      </c>
      <c r="F763" t="inlineStr">
        <is>
          <t>KALMAR LÄN</t>
        </is>
      </c>
      <c r="G763" t="inlineStr">
        <is>
          <t>NYBRO</t>
        </is>
      </c>
      <c r="I763" t="n">
        <v>0.8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53649-2023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45230</v>
      </c>
      <c r="E764" s="1" t="n">
        <v>46313</v>
      </c>
      <c r="F764" t="inlineStr">
        <is>
          <t>KALMAR LÄN</t>
        </is>
      </c>
      <c r="G764" t="inlineStr">
        <is>
          <t>NYBRO</t>
        </is>
      </c>
      <c r="I764" t="n">
        <v>2.5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41248-2026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46300</v>
      </c>
      <c r="E765" s="1" t="n">
        <v>46313</v>
      </c>
      <c r="F765" t="inlineStr">
        <is>
          <t>KALMAR LÄN</t>
        </is>
      </c>
      <c r="G765" t="inlineStr">
        <is>
          <t>NYBRO</t>
        </is>
      </c>
      <c r="I765" t="n">
        <v>1.4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30076-2024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45489</v>
      </c>
      <c r="E766" s="1" t="n">
        <v>46313</v>
      </c>
      <c r="F766" t="inlineStr">
        <is>
          <t>KALMAR LÄN</t>
        </is>
      </c>
      <c r="G766" t="inlineStr">
        <is>
          <t>NYBRO</t>
        </is>
      </c>
      <c r="I766" t="n">
        <v>5.6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56972-2024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45625</v>
      </c>
      <c r="E767" s="1" t="n">
        <v>46313</v>
      </c>
      <c r="F767" t="inlineStr">
        <is>
          <t>KALMAR LÄN</t>
        </is>
      </c>
      <c r="G767" t="inlineStr">
        <is>
          <t>NYBRO</t>
        </is>
      </c>
      <c r="I767" t="n">
        <v>3.8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7830-2025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45706</v>
      </c>
      <c r="E768" s="1" t="n">
        <v>46313</v>
      </c>
      <c r="F768" t="inlineStr">
        <is>
          <t>KALMAR LÄN</t>
        </is>
      </c>
      <c r="G768" t="inlineStr">
        <is>
          <t>NYBRO</t>
        </is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22302-2025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45786</v>
      </c>
      <c r="E769" s="1" t="n">
        <v>46313</v>
      </c>
      <c r="F769" t="inlineStr">
        <is>
          <t>KALMAR LÄN</t>
        </is>
      </c>
      <c r="G769" t="inlineStr">
        <is>
          <t>NYBRO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2184-2025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45673</v>
      </c>
      <c r="E770" s="1" t="n">
        <v>46313</v>
      </c>
      <c r="F770" t="inlineStr">
        <is>
          <t>KALMAR LÄN</t>
        </is>
      </c>
      <c r="G770" t="inlineStr">
        <is>
          <t>NYBRO</t>
        </is>
      </c>
      <c r="I770" t="n">
        <v>4.4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43984-2024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45572</v>
      </c>
      <c r="E771" s="1" t="n">
        <v>46313</v>
      </c>
      <c r="F771" t="inlineStr">
        <is>
          <t>KALMAR LÄN</t>
        </is>
      </c>
      <c r="G771" t="inlineStr">
        <is>
          <t>NYBRO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686-2025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45665</v>
      </c>
      <c r="E772" s="1" t="n">
        <v>46313</v>
      </c>
      <c r="F772" t="inlineStr">
        <is>
          <t>KALMAR LÄN</t>
        </is>
      </c>
      <c r="G772" t="inlineStr">
        <is>
          <t>NYBRO</t>
        </is>
      </c>
      <c r="I772" t="n">
        <v>1.9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36374-2024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45534</v>
      </c>
      <c r="E773" s="1" t="n">
        <v>46313</v>
      </c>
      <c r="F773" t="inlineStr">
        <is>
          <t>KALMAR LÄN</t>
        </is>
      </c>
      <c r="G773" t="inlineStr">
        <is>
          <t>NYBRO</t>
        </is>
      </c>
      <c r="I773" t="n">
        <v>1.4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9005-2024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45357</v>
      </c>
      <c r="E774" s="1" t="n">
        <v>46313</v>
      </c>
      <c r="F774" t="inlineStr">
        <is>
          <t>KALMAR LÄN</t>
        </is>
      </c>
      <c r="G774" t="inlineStr">
        <is>
          <t>NYBRO</t>
        </is>
      </c>
      <c r="I774" t="n">
        <v>3.6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1079-2024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45301</v>
      </c>
      <c r="E775" s="1" t="n">
        <v>46313</v>
      </c>
      <c r="F775" t="inlineStr">
        <is>
          <t>KALMAR LÄN</t>
        </is>
      </c>
      <c r="G775" t="inlineStr">
        <is>
          <t>NYBRO</t>
        </is>
      </c>
      <c r="I775" t="n">
        <v>4.4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15510-2024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45401</v>
      </c>
      <c r="E776" s="1" t="n">
        <v>46313</v>
      </c>
      <c r="F776" t="inlineStr">
        <is>
          <t>KALMAR LÄN</t>
        </is>
      </c>
      <c r="G776" t="inlineStr">
        <is>
          <t>NYBRO</t>
        </is>
      </c>
      <c r="I776" t="n">
        <v>0.8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40631-2026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46295</v>
      </c>
      <c r="E777" s="1" t="n">
        <v>46313</v>
      </c>
      <c r="F777" t="inlineStr">
        <is>
          <t>KALMAR LÄN</t>
        </is>
      </c>
      <c r="G777" t="inlineStr">
        <is>
          <t>NYBRO</t>
        </is>
      </c>
      <c r="I777" t="n">
        <v>1.6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10631-2024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45367</v>
      </c>
      <c r="E778" s="1" t="n">
        <v>46313</v>
      </c>
      <c r="F778" t="inlineStr">
        <is>
          <t>KALMAR LÄN</t>
        </is>
      </c>
      <c r="G778" t="inlineStr">
        <is>
          <t>NYBRO</t>
        </is>
      </c>
      <c r="I778" t="n">
        <v>1.6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41467-2026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46301</v>
      </c>
      <c r="E779" s="1" t="n">
        <v>46313</v>
      </c>
      <c r="F779" t="inlineStr">
        <is>
          <t>KALMAR LÄN</t>
        </is>
      </c>
      <c r="G779" t="inlineStr">
        <is>
          <t>NYBRO</t>
        </is>
      </c>
      <c r="I779" t="n">
        <v>0.3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57716-2023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45246</v>
      </c>
      <c r="E780" s="1" t="n">
        <v>46313</v>
      </c>
      <c r="F780" t="inlineStr">
        <is>
          <t>KALMAR LÄN</t>
        </is>
      </c>
      <c r="G780" t="inlineStr">
        <is>
          <t>NYBRO</t>
        </is>
      </c>
      <c r="I780" t="n">
        <v>5.2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11014-2024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45370</v>
      </c>
      <c r="E781" s="1" t="n">
        <v>46313</v>
      </c>
      <c r="F781" t="inlineStr">
        <is>
          <t>KALMAR LÄN</t>
        </is>
      </c>
      <c r="G781" t="inlineStr">
        <is>
          <t>NYBRO</t>
        </is>
      </c>
      <c r="I781" t="n">
        <v>2.3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40632-2026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46295</v>
      </c>
      <c r="E782" s="1" t="n">
        <v>46313</v>
      </c>
      <c r="F782" t="inlineStr">
        <is>
          <t>KALMAR LÄN</t>
        </is>
      </c>
      <c r="G782" t="inlineStr">
        <is>
          <t>NYBRO</t>
        </is>
      </c>
      <c r="I782" t="n">
        <v>2.3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41461-2026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46301</v>
      </c>
      <c r="E783" s="1" t="n">
        <v>46313</v>
      </c>
      <c r="F783" t="inlineStr">
        <is>
          <t>KALMAR LÄN</t>
        </is>
      </c>
      <c r="G783" t="inlineStr">
        <is>
          <t>NYBRO</t>
        </is>
      </c>
      <c r="I783" t="n">
        <v>12.5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41794-2026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46303</v>
      </c>
      <c r="E784" s="1" t="n">
        <v>46313</v>
      </c>
      <c r="F784" t="inlineStr">
        <is>
          <t>KALMAR LÄN</t>
        </is>
      </c>
      <c r="G784" t="inlineStr">
        <is>
          <t>NYBRO</t>
        </is>
      </c>
      <c r="I784" t="n">
        <v>0.9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41725-2026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46302</v>
      </c>
      <c r="E785" s="1" t="n">
        <v>46313</v>
      </c>
      <c r="F785" t="inlineStr">
        <is>
          <t>KALMAR LÄN</t>
        </is>
      </c>
      <c r="G785" t="inlineStr">
        <is>
          <t>NYBRO</t>
        </is>
      </c>
      <c r="I785" t="n">
        <v>2.5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35347-2026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46261</v>
      </c>
      <c r="E786" s="1" t="n">
        <v>46313</v>
      </c>
      <c r="F786" t="inlineStr">
        <is>
          <t>KALMAR LÄN</t>
        </is>
      </c>
      <c r="G786" t="inlineStr">
        <is>
          <t>NYBRO</t>
        </is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6857-2025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45701</v>
      </c>
      <c r="E787" s="1" t="n">
        <v>46313</v>
      </c>
      <c r="F787" t="inlineStr">
        <is>
          <t>KALMAR LÄN</t>
        </is>
      </c>
      <c r="G787" t="inlineStr">
        <is>
          <t>NYBRO</t>
        </is>
      </c>
      <c r="I787" t="n">
        <v>0.9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18092-2025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45761</v>
      </c>
      <c r="E788" s="1" t="n">
        <v>46313</v>
      </c>
      <c r="F788" t="inlineStr">
        <is>
          <t>KALMAR LÄN</t>
        </is>
      </c>
      <c r="G788" t="inlineStr">
        <is>
          <t>NYBRO</t>
        </is>
      </c>
      <c r="I788" t="n">
        <v>0.9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1574-2026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46034</v>
      </c>
      <c r="E789" s="1" t="n">
        <v>46313</v>
      </c>
      <c r="F789" t="inlineStr">
        <is>
          <t>KALMAR LÄN</t>
        </is>
      </c>
      <c r="G789" t="inlineStr">
        <is>
          <t>NYBRO</t>
        </is>
      </c>
      <c r="I789" t="n">
        <v>4.5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19943-2022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44697</v>
      </c>
      <c r="E790" s="1" t="n">
        <v>46313</v>
      </c>
      <c r="F790" t="inlineStr">
        <is>
          <t>KALMAR LÄN</t>
        </is>
      </c>
      <c r="G790" t="inlineStr">
        <is>
          <t>NYBRO</t>
        </is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26303-2026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46181</v>
      </c>
      <c r="E791" s="1" t="n">
        <v>46313</v>
      </c>
      <c r="F791" t="inlineStr">
        <is>
          <t>KALMAR LÄN</t>
        </is>
      </c>
      <c r="G791" t="inlineStr">
        <is>
          <t>NYBRO</t>
        </is>
      </c>
      <c r="H791" t="inlineStr">
        <is>
          <t>Kyrkan</t>
        </is>
      </c>
      <c r="I791" t="n">
        <v>4.8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42271-2026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46307</v>
      </c>
      <c r="E792" s="1" t="n">
        <v>46313</v>
      </c>
      <c r="F792" t="inlineStr">
        <is>
          <t>KALMAR LÄN</t>
        </is>
      </c>
      <c r="G792" t="inlineStr">
        <is>
          <t>NYBRO</t>
        </is>
      </c>
      <c r="I792" t="n">
        <v>0.7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34362-2024</t>
        </is>
      </c>
      <c r="B793" t="inlineStr">
        <is>
          <t>avverkningsanmälan</t>
        </is>
      </c>
      <c r="C793" t="inlineStr">
        <is>
          <t>Avverkning för att bevara och utveckla /försöksver</t>
        </is>
      </c>
      <c r="D793" s="1" t="n">
        <v>45525</v>
      </c>
      <c r="E793" s="1" t="n">
        <v>46313</v>
      </c>
      <c r="F793" t="inlineStr">
        <is>
          <t>KALMAR LÄN</t>
        </is>
      </c>
      <c r="G793" t="inlineStr">
        <is>
          <t>NYBRO</t>
        </is>
      </c>
      <c r="I793" t="n">
        <v>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27320-2025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45812</v>
      </c>
      <c r="E794" s="1" t="n">
        <v>46313</v>
      </c>
      <c r="F794" t="inlineStr">
        <is>
          <t>KALMAR LÄN</t>
        </is>
      </c>
      <c r="G794" t="inlineStr">
        <is>
          <t>NYBRO</t>
        </is>
      </c>
      <c r="I794" t="n">
        <v>0.5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28362-2025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45818</v>
      </c>
      <c r="E795" s="1" t="n">
        <v>46313</v>
      </c>
      <c r="F795" t="inlineStr">
        <is>
          <t>KALMAR LÄN</t>
        </is>
      </c>
      <c r="G795" t="inlineStr">
        <is>
          <t>NYBRO</t>
        </is>
      </c>
      <c r="I795" t="n">
        <v>1.8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29059-2025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45821</v>
      </c>
      <c r="E796" s="1" t="n">
        <v>46313</v>
      </c>
      <c r="F796" t="inlineStr">
        <is>
          <t>KALMAR LÄN</t>
        </is>
      </c>
      <c r="G796" t="inlineStr">
        <is>
          <t>NYBRO</t>
        </is>
      </c>
      <c r="I796" t="n">
        <v>6.3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29586-2025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45825</v>
      </c>
      <c r="E797" s="1" t="n">
        <v>46313</v>
      </c>
      <c r="F797" t="inlineStr">
        <is>
          <t>KALMAR LÄN</t>
        </is>
      </c>
      <c r="G797" t="inlineStr">
        <is>
          <t>NYBRO</t>
        </is>
      </c>
      <c r="I797" t="n">
        <v>0.8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29368-2025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45824</v>
      </c>
      <c r="E798" s="1" t="n">
        <v>46313</v>
      </c>
      <c r="F798" t="inlineStr">
        <is>
          <t>KALMAR LÄN</t>
        </is>
      </c>
      <c r="G798" t="inlineStr">
        <is>
          <t>NYBRO</t>
        </is>
      </c>
      <c r="H798" t="inlineStr">
        <is>
          <t>Sveaskog</t>
        </is>
      </c>
      <c r="I798" t="n">
        <v>1.6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36578-2026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46269</v>
      </c>
      <c r="E799" s="1" t="n">
        <v>46313</v>
      </c>
      <c r="F799" t="inlineStr">
        <is>
          <t>KALMAR LÄN</t>
        </is>
      </c>
      <c r="G799" t="inlineStr">
        <is>
          <t>NYBRO</t>
        </is>
      </c>
      <c r="I799" t="n">
        <v>2.3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36465-2026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46269</v>
      </c>
      <c r="E800" s="1" t="n">
        <v>46313</v>
      </c>
      <c r="F800" t="inlineStr">
        <is>
          <t>KALMAR LÄN</t>
        </is>
      </c>
      <c r="G800" t="inlineStr">
        <is>
          <t>NYBRO</t>
        </is>
      </c>
      <c r="I800" t="n">
        <v>0.7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29320-2025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45824</v>
      </c>
      <c r="E801" s="1" t="n">
        <v>46313</v>
      </c>
      <c r="F801" t="inlineStr">
        <is>
          <t>KALMAR LÄN</t>
        </is>
      </c>
      <c r="G801" t="inlineStr">
        <is>
          <t>NYBRO</t>
        </is>
      </c>
      <c r="I801" t="n">
        <v>2.2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31540-2025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45833</v>
      </c>
      <c r="E802" s="1" t="n">
        <v>46313</v>
      </c>
      <c r="F802" t="inlineStr">
        <is>
          <t>KALMAR LÄN</t>
        </is>
      </c>
      <c r="G802" t="inlineStr">
        <is>
          <t>NYBRO</t>
        </is>
      </c>
      <c r="I802" t="n">
        <v>1.5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31753-2025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45834</v>
      </c>
      <c r="E803" s="1" t="n">
        <v>46313</v>
      </c>
      <c r="F803" t="inlineStr">
        <is>
          <t>KALMAR LÄN</t>
        </is>
      </c>
      <c r="G803" t="inlineStr">
        <is>
          <t>NYBRO</t>
        </is>
      </c>
      <c r="I803" t="n">
        <v>1.5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31747-2025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45834</v>
      </c>
      <c r="E804" s="1" t="n">
        <v>46313</v>
      </c>
      <c r="F804" t="inlineStr">
        <is>
          <t>KALMAR LÄN</t>
        </is>
      </c>
      <c r="G804" t="inlineStr">
        <is>
          <t>NYBRO</t>
        </is>
      </c>
      <c r="I804" t="n">
        <v>0.9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31707-2025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45834</v>
      </c>
      <c r="E805" s="1" t="n">
        <v>46313</v>
      </c>
      <c r="F805" t="inlineStr">
        <is>
          <t>KALMAR LÄN</t>
        </is>
      </c>
      <c r="G805" t="inlineStr">
        <is>
          <t>NYBRO</t>
        </is>
      </c>
      <c r="I805" t="n">
        <v>0.7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31763-2025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45834</v>
      </c>
      <c r="E806" s="1" t="n">
        <v>46313</v>
      </c>
      <c r="F806" t="inlineStr">
        <is>
          <t>KALMAR LÄN</t>
        </is>
      </c>
      <c r="G806" t="inlineStr">
        <is>
          <t>NYBRO</t>
        </is>
      </c>
      <c r="I806" t="n">
        <v>1.3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32344-2025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45837</v>
      </c>
      <c r="E807" s="1" t="n">
        <v>46313</v>
      </c>
      <c r="F807" t="inlineStr">
        <is>
          <t>KALMAR LÄN</t>
        </is>
      </c>
      <c r="G807" t="inlineStr">
        <is>
          <t>NYBRO</t>
        </is>
      </c>
      <c r="I807" t="n">
        <v>0.9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32347-2025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45837</v>
      </c>
      <c r="E808" s="1" t="n">
        <v>46313</v>
      </c>
      <c r="F808" t="inlineStr">
        <is>
          <t>KALMAR LÄN</t>
        </is>
      </c>
      <c r="G808" t="inlineStr">
        <is>
          <t>NYBRO</t>
        </is>
      </c>
      <c r="I808" t="n">
        <v>1.3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54249-2024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45616</v>
      </c>
      <c r="E809" s="1" t="n">
        <v>46313</v>
      </c>
      <c r="F809" t="inlineStr">
        <is>
          <t>KALMAR LÄN</t>
        </is>
      </c>
      <c r="G809" t="inlineStr">
        <is>
          <t>NYBRO</t>
        </is>
      </c>
      <c r="I809" t="n">
        <v>2.9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54245-2024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45616</v>
      </c>
      <c r="E810" s="1" t="n">
        <v>46313</v>
      </c>
      <c r="F810" t="inlineStr">
        <is>
          <t>KALMAR LÄN</t>
        </is>
      </c>
      <c r="G810" t="inlineStr">
        <is>
          <t>NYBRO</t>
        </is>
      </c>
      <c r="I810" t="n">
        <v>10.1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27930-2025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45817</v>
      </c>
      <c r="E811" s="1" t="n">
        <v>46313</v>
      </c>
      <c r="F811" t="inlineStr">
        <is>
          <t>KALMAR LÄN</t>
        </is>
      </c>
      <c r="G811" t="inlineStr">
        <is>
          <t>NYBRO</t>
        </is>
      </c>
      <c r="I811" t="n">
        <v>1.5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34346-2025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45846</v>
      </c>
      <c r="E812" s="1" t="n">
        <v>46313</v>
      </c>
      <c r="F812" t="inlineStr">
        <is>
          <t>KALMAR LÄN</t>
        </is>
      </c>
      <c r="G812" t="inlineStr">
        <is>
          <t>NYBRO</t>
        </is>
      </c>
      <c r="I812" t="n">
        <v>1.1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34350-2025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45846</v>
      </c>
      <c r="E813" s="1" t="n">
        <v>46313</v>
      </c>
      <c r="F813" t="inlineStr">
        <is>
          <t>KALMAR LÄN</t>
        </is>
      </c>
      <c r="G813" t="inlineStr">
        <is>
          <t>NYBRO</t>
        </is>
      </c>
      <c r="I813" t="n">
        <v>2.5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35147-2025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45852</v>
      </c>
      <c r="E814" s="1" t="n">
        <v>46313</v>
      </c>
      <c r="F814" t="inlineStr">
        <is>
          <t>KALMAR LÄN</t>
        </is>
      </c>
      <c r="G814" t="inlineStr">
        <is>
          <t>NYBRO</t>
        </is>
      </c>
      <c r="I814" t="n">
        <v>0.5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35522-2025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45856</v>
      </c>
      <c r="E815" s="1" t="n">
        <v>46313</v>
      </c>
      <c r="F815" t="inlineStr">
        <is>
          <t>KALMAR LÄN</t>
        </is>
      </c>
      <c r="G815" t="inlineStr">
        <is>
          <t>NYBRO</t>
        </is>
      </c>
      <c r="H815" t="inlineStr">
        <is>
          <t>Sveaskog</t>
        </is>
      </c>
      <c r="I815" t="n">
        <v>1.4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35521-2025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45856</v>
      </c>
      <c r="E816" s="1" t="n">
        <v>46313</v>
      </c>
      <c r="F816" t="inlineStr">
        <is>
          <t>KALMAR LÄN</t>
        </is>
      </c>
      <c r="G816" t="inlineStr">
        <is>
          <t>NYBRO</t>
        </is>
      </c>
      <c r="H816" t="inlineStr">
        <is>
          <t>Sveaskog</t>
        </is>
      </c>
      <c r="I816" t="n">
        <v>0.8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28363-2025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45818</v>
      </c>
      <c r="E817" s="1" t="n">
        <v>46313</v>
      </c>
      <c r="F817" t="inlineStr">
        <is>
          <t>KALMAR LÄN</t>
        </is>
      </c>
      <c r="G817" t="inlineStr">
        <is>
          <t>NYBRO</t>
        </is>
      </c>
      <c r="I817" t="n">
        <v>5.9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54255-2024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45616</v>
      </c>
      <c r="E818" s="1" t="n">
        <v>46313</v>
      </c>
      <c r="F818" t="inlineStr">
        <is>
          <t>KALMAR LÄN</t>
        </is>
      </c>
      <c r="G818" t="inlineStr">
        <is>
          <t>NYBRO</t>
        </is>
      </c>
      <c r="I818" t="n">
        <v>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37845-2025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45881</v>
      </c>
      <c r="E819" s="1" t="n">
        <v>46313</v>
      </c>
      <c r="F819" t="inlineStr">
        <is>
          <t>KALMAR LÄN</t>
        </is>
      </c>
      <c r="G819" t="inlineStr">
        <is>
          <t>NYBRO</t>
        </is>
      </c>
      <c r="H819" t="inlineStr">
        <is>
          <t>Kommuner</t>
        </is>
      </c>
      <c r="I819" t="n">
        <v>1.3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37559-2025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45880</v>
      </c>
      <c r="E820" s="1" t="n">
        <v>46313</v>
      </c>
      <c r="F820" t="inlineStr">
        <is>
          <t>KALMAR LÄN</t>
        </is>
      </c>
      <c r="G820" t="inlineStr">
        <is>
          <t>NYBRO</t>
        </is>
      </c>
      <c r="I820" t="n">
        <v>0.6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37556-2025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45880</v>
      </c>
      <c r="E821" s="1" t="n">
        <v>46313</v>
      </c>
      <c r="F821" t="inlineStr">
        <is>
          <t>KALMAR LÄN</t>
        </is>
      </c>
      <c r="G821" t="inlineStr">
        <is>
          <t>NYBRO</t>
        </is>
      </c>
      <c r="I821" t="n">
        <v>1.2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38202-2025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45882</v>
      </c>
      <c r="E822" s="1" t="n">
        <v>46313</v>
      </c>
      <c r="F822" t="inlineStr">
        <is>
          <t>KALMAR LÄN</t>
        </is>
      </c>
      <c r="G822" t="inlineStr">
        <is>
          <t>NYBRO</t>
        </is>
      </c>
      <c r="I822" t="n">
        <v>3.3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38203-2025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45882</v>
      </c>
      <c r="E823" s="1" t="n">
        <v>46313</v>
      </c>
      <c r="F823" t="inlineStr">
        <is>
          <t>KALMAR LÄN</t>
        </is>
      </c>
      <c r="G823" t="inlineStr">
        <is>
          <t>NYBRO</t>
        </is>
      </c>
      <c r="I823" t="n">
        <v>3.3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38399-2025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45883</v>
      </c>
      <c r="E824" s="1" t="n">
        <v>46313</v>
      </c>
      <c r="F824" t="inlineStr">
        <is>
          <t>KALMAR LÄN</t>
        </is>
      </c>
      <c r="G824" t="inlineStr">
        <is>
          <t>NYBRO</t>
        </is>
      </c>
      <c r="I824" t="n">
        <v>3.5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38413-2025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45883</v>
      </c>
      <c r="E825" s="1" t="n">
        <v>46313</v>
      </c>
      <c r="F825" t="inlineStr">
        <is>
          <t>KALMAR LÄN</t>
        </is>
      </c>
      <c r="G825" t="inlineStr">
        <is>
          <t>NYBRO</t>
        </is>
      </c>
      <c r="I825" t="n">
        <v>4.8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S 2018-2022</t>
        </is>
      </c>
      <c r="B826" t="inlineStr">
        <is>
          <t>samrådsanmälan</t>
        </is>
      </c>
      <c r="C826" t="inlineStr">
        <is>
          <t>Annan skogsbruksåtgärd</t>
        </is>
      </c>
      <c r="D826" s="1" t="n">
        <v>44665</v>
      </c>
      <c r="E826" s="1" t="n">
        <v>46313</v>
      </c>
      <c r="F826" t="inlineStr">
        <is>
          <t>KALMAR LÄN</t>
        </is>
      </c>
      <c r="G826" t="inlineStr">
        <is>
          <t>NYBRO</t>
        </is>
      </c>
      <c r="I826" t="n">
        <v>1.7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S 645-2023</t>
        </is>
      </c>
      <c r="B827" t="inlineStr">
        <is>
          <t>samrådsanmälan</t>
        </is>
      </c>
      <c r="C827" t="inlineStr">
        <is>
          <t>Askåterföring</t>
        </is>
      </c>
      <c r="D827" s="1" t="n">
        <v>44973</v>
      </c>
      <c r="E827" s="1" t="n">
        <v>46313</v>
      </c>
      <c r="F827" t="inlineStr">
        <is>
          <t>KALMAR LÄN</t>
        </is>
      </c>
      <c r="G827" t="inlineStr">
        <is>
          <t>NYBRO</t>
        </is>
      </c>
      <c r="I827" t="n">
        <v>14.5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S 1512-2024</t>
        </is>
      </c>
      <c r="B828" t="inlineStr">
        <is>
          <t>samrådsanmälan</t>
        </is>
      </c>
      <c r="C828" t="inlineStr">
        <is>
          <t>Askåterföring</t>
        </is>
      </c>
      <c r="D828" s="1" t="n">
        <v>45422</v>
      </c>
      <c r="E828" s="1" t="n">
        <v>46313</v>
      </c>
      <c r="F828" t="inlineStr">
        <is>
          <t>KALMAR LÄN</t>
        </is>
      </c>
      <c r="G828" t="inlineStr">
        <is>
          <t>NYBRO</t>
        </is>
      </c>
      <c r="I828" t="n">
        <v>10.6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S 5165-2024</t>
        </is>
      </c>
      <c r="B829" t="inlineStr">
        <is>
          <t>samrådsanmälan</t>
        </is>
      </c>
      <c r="C829" t="inlineStr">
        <is>
          <t>Askåterföring</t>
        </is>
      </c>
      <c r="D829" s="1" t="n">
        <v>45649</v>
      </c>
      <c r="E829" s="1" t="n">
        <v>46313</v>
      </c>
      <c r="F829" t="inlineStr">
        <is>
          <t>KALMAR LÄN</t>
        </is>
      </c>
      <c r="G829" t="inlineStr">
        <is>
          <t>NYBRO</t>
        </is>
      </c>
      <c r="I829" t="n">
        <v>2.4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S 2203-2024</t>
        </is>
      </c>
      <c r="B830" t="inlineStr">
        <is>
          <t>samrådsanmälan</t>
        </is>
      </c>
      <c r="C830" t="inlineStr">
        <is>
          <t>Annan skogsbruksåtgärd</t>
        </is>
      </c>
      <c r="D830" s="1" t="n">
        <v>45457</v>
      </c>
      <c r="E830" s="1" t="n">
        <v>46313</v>
      </c>
      <c r="F830" t="inlineStr">
        <is>
          <t>KALMAR LÄN</t>
        </is>
      </c>
      <c r="G830" t="inlineStr">
        <is>
          <t>NYBRO</t>
        </is>
      </c>
      <c r="I830" t="n">
        <v>1.5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S 1948-2023</t>
        </is>
      </c>
      <c r="B831" t="inlineStr">
        <is>
          <t>samrådsanmälan</t>
        </is>
      </c>
      <c r="C831" t="inlineStr">
        <is>
          <t>Annan skogsbruksåtgärd</t>
        </is>
      </c>
      <c r="D831" s="1" t="n">
        <v>45088</v>
      </c>
      <c r="E831" s="1" t="n">
        <v>46313</v>
      </c>
      <c r="F831" t="inlineStr">
        <is>
          <t>KALMAR LÄN</t>
        </is>
      </c>
      <c r="G831" t="inlineStr">
        <is>
          <t>NYBRO</t>
        </is>
      </c>
      <c r="I831" t="n">
        <v>1.5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S 2431-2024</t>
        </is>
      </c>
      <c r="B832" t="inlineStr">
        <is>
          <t>samrådsanmälan</t>
        </is>
      </c>
      <c r="C832" t="inlineStr">
        <is>
          <t>Annan skogsbruksåtgärd</t>
        </is>
      </c>
      <c r="D832" s="1" t="n">
        <v>45469</v>
      </c>
      <c r="E832" s="1" t="n">
        <v>46313</v>
      </c>
      <c r="F832" t="inlineStr">
        <is>
          <t>KALMAR LÄN</t>
        </is>
      </c>
      <c r="G832" t="inlineStr">
        <is>
          <t>NYBRO</t>
        </is>
      </c>
      <c r="I832" t="n">
        <v>1.8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S 926-2023</t>
        </is>
      </c>
      <c r="B833" t="inlineStr">
        <is>
          <t>samrådsanmälan</t>
        </is>
      </c>
      <c r="C833" t="inlineStr">
        <is>
          <t>Annan skogsbruksåtgärd</t>
        </is>
      </c>
      <c r="D833" s="1" t="n">
        <v>45000</v>
      </c>
      <c r="E833" s="1" t="n">
        <v>46313</v>
      </c>
      <c r="F833" t="inlineStr">
        <is>
          <t>KALMAR LÄN</t>
        </is>
      </c>
      <c r="G833" t="inlineStr">
        <is>
          <t>NYBRO</t>
        </is>
      </c>
      <c r="I833" t="n">
        <v>3.6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S 3791-2023</t>
        </is>
      </c>
      <c r="B834" t="inlineStr">
        <is>
          <t>samrådsanmälan</t>
        </is>
      </c>
      <c r="C834" t="inlineStr">
        <is>
          <t>Annan skogsbruksåtgärd</t>
        </is>
      </c>
      <c r="D834" s="1" t="n">
        <v>45224</v>
      </c>
      <c r="E834" s="1" t="n">
        <v>46313</v>
      </c>
      <c r="F834" t="inlineStr">
        <is>
          <t>KALMAR LÄN</t>
        </is>
      </c>
      <c r="G834" t="inlineStr">
        <is>
          <t>NYBRO</t>
        </is>
      </c>
      <c r="I834" t="n">
        <v>3.4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S 4042-2024</t>
        </is>
      </c>
      <c r="B835" t="inlineStr">
        <is>
          <t>samrådsanmälan</t>
        </is>
      </c>
      <c r="C835" t="inlineStr">
        <is>
          <t>Askåterföring</t>
        </is>
      </c>
      <c r="D835" s="1" t="n">
        <v>45572</v>
      </c>
      <c r="E835" s="1" t="n">
        <v>46313</v>
      </c>
      <c r="F835" t="inlineStr">
        <is>
          <t>KALMAR LÄN</t>
        </is>
      </c>
      <c r="G835" t="inlineStr">
        <is>
          <t>NYBRO</t>
        </is>
      </c>
      <c r="I835" t="n">
        <v>1.7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S 1593-2023</t>
        </is>
      </c>
      <c r="B836" t="inlineStr">
        <is>
          <t>samrådsanmälan</t>
        </is>
      </c>
      <c r="C836" t="inlineStr">
        <is>
          <t>Askåterföring</t>
        </is>
      </c>
      <c r="D836" s="1" t="n">
        <v>45056</v>
      </c>
      <c r="E836" s="1" t="n">
        <v>46313</v>
      </c>
      <c r="F836" t="inlineStr">
        <is>
          <t>KALMAR LÄN</t>
        </is>
      </c>
      <c r="G836" t="inlineStr">
        <is>
          <t>NYBRO</t>
        </is>
      </c>
      <c r="I836" t="n">
        <v>46.2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S 570-2022</t>
        </is>
      </c>
      <c r="B837" t="inlineStr">
        <is>
          <t>samrådsanmälan</t>
        </is>
      </c>
      <c r="C837" t="inlineStr">
        <is>
          <t>Askåterföring</t>
        </is>
      </c>
      <c r="D837" s="1" t="n">
        <v>44592</v>
      </c>
      <c r="E837" s="1" t="n">
        <v>46313</v>
      </c>
      <c r="F837" t="inlineStr">
        <is>
          <t>KALMAR LÄN</t>
        </is>
      </c>
      <c r="G837" t="inlineStr">
        <is>
          <t>NYBRO</t>
        </is>
      </c>
      <c r="I837" t="n">
        <v>23.4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S 3795-2024</t>
        </is>
      </c>
      <c r="B838" t="inlineStr">
        <is>
          <t>samrådsanmälan</t>
        </is>
      </c>
      <c r="C838" t="inlineStr">
        <is>
          <t>Askåterföring</t>
        </is>
      </c>
      <c r="D838" s="1" t="n">
        <v>45558</v>
      </c>
      <c r="E838" s="1" t="n">
        <v>46313</v>
      </c>
      <c r="F838" t="inlineStr">
        <is>
          <t>KALMAR LÄN</t>
        </is>
      </c>
      <c r="G838" t="inlineStr">
        <is>
          <t>NYBRO</t>
        </is>
      </c>
      <c r="I838" t="n">
        <v>23.6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S 477-2022</t>
        </is>
      </c>
      <c r="B839" t="inlineStr">
        <is>
          <t>samrådsanmälan</t>
        </is>
      </c>
      <c r="C839" t="inlineStr">
        <is>
          <t>Askåterföring</t>
        </is>
      </c>
      <c r="D839" s="1" t="n">
        <v>44587</v>
      </c>
      <c r="E839" s="1" t="n">
        <v>46313</v>
      </c>
      <c r="F839" t="inlineStr">
        <is>
          <t>KALMAR LÄN</t>
        </is>
      </c>
      <c r="G839" t="inlineStr">
        <is>
          <t>NYBRO</t>
        </is>
      </c>
      <c r="I839" t="n">
        <v>10.1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S 4877-2022</t>
        </is>
      </c>
      <c r="B840" t="inlineStr">
        <is>
          <t>samrådsanmälan</t>
        </is>
      </c>
      <c r="C840" t="inlineStr">
        <is>
          <t>Annan skogsbruksåtgärd</t>
        </is>
      </c>
      <c r="D840" s="1" t="n">
        <v>44806</v>
      </c>
      <c r="E840" s="1" t="n">
        <v>46313</v>
      </c>
      <c r="F840" t="inlineStr">
        <is>
          <t>KALMAR LÄN</t>
        </is>
      </c>
      <c r="G840" t="inlineStr">
        <is>
          <t>NYBRO</t>
        </is>
      </c>
      <c r="I840" t="n">
        <v>0.5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S 5164-2024</t>
        </is>
      </c>
      <c r="B841" t="inlineStr">
        <is>
          <t>samrådsanmälan</t>
        </is>
      </c>
      <c r="C841" t="inlineStr">
        <is>
          <t>Askåterföring</t>
        </is>
      </c>
      <c r="D841" s="1" t="n">
        <v>45649</v>
      </c>
      <c r="E841" s="1" t="n">
        <v>46313</v>
      </c>
      <c r="F841" t="inlineStr">
        <is>
          <t>KALMAR LÄN</t>
        </is>
      </c>
      <c r="G841" t="inlineStr">
        <is>
          <t>NYBRO</t>
        </is>
      </c>
      <c r="I841" t="n">
        <v>7.8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S 1608-2023</t>
        </is>
      </c>
      <c r="B842" t="inlineStr">
        <is>
          <t>samrådsanmälan</t>
        </is>
      </c>
      <c r="C842" t="inlineStr">
        <is>
          <t>Askåterföring</t>
        </is>
      </c>
      <c r="D842" s="1" t="n">
        <v>45056</v>
      </c>
      <c r="E842" s="1" t="n">
        <v>46313</v>
      </c>
      <c r="F842" t="inlineStr">
        <is>
          <t>KALMAR LÄN</t>
        </is>
      </c>
      <c r="G842" t="inlineStr">
        <is>
          <t>NYBRO</t>
        </is>
      </c>
      <c r="I842" t="n">
        <v>16.4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S 5162-2024</t>
        </is>
      </c>
      <c r="B843" t="inlineStr">
        <is>
          <t>samrådsanmälan</t>
        </is>
      </c>
      <c r="C843" t="inlineStr">
        <is>
          <t>Askåterföring</t>
        </is>
      </c>
      <c r="D843" s="1" t="n">
        <v>45649</v>
      </c>
      <c r="E843" s="1" t="n">
        <v>46313</v>
      </c>
      <c r="F843" t="inlineStr">
        <is>
          <t>KALMAR LÄN</t>
        </is>
      </c>
      <c r="G843" t="inlineStr">
        <is>
          <t>NYBRO</t>
        </is>
      </c>
      <c r="I843" t="n">
        <v>3.2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S 654-2022</t>
        </is>
      </c>
      <c r="B844" t="inlineStr">
        <is>
          <t>samrådsanmälan</t>
        </is>
      </c>
      <c r="C844" t="inlineStr">
        <is>
          <t>Askåterföring</t>
        </is>
      </c>
      <c r="D844" s="1" t="n">
        <v>44594</v>
      </c>
      <c r="E844" s="1" t="n">
        <v>46313</v>
      </c>
      <c r="F844" t="inlineStr">
        <is>
          <t>KALMAR LÄN</t>
        </is>
      </c>
      <c r="G844" t="inlineStr">
        <is>
          <t>NYBRO</t>
        </is>
      </c>
      <c r="I844" t="n">
        <v>50.7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S 2489-2022</t>
        </is>
      </c>
      <c r="B845" t="inlineStr">
        <is>
          <t>samrådsanmälan</t>
        </is>
      </c>
      <c r="C845" t="inlineStr">
        <is>
          <t>Åtgärd i nyckelbiotop</t>
        </is>
      </c>
      <c r="D845" s="1" t="n">
        <v>44693</v>
      </c>
      <c r="E845" s="1" t="n">
        <v>46313</v>
      </c>
      <c r="F845" t="inlineStr">
        <is>
          <t>KALMAR LÄN</t>
        </is>
      </c>
      <c r="G845" t="inlineStr">
        <is>
          <t>NYBRO</t>
        </is>
      </c>
      <c r="I845" t="n">
        <v>1.5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S 672-2024</t>
        </is>
      </c>
      <c r="B846" t="inlineStr">
        <is>
          <t>samrådsanmälan</t>
        </is>
      </c>
      <c r="C846" t="inlineStr">
        <is>
          <t>Askåterföring</t>
        </is>
      </c>
      <c r="D846" s="1" t="n">
        <v>45357</v>
      </c>
      <c r="E846" s="1" t="n">
        <v>46313</v>
      </c>
      <c r="F846" t="inlineStr">
        <is>
          <t>KALMAR LÄN</t>
        </is>
      </c>
      <c r="G846" t="inlineStr">
        <is>
          <t>NYBRO</t>
        </is>
      </c>
      <c r="I846" t="n">
        <v>41.1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S 1947-2023</t>
        </is>
      </c>
      <c r="B847" t="inlineStr">
        <is>
          <t>samrådsanmälan</t>
        </is>
      </c>
      <c r="C847" t="inlineStr">
        <is>
          <t>Annan skogsbruksåtgärd</t>
        </is>
      </c>
      <c r="D847" s="1" t="n">
        <v>45088</v>
      </c>
      <c r="E847" s="1" t="n">
        <v>46313</v>
      </c>
      <c r="F847" t="inlineStr">
        <is>
          <t>KALMAR LÄN</t>
        </is>
      </c>
      <c r="G847" t="inlineStr">
        <is>
          <t>NYBRO</t>
        </is>
      </c>
      <c r="I847" t="n">
        <v>1.2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S 419-2024</t>
        </is>
      </c>
      <c r="B848" t="inlineStr">
        <is>
          <t>samrådsanmälan</t>
        </is>
      </c>
      <c r="C848" t="inlineStr">
        <is>
          <t>Annan skogsbruksåtgärd</t>
        </is>
      </c>
      <c r="D848" s="1" t="n">
        <v>45335</v>
      </c>
      <c r="E848" s="1" t="n">
        <v>46313</v>
      </c>
      <c r="F848" t="inlineStr">
        <is>
          <t>KALMAR LÄN</t>
        </is>
      </c>
      <c r="G848" t="inlineStr">
        <is>
          <t>NYBRO</t>
        </is>
      </c>
      <c r="I848" t="n">
        <v>3.4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S 3896-2023</t>
        </is>
      </c>
      <c r="B849" t="inlineStr">
        <is>
          <t>samrådsanmälan</t>
        </is>
      </c>
      <c r="C849" t="inlineStr">
        <is>
          <t>Askåterföring</t>
        </is>
      </c>
      <c r="D849" s="1" t="n">
        <v>45231</v>
      </c>
      <c r="E849" s="1" t="n">
        <v>46313</v>
      </c>
      <c r="F849" t="inlineStr">
        <is>
          <t>KALMAR LÄN</t>
        </is>
      </c>
      <c r="G849" t="inlineStr">
        <is>
          <t>NYBRO</t>
        </is>
      </c>
      <c r="I849" t="n">
        <v>5.1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S 453-2022</t>
        </is>
      </c>
      <c r="B850" t="inlineStr">
        <is>
          <t>samrådsanmälan</t>
        </is>
      </c>
      <c r="C850" t="inlineStr">
        <is>
          <t>Askåterföring</t>
        </is>
      </c>
      <c r="D850" s="1" t="n">
        <v>44587</v>
      </c>
      <c r="E850" s="1" t="n">
        <v>46313</v>
      </c>
      <c r="F850" t="inlineStr">
        <is>
          <t>KALMAR LÄN</t>
        </is>
      </c>
      <c r="G850" t="inlineStr">
        <is>
          <t>NYBRO</t>
        </is>
      </c>
      <c r="I850" t="n">
        <v>20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S 4041-2024</t>
        </is>
      </c>
      <c r="B851" t="inlineStr">
        <is>
          <t>samrådsanmälan</t>
        </is>
      </c>
      <c r="C851" t="inlineStr">
        <is>
          <t>Askåterföring</t>
        </is>
      </c>
      <c r="D851" s="1" t="n">
        <v>45572</v>
      </c>
      <c r="E851" s="1" t="n">
        <v>46313</v>
      </c>
      <c r="F851" t="inlineStr">
        <is>
          <t>KALMAR LÄN</t>
        </is>
      </c>
      <c r="G851" t="inlineStr">
        <is>
          <t>NYBRO</t>
        </is>
      </c>
      <c r="I851" t="n">
        <v>1.4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S 1610-2023</t>
        </is>
      </c>
      <c r="B852" t="inlineStr">
        <is>
          <t>samrådsanmälan</t>
        </is>
      </c>
      <c r="C852" t="inlineStr">
        <is>
          <t>Annan skogsbruksåtgärd</t>
        </is>
      </c>
      <c r="D852" s="1" t="n">
        <v>45056</v>
      </c>
      <c r="E852" s="1" t="n">
        <v>46313</v>
      </c>
      <c r="F852" t="inlineStr">
        <is>
          <t>KALMAR LÄN</t>
        </is>
      </c>
      <c r="G852" t="inlineStr">
        <is>
          <t>NYBRO</t>
        </is>
      </c>
      <c r="I852" t="n">
        <v>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S 1076-2025</t>
        </is>
      </c>
      <c r="B853" t="inlineStr">
        <is>
          <t>samrådsanmälan</t>
        </is>
      </c>
      <c r="C853" t="inlineStr">
        <is>
          <t>Askåterföring</t>
        </is>
      </c>
      <c r="D853" s="1" t="n">
        <v>45750</v>
      </c>
      <c r="E853" s="1" t="n">
        <v>46313</v>
      </c>
      <c r="F853" t="inlineStr">
        <is>
          <t>KALMAR LÄN</t>
        </is>
      </c>
      <c r="G853" t="inlineStr">
        <is>
          <t>NYBRO</t>
        </is>
      </c>
      <c r="I853" t="n">
        <v>5.1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S 2139-2025</t>
        </is>
      </c>
      <c r="B854" t="inlineStr">
        <is>
          <t>samrådsanmälan</t>
        </is>
      </c>
      <c r="C854" t="inlineStr">
        <is>
          <t>Annan skogsbruksåtgärd</t>
        </is>
      </c>
      <c r="D854" s="1" t="n">
        <v>45847</v>
      </c>
      <c r="E854" s="1" t="n">
        <v>46313</v>
      </c>
      <c r="F854" t="inlineStr">
        <is>
          <t>KALMAR LÄN</t>
        </is>
      </c>
      <c r="G854" t="inlineStr">
        <is>
          <t>NYBRO</t>
        </is>
      </c>
      <c r="I854" t="n">
        <v>4.4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S 2659-2025</t>
        </is>
      </c>
      <c r="B855" t="inlineStr">
        <is>
          <t>samrådsanmälan</t>
        </is>
      </c>
      <c r="C855" t="inlineStr">
        <is>
          <t>Askåterföring</t>
        </is>
      </c>
      <c r="D855" s="1" t="n">
        <v>45923</v>
      </c>
      <c r="E855" s="1" t="n">
        <v>46313</v>
      </c>
      <c r="F855" t="inlineStr">
        <is>
          <t>KALMAR LÄN</t>
        </is>
      </c>
      <c r="G855" t="inlineStr">
        <is>
          <t>NYBRO</t>
        </is>
      </c>
      <c r="I855" t="n">
        <v>22.2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S 2635-2025</t>
        </is>
      </c>
      <c r="B856" t="inlineStr">
        <is>
          <t>samrådsanmälan</t>
        </is>
      </c>
      <c r="C856" t="inlineStr">
        <is>
          <t>Annan skogsbruksåtgärd</t>
        </is>
      </c>
      <c r="D856" s="1" t="n">
        <v>45919</v>
      </c>
      <c r="E856" s="1" t="n">
        <v>46313</v>
      </c>
      <c r="F856" t="inlineStr">
        <is>
          <t>KALMAR LÄN</t>
        </is>
      </c>
      <c r="G856" t="inlineStr">
        <is>
          <t>NYBRO</t>
        </is>
      </c>
      <c r="I856" t="n">
        <v>0.9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S 2693-2025</t>
        </is>
      </c>
      <c r="B857" t="inlineStr">
        <is>
          <t>samrådsanmälan</t>
        </is>
      </c>
      <c r="C857" t="inlineStr">
        <is>
          <t>Askåterföring</t>
        </is>
      </c>
      <c r="D857" s="1" t="n">
        <v>45926</v>
      </c>
      <c r="E857" s="1" t="n">
        <v>46313</v>
      </c>
      <c r="F857" t="inlineStr">
        <is>
          <t>KALMAR LÄN</t>
        </is>
      </c>
      <c r="G857" t="inlineStr">
        <is>
          <t>NYBRO</t>
        </is>
      </c>
      <c r="I857" t="n">
        <v>77.8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S 3252-2025</t>
        </is>
      </c>
      <c r="B858" t="inlineStr">
        <is>
          <t>samrådsanmälan</t>
        </is>
      </c>
      <c r="C858" t="inlineStr">
        <is>
          <t>Askåterföring</t>
        </is>
      </c>
      <c r="D858" s="1" t="n">
        <v>45982</v>
      </c>
      <c r="E858" s="1" t="n">
        <v>46313</v>
      </c>
      <c r="F858" t="inlineStr">
        <is>
          <t>KALMAR LÄN</t>
        </is>
      </c>
      <c r="G858" t="inlineStr">
        <is>
          <t>NYBRO</t>
        </is>
      </c>
      <c r="I858" t="n">
        <v>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S 3253-2025</t>
        </is>
      </c>
      <c r="B859" t="inlineStr">
        <is>
          <t>samrådsanmälan</t>
        </is>
      </c>
      <c r="C859" t="inlineStr">
        <is>
          <t>Askåterföring</t>
        </is>
      </c>
      <c r="D859" s="1" t="n">
        <v>45982</v>
      </c>
      <c r="E859" s="1" t="n">
        <v>46313</v>
      </c>
      <c r="F859" t="inlineStr">
        <is>
          <t>KALMAR LÄN</t>
        </is>
      </c>
      <c r="G859" t="inlineStr">
        <is>
          <t>NYBRO</t>
        </is>
      </c>
      <c r="I859" t="n">
        <v>5.8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S 34-2026</t>
        </is>
      </c>
      <c r="B860" t="inlineStr">
        <is>
          <t>samrådsanmälan</t>
        </is>
      </c>
      <c r="C860" t="inlineStr">
        <is>
          <t>Askåterföring</t>
        </is>
      </c>
      <c r="D860" s="1" t="n">
        <v>46030</v>
      </c>
      <c r="E860" s="1" t="n">
        <v>46313</v>
      </c>
      <c r="F860" t="inlineStr">
        <is>
          <t>KALMAR LÄN</t>
        </is>
      </c>
      <c r="G860" t="inlineStr">
        <is>
          <t>NYBRO</t>
        </is>
      </c>
      <c r="I860" t="n">
        <v>5.9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S 2117-2026</t>
        </is>
      </c>
      <c r="B861" t="inlineStr">
        <is>
          <t>samrådsanmälan</t>
        </is>
      </c>
      <c r="C861" t="inlineStr">
        <is>
          <t>Askåterföring</t>
        </is>
      </c>
      <c r="D861" s="1" t="n">
        <v>46244</v>
      </c>
      <c r="E861" s="1" t="n">
        <v>46313</v>
      </c>
      <c r="F861" t="inlineStr">
        <is>
          <t>KALMAR LÄN</t>
        </is>
      </c>
      <c r="G861" t="inlineStr">
        <is>
          <t>NYBRO</t>
        </is>
      </c>
      <c r="I861" t="n">
        <v>29.6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S 2566-2026</t>
        </is>
      </c>
      <c r="B862" t="inlineStr">
        <is>
          <t>samrådsanmälan</t>
        </is>
      </c>
      <c r="C862" t="inlineStr">
        <is>
          <t>Annan skogsbruksåtgärd</t>
        </is>
      </c>
      <c r="D862" s="1" t="n">
        <v>46295</v>
      </c>
      <c r="E862" s="1" t="n">
        <v>46313</v>
      </c>
      <c r="F862" t="inlineStr">
        <is>
          <t>KALMAR LÄN</t>
        </is>
      </c>
      <c r="G862" t="inlineStr">
        <is>
          <t>NYBRO</t>
        </is>
      </c>
      <c r="I862" t="n">
        <v>1.2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>
      <c r="A863" t="inlineStr">
        <is>
          <t>S 2661-2026</t>
        </is>
      </c>
      <c r="B863" t="inlineStr">
        <is>
          <t>samrådsanmälan</t>
        </is>
      </c>
      <c r="C863" t="inlineStr">
        <is>
          <t>Askåterföring</t>
        </is>
      </c>
      <c r="D863" s="1" t="n">
        <v>46308</v>
      </c>
      <c r="E863" s="1" t="n">
        <v>46313</v>
      </c>
      <c r="F863" t="inlineStr">
        <is>
          <t>KALMAR LÄN</t>
        </is>
      </c>
      <c r="G863" t="inlineStr">
        <is>
          <t>NYBRO</t>
        </is>
      </c>
      <c r="I863" t="n">
        <v>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2026-10-18T08:08:01Z</dcterms:created>
  <dcterms:modified xmlns:dcterms="http://purl.org/dc/terms/" xmlns:xsi="http://www.w3.org/2001/XMLSchema-instance" xsi:type="dcterms:W3CDTF">2026-10-18T08:08:02Z</dcterms:modified>
</cp:coreProperties>
</file>