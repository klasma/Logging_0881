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45756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45756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45756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45756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45756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45756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21675-2024</t>
        </is>
      </c>
      <c r="B8" s="1" t="n">
        <v>45442</v>
      </c>
      <c r="C8" s="1" t="n">
        <v>45756</v>
      </c>
      <c r="D8" t="inlineStr">
        <is>
          <t>KALMAR LÄN</t>
        </is>
      </c>
      <c r="E8" t="inlineStr">
        <is>
          <t>NYBRO</t>
        </is>
      </c>
      <c r="G8" t="n">
        <v>4</v>
      </c>
      <c r="H8" t="n">
        <v>1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Gullklöver
Solvända
Svinrot
Vårstarr
Tjäder</t>
        </is>
      </c>
      <c r="S8">
        <f>HYPERLINK("https://klasma.github.io/Logging_0881/artfynd/A 21675-2024 artfynd.xlsx", "A 21675-2024")</f>
        <v/>
      </c>
      <c r="T8">
        <f>HYPERLINK("https://klasma.github.io/Logging_0881/kartor/A 21675-2024 karta.png", "A 21675-2024")</f>
        <v/>
      </c>
      <c r="V8">
        <f>HYPERLINK("https://klasma.github.io/Logging_0881/klagomål/A 21675-2024 FSC-klagomål.docx", "A 21675-2024")</f>
        <v/>
      </c>
      <c r="W8">
        <f>HYPERLINK("https://klasma.github.io/Logging_0881/klagomålsmail/A 21675-2024 FSC-klagomål mail.docx", "A 21675-2024")</f>
        <v/>
      </c>
      <c r="X8">
        <f>HYPERLINK("https://klasma.github.io/Logging_0881/tillsyn/A 21675-2024 tillsynsbegäran.docx", "A 21675-2024")</f>
        <v/>
      </c>
      <c r="Y8">
        <f>HYPERLINK("https://klasma.github.io/Logging_0881/tillsynsmail/A 21675-2024 tillsynsbegäran mail.docx", "A 21675-2024")</f>
        <v/>
      </c>
      <c r="Z8">
        <f>HYPERLINK("https://klasma.github.io/Logging_0881/fåglar/A 21675-2024 prioriterade fågelarter.docx", "A 21675-2024")</f>
        <v/>
      </c>
    </row>
    <row r="9" ht="15" customHeight="1">
      <c r="A9" t="inlineStr">
        <is>
          <t>A 22285-2024</t>
        </is>
      </c>
      <c r="B9" s="1" t="n">
        <v>45446</v>
      </c>
      <c r="C9" s="1" t="n">
        <v>45756</v>
      </c>
      <c r="D9" t="inlineStr">
        <is>
          <t>KALMAR LÄN</t>
        </is>
      </c>
      <c r="E9" t="inlineStr">
        <is>
          <t>NYBRO</t>
        </is>
      </c>
      <c r="F9" t="inlineStr">
        <is>
          <t>Sveaskog</t>
        </is>
      </c>
      <c r="G9" t="n">
        <v>1.2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Barbastell
Brunlångöra
Nordfladdermus
Dvärgpipistrell
Större brunfladdermus</t>
        </is>
      </c>
      <c r="S9">
        <f>HYPERLINK("https://klasma.github.io/Logging_0881/artfynd/A 22285-2024 artfynd.xlsx", "A 22285-2024")</f>
        <v/>
      </c>
      <c r="T9">
        <f>HYPERLINK("https://klasma.github.io/Logging_0881/kartor/A 22285-2024 karta.png", "A 22285-2024")</f>
        <v/>
      </c>
      <c r="V9">
        <f>HYPERLINK("https://klasma.github.io/Logging_0881/klagomål/A 22285-2024 FSC-klagomål.docx", "A 22285-2024")</f>
        <v/>
      </c>
      <c r="W9">
        <f>HYPERLINK("https://klasma.github.io/Logging_0881/klagomålsmail/A 22285-2024 FSC-klagomål mail.docx", "A 22285-2024")</f>
        <v/>
      </c>
      <c r="X9">
        <f>HYPERLINK("https://klasma.github.io/Logging_0881/tillsyn/A 22285-2024 tillsynsbegäran.docx", "A 22285-2024")</f>
        <v/>
      </c>
      <c r="Y9">
        <f>HYPERLINK("https://klasma.github.io/Logging_0881/tillsynsmail/A 22285-2024 tillsynsbegäran mail.docx", "A 22285-2024")</f>
        <v/>
      </c>
    </row>
    <row r="10" ht="15" customHeight="1">
      <c r="A10" t="inlineStr">
        <is>
          <t>A 42561-2020</t>
        </is>
      </c>
      <c r="B10" s="1" t="n">
        <v>44077</v>
      </c>
      <c r="C10" s="1" t="n">
        <v>45756</v>
      </c>
      <c r="D10" t="inlineStr">
        <is>
          <t>KALMAR LÄN</t>
        </is>
      </c>
      <c r="E10" t="inlineStr">
        <is>
          <t>NYBRO</t>
        </is>
      </c>
      <c r="G10" t="n">
        <v>2.2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Blåsippa
Mattlummer</t>
        </is>
      </c>
      <c r="S10">
        <f>HYPERLINK("https://klasma.github.io/Logging_0881/artfynd/A 42561-2020 artfynd.xlsx", "A 42561-2020")</f>
        <v/>
      </c>
      <c r="T10">
        <f>HYPERLINK("https://klasma.github.io/Logging_0881/kartor/A 42561-2020 karta.png", "A 42561-2020")</f>
        <v/>
      </c>
      <c r="V10">
        <f>HYPERLINK("https://klasma.github.io/Logging_0881/klagomål/A 42561-2020 FSC-klagomål.docx", "A 42561-2020")</f>
        <v/>
      </c>
      <c r="W10">
        <f>HYPERLINK("https://klasma.github.io/Logging_0881/klagomålsmail/A 42561-2020 FSC-klagomål mail.docx", "A 42561-2020")</f>
        <v/>
      </c>
      <c r="X10">
        <f>HYPERLINK("https://klasma.github.io/Logging_0881/tillsyn/A 42561-2020 tillsynsbegäran.docx", "A 42561-2020")</f>
        <v/>
      </c>
      <c r="Y10">
        <f>HYPERLINK("https://klasma.github.io/Logging_0881/tillsynsmail/A 42561-2020 tillsynsbegäran mail.docx", "A 42561-2020")</f>
        <v/>
      </c>
    </row>
    <row r="11" ht="15" customHeight="1">
      <c r="A11" t="inlineStr">
        <is>
          <t>A 42768-2021</t>
        </is>
      </c>
      <c r="B11" s="1" t="n">
        <v>44428</v>
      </c>
      <c r="C11" s="1" t="n">
        <v>45756</v>
      </c>
      <c r="D11" t="inlineStr">
        <is>
          <t>KALMAR LÄN</t>
        </is>
      </c>
      <c r="E11" t="inlineStr">
        <is>
          <t>NYBRO</t>
        </is>
      </c>
      <c r="G11" t="n">
        <v>3.7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Sommarfibbla
Grönpyrola
Mattlummer</t>
        </is>
      </c>
      <c r="S11">
        <f>HYPERLINK("https://klasma.github.io/Logging_0881/artfynd/A 42768-2021 artfynd.xlsx", "A 42768-2021")</f>
        <v/>
      </c>
      <c r="T11">
        <f>HYPERLINK("https://klasma.github.io/Logging_0881/kartor/A 42768-2021 karta.png", "A 42768-2021")</f>
        <v/>
      </c>
      <c r="U11">
        <f>HYPERLINK("https://klasma.github.io/Logging_0881/knärot/A 42768-2021 karta knärot.png", "A 42768-2021")</f>
        <v/>
      </c>
      <c r="V11">
        <f>HYPERLINK("https://klasma.github.io/Logging_0881/klagomål/A 42768-2021 FSC-klagomål.docx", "A 42768-2021")</f>
        <v/>
      </c>
      <c r="W11">
        <f>HYPERLINK("https://klasma.github.io/Logging_0881/klagomålsmail/A 42768-2021 FSC-klagomål mail.docx", "A 42768-2021")</f>
        <v/>
      </c>
      <c r="X11">
        <f>HYPERLINK("https://klasma.github.io/Logging_0881/tillsyn/A 42768-2021 tillsynsbegäran.docx", "A 42768-2021")</f>
        <v/>
      </c>
      <c r="Y11">
        <f>HYPERLINK("https://klasma.github.io/Logging_0881/tillsynsmail/A 42768-2021 tillsynsbegäran mail.docx", "A 42768-2021")</f>
        <v/>
      </c>
    </row>
    <row r="12" ht="15" customHeight="1">
      <c r="A12" t="inlineStr">
        <is>
          <t>A 53368-2022</t>
        </is>
      </c>
      <c r="B12" s="1" t="n">
        <v>44879</v>
      </c>
      <c r="C12" s="1" t="n">
        <v>45756</v>
      </c>
      <c r="D12" t="inlineStr">
        <is>
          <t>KALMAR LÄN</t>
        </is>
      </c>
      <c r="E12" t="inlineStr">
        <is>
          <t>NYBRO</t>
        </is>
      </c>
      <c r="G12" t="n">
        <v>2.8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Thomsons trägnagare
Blåsippa</t>
        </is>
      </c>
      <c r="S12">
        <f>HYPERLINK("https://klasma.github.io/Logging_0881/artfynd/A 53368-2022 artfynd.xlsx", "A 53368-2022")</f>
        <v/>
      </c>
      <c r="T12">
        <f>HYPERLINK("https://klasma.github.io/Logging_0881/kartor/A 53368-2022 karta.png", "A 53368-2022")</f>
        <v/>
      </c>
      <c r="V12">
        <f>HYPERLINK("https://klasma.github.io/Logging_0881/klagomål/A 53368-2022 FSC-klagomål.docx", "A 53368-2022")</f>
        <v/>
      </c>
      <c r="W12">
        <f>HYPERLINK("https://klasma.github.io/Logging_0881/klagomålsmail/A 53368-2022 FSC-klagomål mail.docx", "A 53368-2022")</f>
        <v/>
      </c>
      <c r="X12">
        <f>HYPERLINK("https://klasma.github.io/Logging_0881/tillsyn/A 53368-2022 tillsynsbegäran.docx", "A 53368-2022")</f>
        <v/>
      </c>
      <c r="Y12">
        <f>HYPERLINK("https://klasma.github.io/Logging_0881/tillsynsmail/A 53368-2022 tillsynsbegäran mail.docx", "A 53368-2022")</f>
        <v/>
      </c>
    </row>
    <row r="13" ht="15" customHeight="1">
      <c r="A13" t="inlineStr">
        <is>
          <t>A 46007-2023</t>
        </is>
      </c>
      <c r="B13" s="1" t="n">
        <v>45189</v>
      </c>
      <c r="C13" s="1" t="n">
        <v>45756</v>
      </c>
      <c r="D13" t="inlineStr">
        <is>
          <t>KALMAR LÄN</t>
        </is>
      </c>
      <c r="E13" t="inlineStr">
        <is>
          <t>NYBRO</t>
        </is>
      </c>
      <c r="F13" t="inlineStr">
        <is>
          <t>Kyrkan</t>
        </is>
      </c>
      <c r="G13" t="n">
        <v>0.5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Brunlångöra
Nordfladdermus
Dvärgpipistrell
Större brunfladdermus</t>
        </is>
      </c>
      <c r="S13">
        <f>HYPERLINK("https://klasma.github.io/Logging_0881/artfynd/A 46007-2023 artfynd.xlsx", "A 46007-2023")</f>
        <v/>
      </c>
      <c r="T13">
        <f>HYPERLINK("https://klasma.github.io/Logging_0881/kartor/A 46007-2023 karta.png", "A 46007-2023")</f>
        <v/>
      </c>
      <c r="V13">
        <f>HYPERLINK("https://klasma.github.io/Logging_0881/klagomål/A 46007-2023 FSC-klagomål.docx", "A 46007-2023")</f>
        <v/>
      </c>
      <c r="W13">
        <f>HYPERLINK("https://klasma.github.io/Logging_0881/klagomålsmail/A 46007-2023 FSC-klagomål mail.docx", "A 46007-2023")</f>
        <v/>
      </c>
      <c r="X13">
        <f>HYPERLINK("https://klasma.github.io/Logging_0881/tillsyn/A 46007-2023 tillsynsbegäran.docx", "A 46007-2023")</f>
        <v/>
      </c>
      <c r="Y13">
        <f>HYPERLINK("https://klasma.github.io/Logging_0881/tillsynsmail/A 46007-2023 tillsynsbegäran mail.docx", "A 46007-2023")</f>
        <v/>
      </c>
    </row>
    <row r="14" ht="15" customHeight="1">
      <c r="A14" t="inlineStr">
        <is>
          <t>A 54062-2024</t>
        </is>
      </c>
      <c r="B14" s="1" t="n">
        <v>45616</v>
      </c>
      <c r="C14" s="1" t="n">
        <v>45756</v>
      </c>
      <c r="D14" t="inlineStr">
        <is>
          <t>KALMAR LÄN</t>
        </is>
      </c>
      <c r="E14" t="inlineStr">
        <is>
          <t>NYBRO</t>
        </is>
      </c>
      <c r="G14" t="n">
        <v>2.9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Fjällig taggsvamp s.str.
Skarp dropptaggsvamp
Zontaggsvamp
Blåsippa</t>
        </is>
      </c>
      <c r="S14">
        <f>HYPERLINK("https://klasma.github.io/Logging_0881/artfynd/A 54062-2024 artfynd.xlsx", "A 54062-2024")</f>
        <v/>
      </c>
      <c r="T14">
        <f>HYPERLINK("https://klasma.github.io/Logging_0881/kartor/A 54062-2024 karta.png", "A 54062-2024")</f>
        <v/>
      </c>
      <c r="V14">
        <f>HYPERLINK("https://klasma.github.io/Logging_0881/klagomål/A 54062-2024 FSC-klagomål.docx", "A 54062-2024")</f>
        <v/>
      </c>
      <c r="W14">
        <f>HYPERLINK("https://klasma.github.io/Logging_0881/klagomålsmail/A 54062-2024 FSC-klagomål mail.docx", "A 54062-2024")</f>
        <v/>
      </c>
      <c r="X14">
        <f>HYPERLINK("https://klasma.github.io/Logging_0881/tillsyn/A 54062-2024 tillsynsbegäran.docx", "A 54062-2024")</f>
        <v/>
      </c>
      <c r="Y14">
        <f>HYPERLINK("https://klasma.github.io/Logging_0881/tillsynsmail/A 54062-2024 tillsynsbegäran mail.docx", "A 54062-2024")</f>
        <v/>
      </c>
    </row>
    <row r="15" ht="15" customHeight="1">
      <c r="A15" t="inlineStr">
        <is>
          <t>A 51270-2020</t>
        </is>
      </c>
      <c r="B15" s="1" t="n">
        <v>44112</v>
      </c>
      <c r="C15" s="1" t="n">
        <v>45756</v>
      </c>
      <c r="D15" t="inlineStr">
        <is>
          <t>KALMAR LÄN</t>
        </is>
      </c>
      <c r="E15" t="inlineStr">
        <is>
          <t>NYBRO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Blåmossa</t>
        </is>
      </c>
      <c r="S15">
        <f>HYPERLINK("https://klasma.github.io/Logging_0881/artfynd/A 51270-2020 artfynd.xlsx", "A 51270-2020")</f>
        <v/>
      </c>
      <c r="T15">
        <f>HYPERLINK("https://klasma.github.io/Logging_0881/kartor/A 51270-2020 karta.png", "A 51270-2020")</f>
        <v/>
      </c>
      <c r="U15">
        <f>HYPERLINK("https://klasma.github.io/Logging_0881/knärot/A 51270-2020 karta knärot.png", "A 51270-2020")</f>
        <v/>
      </c>
      <c r="V15">
        <f>HYPERLINK("https://klasma.github.io/Logging_0881/klagomål/A 51270-2020 FSC-klagomål.docx", "A 51270-2020")</f>
        <v/>
      </c>
      <c r="W15">
        <f>HYPERLINK("https://klasma.github.io/Logging_0881/klagomålsmail/A 51270-2020 FSC-klagomål mail.docx", "A 51270-2020")</f>
        <v/>
      </c>
      <c r="X15">
        <f>HYPERLINK("https://klasma.github.io/Logging_0881/tillsyn/A 51270-2020 tillsynsbegäran.docx", "A 51270-2020")</f>
        <v/>
      </c>
      <c r="Y15">
        <f>HYPERLINK("https://klasma.github.io/Logging_0881/tillsynsmail/A 51270-2020 tillsynsbegäran mail.docx", "A 51270-2020")</f>
        <v/>
      </c>
    </row>
    <row r="16" ht="15" customHeight="1">
      <c r="A16" t="inlineStr">
        <is>
          <t>A 32026-2021</t>
        </is>
      </c>
      <c r="B16" s="1" t="n">
        <v>44370</v>
      </c>
      <c r="C16" s="1" t="n">
        <v>45756</v>
      </c>
      <c r="D16" t="inlineStr">
        <is>
          <t>KALMAR LÄN</t>
        </is>
      </c>
      <c r="E16" t="inlineStr">
        <is>
          <t>NYBRO</t>
        </is>
      </c>
      <c r="G16" t="n">
        <v>6.2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Gröngöling</t>
        </is>
      </c>
      <c r="S16">
        <f>HYPERLINK("https://klasma.github.io/Logging_0881/artfynd/A 32026-2021 artfynd.xlsx", "A 32026-2021")</f>
        <v/>
      </c>
      <c r="T16">
        <f>HYPERLINK("https://klasma.github.io/Logging_0881/kartor/A 32026-2021 karta.png", "A 32026-2021")</f>
        <v/>
      </c>
      <c r="V16">
        <f>HYPERLINK("https://klasma.github.io/Logging_0881/klagomål/A 32026-2021 FSC-klagomål.docx", "A 32026-2021")</f>
        <v/>
      </c>
      <c r="W16">
        <f>HYPERLINK("https://klasma.github.io/Logging_0881/klagomålsmail/A 32026-2021 FSC-klagomål mail.docx", "A 32026-2021")</f>
        <v/>
      </c>
      <c r="X16">
        <f>HYPERLINK("https://klasma.github.io/Logging_0881/tillsyn/A 32026-2021 tillsynsbegäran.docx", "A 32026-2021")</f>
        <v/>
      </c>
      <c r="Y16">
        <f>HYPERLINK("https://klasma.github.io/Logging_0881/tillsynsmail/A 32026-2021 tillsynsbegäran mail.docx", "A 32026-2021")</f>
        <v/>
      </c>
      <c r="Z16">
        <f>HYPERLINK("https://klasma.github.io/Logging_0881/fåglar/A 32026-2021 prioriterade fågelarter.docx", "A 32026-2021")</f>
        <v/>
      </c>
    </row>
    <row r="17" ht="15" customHeight="1">
      <c r="A17" t="inlineStr">
        <is>
          <t>A 59111-2021</t>
        </is>
      </c>
      <c r="B17" s="1" t="n">
        <v>44490</v>
      </c>
      <c r="C17" s="1" t="n">
        <v>45756</v>
      </c>
      <c r="D17" t="inlineStr">
        <is>
          <t>KALMAR LÄN</t>
        </is>
      </c>
      <c r="E17" t="inlineStr">
        <is>
          <t>NYBRO</t>
        </is>
      </c>
      <c r="F17" t="inlineStr">
        <is>
          <t>Kommuner</t>
        </is>
      </c>
      <c r="G17" t="n">
        <v>3.2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Brandticka
Grovticka
Tjockfotad fingersvamp</t>
        </is>
      </c>
      <c r="S17">
        <f>HYPERLINK("https://klasma.github.io/Logging_0881/artfynd/A 59111-2021 artfynd.xlsx", "A 59111-2021")</f>
        <v/>
      </c>
      <c r="T17">
        <f>HYPERLINK("https://klasma.github.io/Logging_0881/kartor/A 59111-2021 karta.png", "A 59111-2021")</f>
        <v/>
      </c>
      <c r="V17">
        <f>HYPERLINK("https://klasma.github.io/Logging_0881/klagomål/A 59111-2021 FSC-klagomål.docx", "A 59111-2021")</f>
        <v/>
      </c>
      <c r="W17">
        <f>HYPERLINK("https://klasma.github.io/Logging_0881/klagomålsmail/A 59111-2021 FSC-klagomål mail.docx", "A 59111-2021")</f>
        <v/>
      </c>
      <c r="X17">
        <f>HYPERLINK("https://klasma.github.io/Logging_0881/tillsyn/A 59111-2021 tillsynsbegäran.docx", "A 59111-2021")</f>
        <v/>
      </c>
      <c r="Y17">
        <f>HYPERLINK("https://klasma.github.io/Logging_0881/tillsynsmail/A 59111-2021 tillsynsbegäran mail.docx", "A 59111-2021")</f>
        <v/>
      </c>
    </row>
    <row r="18" ht="15" customHeight="1">
      <c r="A18" t="inlineStr">
        <is>
          <t>A 41772-2022</t>
        </is>
      </c>
      <c r="B18" s="1" t="n">
        <v>44827</v>
      </c>
      <c r="C18" s="1" t="n">
        <v>45756</v>
      </c>
      <c r="D18" t="inlineStr">
        <is>
          <t>KALMAR LÄN</t>
        </is>
      </c>
      <c r="E18" t="inlineStr">
        <is>
          <t>NYBRO</t>
        </is>
      </c>
      <c r="G18" t="n">
        <v>5.7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Orange taggsvamp
Blåmossa</t>
        </is>
      </c>
      <c r="S18">
        <f>HYPERLINK("https://klasma.github.io/Logging_0881/artfynd/A 41772-2022 artfynd.xlsx", "A 41772-2022")</f>
        <v/>
      </c>
      <c r="T18">
        <f>HYPERLINK("https://klasma.github.io/Logging_0881/kartor/A 41772-2022 karta.png", "A 41772-2022")</f>
        <v/>
      </c>
      <c r="V18">
        <f>HYPERLINK("https://klasma.github.io/Logging_0881/klagomål/A 41772-2022 FSC-klagomål.docx", "A 41772-2022")</f>
        <v/>
      </c>
      <c r="W18">
        <f>HYPERLINK("https://klasma.github.io/Logging_0881/klagomålsmail/A 41772-2022 FSC-klagomål mail.docx", "A 41772-2022")</f>
        <v/>
      </c>
      <c r="X18">
        <f>HYPERLINK("https://klasma.github.io/Logging_0881/tillsyn/A 41772-2022 tillsynsbegäran.docx", "A 41772-2022")</f>
        <v/>
      </c>
      <c r="Y18">
        <f>HYPERLINK("https://klasma.github.io/Logging_0881/tillsynsmail/A 41772-2022 tillsynsbegäran mail.docx", "A 41772-2022")</f>
        <v/>
      </c>
    </row>
    <row r="19" ht="15" customHeight="1">
      <c r="A19" t="inlineStr">
        <is>
          <t>A 50759-2022</t>
        </is>
      </c>
      <c r="B19" s="1" t="n">
        <v>44867</v>
      </c>
      <c r="C19" s="1" t="n">
        <v>45756</v>
      </c>
      <c r="D19" t="inlineStr">
        <is>
          <t>KALMAR LÄN</t>
        </is>
      </c>
      <c r="E19" t="inlineStr">
        <is>
          <t>NYBRO</t>
        </is>
      </c>
      <c r="G19" t="n">
        <v>5.1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Ljus vedstrit
Mindre märgborre</t>
        </is>
      </c>
      <c r="S19">
        <f>HYPERLINK("https://klasma.github.io/Logging_0881/artfynd/A 50759-2022 artfynd.xlsx", "A 50759-2022")</f>
        <v/>
      </c>
      <c r="T19">
        <f>HYPERLINK("https://klasma.github.io/Logging_0881/kartor/A 50759-2022 karta.png", "A 50759-2022")</f>
        <v/>
      </c>
      <c r="V19">
        <f>HYPERLINK("https://klasma.github.io/Logging_0881/klagomål/A 50759-2022 FSC-klagomål.docx", "A 50759-2022")</f>
        <v/>
      </c>
      <c r="W19">
        <f>HYPERLINK("https://klasma.github.io/Logging_0881/klagomålsmail/A 50759-2022 FSC-klagomål mail.docx", "A 50759-2022")</f>
        <v/>
      </c>
      <c r="X19">
        <f>HYPERLINK("https://klasma.github.io/Logging_0881/tillsyn/A 50759-2022 tillsynsbegäran.docx", "A 50759-2022")</f>
        <v/>
      </c>
      <c r="Y19">
        <f>HYPERLINK("https://klasma.github.io/Logging_0881/tillsynsmail/A 50759-2022 tillsynsbegäran mail.docx", "A 50759-2022")</f>
        <v/>
      </c>
    </row>
    <row r="20" ht="15" customHeight="1">
      <c r="A20" t="inlineStr">
        <is>
          <t>A 9561-2023</t>
        </is>
      </c>
      <c r="B20" s="1" t="n">
        <v>44982</v>
      </c>
      <c r="C20" s="1" t="n">
        <v>45756</v>
      </c>
      <c r="D20" t="inlineStr">
        <is>
          <t>KALMAR LÄN</t>
        </is>
      </c>
      <c r="E20" t="inlineStr">
        <is>
          <t>NYBRO</t>
        </is>
      </c>
      <c r="F20" t="inlineStr">
        <is>
          <t>Sveaskog</t>
        </is>
      </c>
      <c r="G20" t="n">
        <v>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Sångsvan</t>
        </is>
      </c>
      <c r="S20">
        <f>HYPERLINK("https://klasma.github.io/Logging_0881/artfynd/A 9561-2023 artfynd.xlsx", "A 9561-2023")</f>
        <v/>
      </c>
      <c r="T20">
        <f>HYPERLINK("https://klasma.github.io/Logging_0881/kartor/A 9561-2023 karta.png", "A 9561-2023")</f>
        <v/>
      </c>
      <c r="V20">
        <f>HYPERLINK("https://klasma.github.io/Logging_0881/klagomål/A 9561-2023 FSC-klagomål.docx", "A 9561-2023")</f>
        <v/>
      </c>
      <c r="W20">
        <f>HYPERLINK("https://klasma.github.io/Logging_0881/klagomålsmail/A 9561-2023 FSC-klagomål mail.docx", "A 9561-2023")</f>
        <v/>
      </c>
      <c r="X20">
        <f>HYPERLINK("https://klasma.github.io/Logging_0881/tillsyn/A 9561-2023 tillsynsbegäran.docx", "A 9561-2023")</f>
        <v/>
      </c>
      <c r="Y20">
        <f>HYPERLINK("https://klasma.github.io/Logging_0881/tillsynsmail/A 9561-2023 tillsynsbegäran mail.docx", "A 9561-2023")</f>
        <v/>
      </c>
      <c r="Z20">
        <f>HYPERLINK("https://klasma.github.io/Logging_0881/fåglar/A 9561-2023 prioriterade fågelarter.docx", "A 9561-2023")</f>
        <v/>
      </c>
    </row>
    <row r="21" ht="15" customHeight="1">
      <c r="A21" t="inlineStr">
        <is>
          <t>A 15275-2023</t>
        </is>
      </c>
      <c r="B21" s="1" t="n">
        <v>45019</v>
      </c>
      <c r="C21" s="1" t="n">
        <v>45756</v>
      </c>
      <c r="D21" t="inlineStr">
        <is>
          <t>KALMAR LÄN</t>
        </is>
      </c>
      <c r="E21" t="inlineStr">
        <is>
          <t>NYBRO</t>
        </is>
      </c>
      <c r="G21" t="n">
        <v>3.2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Kungsfågel</t>
        </is>
      </c>
      <c r="S21">
        <f>HYPERLINK("https://klasma.github.io/Logging_0881/artfynd/A 15275-2023 artfynd.xlsx", "A 15275-2023")</f>
        <v/>
      </c>
      <c r="T21">
        <f>HYPERLINK("https://klasma.github.io/Logging_0881/kartor/A 15275-2023 karta.png", "A 15275-2023")</f>
        <v/>
      </c>
      <c r="V21">
        <f>HYPERLINK("https://klasma.github.io/Logging_0881/klagomål/A 15275-2023 FSC-klagomål.docx", "A 15275-2023")</f>
        <v/>
      </c>
      <c r="W21">
        <f>HYPERLINK("https://klasma.github.io/Logging_0881/klagomålsmail/A 15275-2023 FSC-klagomål mail.docx", "A 15275-2023")</f>
        <v/>
      </c>
      <c r="X21">
        <f>HYPERLINK("https://klasma.github.io/Logging_0881/tillsyn/A 15275-2023 tillsynsbegäran.docx", "A 15275-2023")</f>
        <v/>
      </c>
      <c r="Y21">
        <f>HYPERLINK("https://klasma.github.io/Logging_0881/tillsynsmail/A 15275-2023 tillsynsbegäran mail.docx", "A 15275-2023")</f>
        <v/>
      </c>
      <c r="Z21">
        <f>HYPERLINK("https://klasma.github.io/Logging_0881/fåglar/A 15275-2023 prioriterade fågelarter.docx", "A 15275-2023")</f>
        <v/>
      </c>
    </row>
    <row r="22" ht="15" customHeight="1">
      <c r="A22" t="inlineStr">
        <is>
          <t>A 53579-2023</t>
        </is>
      </c>
      <c r="B22" s="1" t="n">
        <v>45230</v>
      </c>
      <c r="C22" s="1" t="n">
        <v>45756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1</v>
      </c>
      <c r="I22" t="n">
        <v>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Ryl
Talltita
Grönpyrola</t>
        </is>
      </c>
      <c r="S22">
        <f>HYPERLINK("https://klasma.github.io/Logging_0881/artfynd/A 53579-2023 artfynd.xlsx", "A 53579-2023")</f>
        <v/>
      </c>
      <c r="T22">
        <f>HYPERLINK("https://klasma.github.io/Logging_0881/kartor/A 53579-2023 karta.png", "A 53579-2023")</f>
        <v/>
      </c>
      <c r="V22">
        <f>HYPERLINK("https://klasma.github.io/Logging_0881/klagomål/A 53579-2023 FSC-klagomål.docx", "A 53579-2023")</f>
        <v/>
      </c>
      <c r="W22">
        <f>HYPERLINK("https://klasma.github.io/Logging_0881/klagomålsmail/A 53579-2023 FSC-klagomål mail.docx", "A 53579-2023")</f>
        <v/>
      </c>
      <c r="X22">
        <f>HYPERLINK("https://klasma.github.io/Logging_0881/tillsyn/A 53579-2023 tillsynsbegäran.docx", "A 53579-2023")</f>
        <v/>
      </c>
      <c r="Y22">
        <f>HYPERLINK("https://klasma.github.io/Logging_0881/tillsynsmail/A 53579-2023 tillsynsbegäran mail.docx", "A 53579-2023")</f>
        <v/>
      </c>
      <c r="Z22">
        <f>HYPERLINK("https://klasma.github.io/Logging_0881/fåglar/A 53579-2023 prioriterade fågelarter.docx", "A 53579-2023")</f>
        <v/>
      </c>
    </row>
    <row r="23" ht="15" customHeight="1">
      <c r="A23" t="inlineStr">
        <is>
          <t>A 8303-2024</t>
        </is>
      </c>
      <c r="B23" s="1" t="n">
        <v>45352</v>
      </c>
      <c r="C23" s="1" t="n">
        <v>45756</v>
      </c>
      <c r="D23" t="inlineStr">
        <is>
          <t>KALMAR LÄN</t>
        </is>
      </c>
      <c r="E23" t="inlineStr">
        <is>
          <t>NYBRO</t>
        </is>
      </c>
      <c r="G23" t="n">
        <v>1.9</v>
      </c>
      <c r="H23" t="n">
        <v>0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Slåttergubbe
Slåttergubbemal
Spindelört</t>
        </is>
      </c>
      <c r="S23">
        <f>HYPERLINK("https://klasma.github.io/Logging_0881/artfynd/A 8303-2024 artfynd.xlsx", "A 8303-2024")</f>
        <v/>
      </c>
      <c r="T23">
        <f>HYPERLINK("https://klasma.github.io/Logging_0881/kartor/A 8303-2024 karta.png", "A 8303-2024")</f>
        <v/>
      </c>
      <c r="V23">
        <f>HYPERLINK("https://klasma.github.io/Logging_0881/klagomål/A 8303-2024 FSC-klagomål.docx", "A 8303-2024")</f>
        <v/>
      </c>
      <c r="W23">
        <f>HYPERLINK("https://klasma.github.io/Logging_0881/klagomålsmail/A 8303-2024 FSC-klagomål mail.docx", "A 8303-2024")</f>
        <v/>
      </c>
      <c r="X23">
        <f>HYPERLINK("https://klasma.github.io/Logging_0881/tillsyn/A 8303-2024 tillsynsbegäran.docx", "A 8303-2024")</f>
        <v/>
      </c>
      <c r="Y23">
        <f>HYPERLINK("https://klasma.github.io/Logging_0881/tillsynsmail/A 8303-2024 tillsynsbegäran mail.docx", "A 8303-2024")</f>
        <v/>
      </c>
    </row>
    <row r="24" ht="15" customHeight="1">
      <c r="A24" t="inlineStr">
        <is>
          <t>A 21691-2024</t>
        </is>
      </c>
      <c r="B24" s="1" t="n">
        <v>45442</v>
      </c>
      <c r="C24" s="1" t="n">
        <v>45756</v>
      </c>
      <c r="D24" t="inlineStr">
        <is>
          <t>KALMAR LÄN</t>
        </is>
      </c>
      <c r="E24" t="inlineStr">
        <is>
          <t>NYBRO</t>
        </is>
      </c>
      <c r="G24" t="n">
        <v>4.4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Västlig hakmossa
Vågbandad barkbock</t>
        </is>
      </c>
      <c r="S24">
        <f>HYPERLINK("https://klasma.github.io/Logging_0881/artfynd/A 21691-2024 artfynd.xlsx", "A 21691-2024")</f>
        <v/>
      </c>
      <c r="T24">
        <f>HYPERLINK("https://klasma.github.io/Logging_0881/kartor/A 21691-2024 karta.png", "A 21691-2024")</f>
        <v/>
      </c>
      <c r="V24">
        <f>HYPERLINK("https://klasma.github.io/Logging_0881/klagomål/A 21691-2024 FSC-klagomål.docx", "A 21691-2024")</f>
        <v/>
      </c>
      <c r="W24">
        <f>HYPERLINK("https://klasma.github.io/Logging_0881/klagomålsmail/A 21691-2024 FSC-klagomål mail.docx", "A 21691-2024")</f>
        <v/>
      </c>
      <c r="X24">
        <f>HYPERLINK("https://klasma.github.io/Logging_0881/tillsyn/A 21691-2024 tillsynsbegäran.docx", "A 21691-2024")</f>
        <v/>
      </c>
      <c r="Y24">
        <f>HYPERLINK("https://klasma.github.io/Logging_0881/tillsynsmail/A 21691-2024 tillsynsbegäran mail.docx", "A 21691-2024")</f>
        <v/>
      </c>
      <c r="Z24">
        <f>HYPERLINK("https://klasma.github.io/Logging_0881/fåglar/A 21691-2024 prioriterade fågelarter.docx", "A 21691-2024")</f>
        <v/>
      </c>
    </row>
    <row r="25" ht="15" customHeight="1">
      <c r="A25" t="inlineStr">
        <is>
          <t>A 22280-2024</t>
        </is>
      </c>
      <c r="B25" s="1" t="n">
        <v>45446</v>
      </c>
      <c r="C25" s="1" t="n">
        <v>45756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2.2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Barbastell
Nordfladdermus
Sydfladdermus</t>
        </is>
      </c>
      <c r="S25">
        <f>HYPERLINK("https://klasma.github.io/Logging_0881/artfynd/A 22280-2024 artfynd.xlsx", "A 22280-2024")</f>
        <v/>
      </c>
      <c r="T25">
        <f>HYPERLINK("https://klasma.github.io/Logging_0881/kartor/A 22280-2024 karta.png", "A 22280-2024")</f>
        <v/>
      </c>
      <c r="V25">
        <f>HYPERLINK("https://klasma.github.io/Logging_0881/klagomål/A 22280-2024 FSC-klagomål.docx", "A 22280-2024")</f>
        <v/>
      </c>
      <c r="W25">
        <f>HYPERLINK("https://klasma.github.io/Logging_0881/klagomålsmail/A 22280-2024 FSC-klagomål mail.docx", "A 22280-2024")</f>
        <v/>
      </c>
      <c r="X25">
        <f>HYPERLINK("https://klasma.github.io/Logging_0881/tillsyn/A 22280-2024 tillsynsbegäran.docx", "A 22280-2024")</f>
        <v/>
      </c>
      <c r="Y25">
        <f>HYPERLINK("https://klasma.github.io/Logging_0881/tillsynsmail/A 22280-2024 tillsynsbegäran mail.docx", "A 22280-2024")</f>
        <v/>
      </c>
    </row>
    <row r="26" ht="15" customHeight="1">
      <c r="A26" t="inlineStr">
        <is>
          <t>A 48227-2024</t>
        </is>
      </c>
      <c r="B26" s="1" t="n">
        <v>45590</v>
      </c>
      <c r="C26" s="1" t="n">
        <v>45756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3.2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Revlummer</t>
        </is>
      </c>
      <c r="S26">
        <f>HYPERLINK("https://klasma.github.io/Logging_0881/artfynd/A 48227-2024 artfynd.xlsx", "A 48227-2024")</f>
        <v/>
      </c>
      <c r="T26">
        <f>HYPERLINK("https://klasma.github.io/Logging_0881/kartor/A 48227-2024 karta.png", "A 48227-2024")</f>
        <v/>
      </c>
      <c r="V26">
        <f>HYPERLINK("https://klasma.github.io/Logging_0881/klagomål/A 48227-2024 FSC-klagomål.docx", "A 48227-2024")</f>
        <v/>
      </c>
      <c r="W26">
        <f>HYPERLINK("https://klasma.github.io/Logging_0881/klagomålsmail/A 48227-2024 FSC-klagomål mail.docx", "A 48227-2024")</f>
        <v/>
      </c>
      <c r="X26">
        <f>HYPERLINK("https://klasma.github.io/Logging_0881/tillsyn/A 48227-2024 tillsynsbegäran.docx", "A 48227-2024")</f>
        <v/>
      </c>
      <c r="Y26">
        <f>HYPERLINK("https://klasma.github.io/Logging_0881/tillsynsmail/A 48227-2024 tillsynsbegäran mail.docx", "A 48227-2024")</f>
        <v/>
      </c>
    </row>
    <row r="27" ht="15" customHeight="1">
      <c r="A27" t="inlineStr">
        <is>
          <t>A 12441-2025</t>
        </is>
      </c>
      <c r="B27" s="1" t="n">
        <v>45730</v>
      </c>
      <c r="C27" s="1" t="n">
        <v>45756</v>
      </c>
      <c r="D27" t="inlineStr">
        <is>
          <t>KALMAR LÄN</t>
        </is>
      </c>
      <c r="E27" t="inlineStr">
        <is>
          <t>NYBRO</t>
        </is>
      </c>
      <c r="G27" t="n">
        <v>7.7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Kandelabersvamp
Mindre träfjäril
Skogsknipprot</t>
        </is>
      </c>
      <c r="S27">
        <f>HYPERLINK("https://klasma.github.io/Logging_080881/artfynd/A 12441-2025 artfynd.xlsx", "A 12441-2025")</f>
        <v/>
      </c>
      <c r="T27">
        <f>HYPERLINK("https://klasma.github.io/Logging_080881/kartor/A 12441-2025 karta.png", "A 12441-2025")</f>
        <v/>
      </c>
      <c r="V27">
        <f>HYPERLINK("https://klasma.github.io/Logging_080881/klagomål/A 12441-2025 FSC-klagomål.docx", "A 12441-2025")</f>
        <v/>
      </c>
      <c r="W27">
        <f>HYPERLINK("https://klasma.github.io/Logging_080881/klagomålsmail/A 12441-2025 FSC-klagomål mail.docx", "A 12441-2025")</f>
        <v/>
      </c>
      <c r="X27">
        <f>HYPERLINK("https://klasma.github.io/Logging_080881/tillsyn/A 12441-2025 tillsynsbegäran.docx", "A 12441-2025")</f>
        <v/>
      </c>
      <c r="Y27">
        <f>HYPERLINK("https://klasma.github.io/Logging_080881/tillsynsmail/A 12441-2025 tillsynsbegäran mail.docx", "A 12441-2025")</f>
        <v/>
      </c>
    </row>
    <row r="28" ht="15" customHeight="1">
      <c r="A28" t="inlineStr">
        <is>
          <t>A 13155-2025</t>
        </is>
      </c>
      <c r="B28" s="1" t="n">
        <v>45735</v>
      </c>
      <c r="C28" s="1" t="n">
        <v>45756</v>
      </c>
      <c r="D28" t="inlineStr">
        <is>
          <t>KALMAR LÄN</t>
        </is>
      </c>
      <c r="E28" t="inlineStr">
        <is>
          <t>NYBRO</t>
        </is>
      </c>
      <c r="G28" t="n">
        <v>4.3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Gröngöling</t>
        </is>
      </c>
      <c r="S28">
        <f>HYPERLINK("https://klasma.github.io/Logging_080881/artfynd/A 13155-2025 artfynd.xlsx", "A 13155-2025")</f>
        <v/>
      </c>
      <c r="T28">
        <f>HYPERLINK("https://klasma.github.io/Logging_080881/kartor/A 13155-2025 karta.png", "A 13155-2025")</f>
        <v/>
      </c>
      <c r="V28">
        <f>HYPERLINK("https://klasma.github.io/Logging_080881/klagomål/A 13155-2025 FSC-klagomål.docx", "A 13155-2025")</f>
        <v/>
      </c>
      <c r="W28">
        <f>HYPERLINK("https://klasma.github.io/Logging_080881/klagomålsmail/A 13155-2025 FSC-klagomål mail.docx", "A 13155-2025")</f>
        <v/>
      </c>
      <c r="X28">
        <f>HYPERLINK("https://klasma.github.io/Logging_080881/tillsyn/A 13155-2025 tillsynsbegäran.docx", "A 13155-2025")</f>
        <v/>
      </c>
      <c r="Y28">
        <f>HYPERLINK("https://klasma.github.io/Logging_080881/tillsynsmail/A 13155-2025 tillsynsbegäran mail.docx", "A 13155-2025")</f>
        <v/>
      </c>
      <c r="Z28">
        <f>HYPERLINK("https://klasma.github.io/Logging_080881/fåglar/A 13155-2025 prioriterade fågelarter.docx", "A 13155-2025")</f>
        <v/>
      </c>
    </row>
    <row r="29" ht="15" customHeight="1">
      <c r="A29" t="inlineStr">
        <is>
          <t>A 58914-2019</t>
        </is>
      </c>
      <c r="B29" s="1" t="n">
        <v>43774</v>
      </c>
      <c r="C29" s="1" t="n">
        <v>45756</v>
      </c>
      <c r="D29" t="inlineStr">
        <is>
          <t>KALMAR LÄN</t>
        </is>
      </c>
      <c r="E29" t="inlineStr">
        <is>
          <t>NYBRO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Veckticka</t>
        </is>
      </c>
      <c r="S29">
        <f>HYPERLINK("https://klasma.github.io/Logging_0881/artfynd/A 58914-2019 artfynd.xlsx", "A 58914-2019")</f>
        <v/>
      </c>
      <c r="T29">
        <f>HYPERLINK("https://klasma.github.io/Logging_0881/kartor/A 58914-2019 karta.png", "A 58914-2019")</f>
        <v/>
      </c>
      <c r="V29">
        <f>HYPERLINK("https://klasma.github.io/Logging_0881/klagomål/A 58914-2019 FSC-klagomål.docx", "A 58914-2019")</f>
        <v/>
      </c>
      <c r="W29">
        <f>HYPERLINK("https://klasma.github.io/Logging_0881/klagomålsmail/A 58914-2019 FSC-klagomål mail.docx", "A 58914-2019")</f>
        <v/>
      </c>
      <c r="X29">
        <f>HYPERLINK("https://klasma.github.io/Logging_0881/tillsyn/A 58914-2019 tillsynsbegäran.docx", "A 58914-2019")</f>
        <v/>
      </c>
      <c r="Y29">
        <f>HYPERLINK("https://klasma.github.io/Logging_0881/tillsynsmail/A 58914-2019 tillsynsbegäran mail.docx", "A 58914-2019")</f>
        <v/>
      </c>
    </row>
    <row r="30" ht="15" customHeight="1">
      <c r="A30" t="inlineStr">
        <is>
          <t>A 53115-2020</t>
        </is>
      </c>
      <c r="B30" s="1" t="n">
        <v>44120</v>
      </c>
      <c r="C30" s="1" t="n">
        <v>45756</v>
      </c>
      <c r="D30" t="inlineStr">
        <is>
          <t>KALMAR LÄN</t>
        </is>
      </c>
      <c r="E30" t="inlineStr">
        <is>
          <t>NYBRO</t>
        </is>
      </c>
      <c r="G30" t="n">
        <v>6.2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Grön sköldmossa</t>
        </is>
      </c>
      <c r="S30">
        <f>HYPERLINK("https://klasma.github.io/Logging_0881/artfynd/A 53115-2020 artfynd.xlsx", "A 53115-2020")</f>
        <v/>
      </c>
      <c r="T30">
        <f>HYPERLINK("https://klasma.github.io/Logging_0881/kartor/A 53115-2020 karta.png", "A 53115-2020")</f>
        <v/>
      </c>
      <c r="V30">
        <f>HYPERLINK("https://klasma.github.io/Logging_0881/klagomål/A 53115-2020 FSC-klagomål.docx", "A 53115-2020")</f>
        <v/>
      </c>
      <c r="W30">
        <f>HYPERLINK("https://klasma.github.io/Logging_0881/klagomålsmail/A 53115-2020 FSC-klagomål mail.docx", "A 53115-2020")</f>
        <v/>
      </c>
      <c r="X30">
        <f>HYPERLINK("https://klasma.github.io/Logging_0881/tillsyn/A 53115-2020 tillsynsbegäran.docx", "A 53115-2020")</f>
        <v/>
      </c>
      <c r="Y30">
        <f>HYPERLINK("https://klasma.github.io/Logging_0881/tillsynsmail/A 53115-2020 tillsynsbegäran mail.docx", "A 53115-2020")</f>
        <v/>
      </c>
    </row>
    <row r="31" ht="15" customHeight="1">
      <c r="A31" t="inlineStr">
        <is>
          <t>A 58410-2020</t>
        </is>
      </c>
      <c r="B31" s="1" t="n">
        <v>44145</v>
      </c>
      <c r="C31" s="1" t="n">
        <v>45756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Tjockfotad fingersvamp</t>
        </is>
      </c>
      <c r="S31">
        <f>HYPERLINK("https://klasma.github.io/Logging_0881/artfynd/A 58410-2020 artfynd.xlsx", "A 58410-2020")</f>
        <v/>
      </c>
      <c r="T31">
        <f>HYPERLINK("https://klasma.github.io/Logging_0881/kartor/A 58410-2020 karta.png", "A 58410-2020")</f>
        <v/>
      </c>
      <c r="V31">
        <f>HYPERLINK("https://klasma.github.io/Logging_0881/klagomål/A 58410-2020 FSC-klagomål.docx", "A 58410-2020")</f>
        <v/>
      </c>
      <c r="W31">
        <f>HYPERLINK("https://klasma.github.io/Logging_0881/klagomålsmail/A 58410-2020 FSC-klagomål mail.docx", "A 58410-2020")</f>
        <v/>
      </c>
      <c r="X31">
        <f>HYPERLINK("https://klasma.github.io/Logging_0881/tillsyn/A 58410-2020 tillsynsbegäran.docx", "A 58410-2020")</f>
        <v/>
      </c>
      <c r="Y31">
        <f>HYPERLINK("https://klasma.github.io/Logging_0881/tillsynsmail/A 58410-2020 tillsynsbegäran mail.docx", "A 58410-2020")</f>
        <v/>
      </c>
    </row>
    <row r="32" ht="15" customHeight="1">
      <c r="A32" t="inlineStr">
        <is>
          <t>A 12093-2021</t>
        </is>
      </c>
      <c r="B32" s="1" t="n">
        <v>44266</v>
      </c>
      <c r="C32" s="1" t="n">
        <v>45756</v>
      </c>
      <c r="D32" t="inlineStr">
        <is>
          <t>KALMAR LÄN</t>
        </is>
      </c>
      <c r="E32" t="inlineStr">
        <is>
          <t>NYBRO</t>
        </is>
      </c>
      <c r="G32" t="n">
        <v>1.3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Spindelört
Spindelörtskinnbagge</t>
        </is>
      </c>
      <c r="S32">
        <f>HYPERLINK("https://klasma.github.io/Logging_0881/artfynd/A 12093-2021 artfynd.xlsx", "A 12093-2021")</f>
        <v/>
      </c>
      <c r="T32">
        <f>HYPERLINK("https://klasma.github.io/Logging_0881/kartor/A 12093-2021 karta.png", "A 12093-2021")</f>
        <v/>
      </c>
      <c r="V32">
        <f>HYPERLINK("https://klasma.github.io/Logging_0881/klagomål/A 12093-2021 FSC-klagomål.docx", "A 12093-2021")</f>
        <v/>
      </c>
      <c r="W32">
        <f>HYPERLINK("https://klasma.github.io/Logging_0881/klagomålsmail/A 12093-2021 FSC-klagomål mail.docx", "A 12093-2021")</f>
        <v/>
      </c>
      <c r="X32">
        <f>HYPERLINK("https://klasma.github.io/Logging_0881/tillsyn/A 12093-2021 tillsynsbegäran.docx", "A 12093-2021")</f>
        <v/>
      </c>
      <c r="Y32">
        <f>HYPERLINK("https://klasma.github.io/Logging_0881/tillsynsmail/A 12093-2021 tillsynsbegäran mail.docx", "A 12093-2021")</f>
        <v/>
      </c>
    </row>
    <row r="33" ht="15" customHeight="1">
      <c r="A33" t="inlineStr">
        <is>
          <t>A 26367-2021</t>
        </is>
      </c>
      <c r="B33" s="1" t="n">
        <v>44347</v>
      </c>
      <c r="C33" s="1" t="n">
        <v>45756</v>
      </c>
      <c r="D33" t="inlineStr">
        <is>
          <t>KALMAR LÄN</t>
        </is>
      </c>
      <c r="E33" t="inlineStr">
        <is>
          <t>NYBRO</t>
        </is>
      </c>
      <c r="G33" t="n">
        <v>23.7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Grovticka</t>
        </is>
      </c>
      <c r="S33">
        <f>HYPERLINK("https://klasma.github.io/Logging_0881/artfynd/A 26367-2021 artfynd.xlsx", "A 26367-2021")</f>
        <v/>
      </c>
      <c r="T33">
        <f>HYPERLINK("https://klasma.github.io/Logging_0881/kartor/A 26367-2021 karta.png", "A 26367-2021")</f>
        <v/>
      </c>
      <c r="V33">
        <f>HYPERLINK("https://klasma.github.io/Logging_0881/klagomål/A 26367-2021 FSC-klagomål.docx", "A 26367-2021")</f>
        <v/>
      </c>
      <c r="W33">
        <f>HYPERLINK("https://klasma.github.io/Logging_0881/klagomålsmail/A 26367-2021 FSC-klagomål mail.docx", "A 26367-2021")</f>
        <v/>
      </c>
      <c r="X33">
        <f>HYPERLINK("https://klasma.github.io/Logging_0881/tillsyn/A 26367-2021 tillsynsbegäran.docx", "A 26367-2021")</f>
        <v/>
      </c>
      <c r="Y33">
        <f>HYPERLINK("https://klasma.github.io/Logging_0881/tillsynsmail/A 26367-2021 tillsynsbegäran mail.docx", "A 26367-2021")</f>
        <v/>
      </c>
    </row>
    <row r="34" ht="15" customHeight="1">
      <c r="A34" t="inlineStr">
        <is>
          <t>A 33067-2022</t>
        </is>
      </c>
      <c r="B34" s="1" t="n">
        <v>44785</v>
      </c>
      <c r="C34" s="1" t="n">
        <v>45756</v>
      </c>
      <c r="D34" t="inlineStr">
        <is>
          <t>KALMAR LÄN</t>
        </is>
      </c>
      <c r="E34" t="inlineStr">
        <is>
          <t>NYBRO</t>
        </is>
      </c>
      <c r="G34" t="n">
        <v>14.1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Sommarfibbla
Tjäder</t>
        </is>
      </c>
      <c r="S34">
        <f>HYPERLINK("https://klasma.github.io/Logging_0881/artfynd/A 33067-2022 artfynd.xlsx", "A 33067-2022")</f>
        <v/>
      </c>
      <c r="T34">
        <f>HYPERLINK("https://klasma.github.io/Logging_0881/kartor/A 33067-2022 karta.png", "A 33067-2022")</f>
        <v/>
      </c>
      <c r="V34">
        <f>HYPERLINK("https://klasma.github.io/Logging_0881/klagomål/A 33067-2022 FSC-klagomål.docx", "A 33067-2022")</f>
        <v/>
      </c>
      <c r="W34">
        <f>HYPERLINK("https://klasma.github.io/Logging_0881/klagomålsmail/A 33067-2022 FSC-klagomål mail.docx", "A 33067-2022")</f>
        <v/>
      </c>
      <c r="X34">
        <f>HYPERLINK("https://klasma.github.io/Logging_0881/tillsyn/A 33067-2022 tillsynsbegäran.docx", "A 33067-2022")</f>
        <v/>
      </c>
      <c r="Y34">
        <f>HYPERLINK("https://klasma.github.io/Logging_0881/tillsynsmail/A 33067-2022 tillsynsbegäran mail.docx", "A 33067-2022")</f>
        <v/>
      </c>
      <c r="Z34">
        <f>HYPERLINK("https://klasma.github.io/Logging_0881/fåglar/A 33067-2022 prioriterade fågelarter.docx", "A 33067-2022")</f>
        <v/>
      </c>
    </row>
    <row r="35" ht="15" customHeight="1">
      <c r="A35" t="inlineStr">
        <is>
          <t>A 59145-2022</t>
        </is>
      </c>
      <c r="B35" s="1" t="n">
        <v>44904</v>
      </c>
      <c r="C35" s="1" t="n">
        <v>45756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11.3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Barbastell
Nordfladdermus</t>
        </is>
      </c>
      <c r="S35">
        <f>HYPERLINK("https://klasma.github.io/Logging_0881/artfynd/A 59145-2022 artfynd.xlsx", "A 59145-2022")</f>
        <v/>
      </c>
      <c r="T35">
        <f>HYPERLINK("https://klasma.github.io/Logging_0881/kartor/A 59145-2022 karta.png", "A 59145-2022")</f>
        <v/>
      </c>
      <c r="V35">
        <f>HYPERLINK("https://klasma.github.io/Logging_0881/klagomål/A 59145-2022 FSC-klagomål.docx", "A 59145-2022")</f>
        <v/>
      </c>
      <c r="W35">
        <f>HYPERLINK("https://klasma.github.io/Logging_0881/klagomålsmail/A 59145-2022 FSC-klagomål mail.docx", "A 59145-2022")</f>
        <v/>
      </c>
      <c r="X35">
        <f>HYPERLINK("https://klasma.github.io/Logging_0881/tillsyn/A 59145-2022 tillsynsbegäran.docx", "A 59145-2022")</f>
        <v/>
      </c>
      <c r="Y35">
        <f>HYPERLINK("https://klasma.github.io/Logging_0881/tillsynsmail/A 59145-2022 tillsynsbegäran mail.docx", "A 59145-2022")</f>
        <v/>
      </c>
    </row>
    <row r="36" ht="15" customHeight="1">
      <c r="A36" t="inlineStr">
        <is>
          <t>A 1529-2023</t>
        </is>
      </c>
      <c r="B36" s="1" t="n">
        <v>44937</v>
      </c>
      <c r="C36" s="1" t="n">
        <v>45756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4.1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Gröngöling
Trana</t>
        </is>
      </c>
      <c r="S36">
        <f>HYPERLINK("https://klasma.github.io/Logging_0881/artfynd/A 1529-2023 artfynd.xlsx", "A 1529-2023")</f>
        <v/>
      </c>
      <c r="T36">
        <f>HYPERLINK("https://klasma.github.io/Logging_0881/kartor/A 1529-2023 karta.png", "A 1529-2023")</f>
        <v/>
      </c>
      <c r="V36">
        <f>HYPERLINK("https://klasma.github.io/Logging_0881/klagomål/A 1529-2023 FSC-klagomål.docx", "A 1529-2023")</f>
        <v/>
      </c>
      <c r="W36">
        <f>HYPERLINK("https://klasma.github.io/Logging_0881/klagomålsmail/A 1529-2023 FSC-klagomål mail.docx", "A 1529-2023")</f>
        <v/>
      </c>
      <c r="X36">
        <f>HYPERLINK("https://klasma.github.io/Logging_0881/tillsyn/A 1529-2023 tillsynsbegäran.docx", "A 1529-2023")</f>
        <v/>
      </c>
      <c r="Y36">
        <f>HYPERLINK("https://klasma.github.io/Logging_0881/tillsynsmail/A 1529-2023 tillsynsbegäran mail.docx", "A 1529-2023")</f>
        <v/>
      </c>
      <c r="Z36">
        <f>HYPERLINK("https://klasma.github.io/Logging_0881/fåglar/A 1529-2023 prioriterade fågelarter.docx", "A 1529-2023")</f>
        <v/>
      </c>
    </row>
    <row r="37" ht="15" customHeight="1">
      <c r="A37" t="inlineStr">
        <is>
          <t>A 8742-2023</t>
        </is>
      </c>
      <c r="B37" s="1" t="n">
        <v>44978</v>
      </c>
      <c r="C37" s="1" t="n">
        <v>45756</v>
      </c>
      <c r="D37" t="inlineStr">
        <is>
          <t>KALMAR LÄN</t>
        </is>
      </c>
      <c r="E37" t="inlineStr">
        <is>
          <t>NYBRO</t>
        </is>
      </c>
      <c r="G37" t="n">
        <v>0.9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Rostfläck</t>
        </is>
      </c>
      <c r="S37">
        <f>HYPERLINK("https://klasma.github.io/Logging_0881/artfynd/A 8742-2023 artfynd.xlsx", "A 8742-2023")</f>
        <v/>
      </c>
      <c r="T37">
        <f>HYPERLINK("https://klasma.github.io/Logging_0881/kartor/A 8742-2023 karta.png", "A 8742-2023")</f>
        <v/>
      </c>
      <c r="V37">
        <f>HYPERLINK("https://klasma.github.io/Logging_0881/klagomål/A 8742-2023 FSC-klagomål.docx", "A 8742-2023")</f>
        <v/>
      </c>
      <c r="W37">
        <f>HYPERLINK("https://klasma.github.io/Logging_0881/klagomålsmail/A 8742-2023 FSC-klagomål mail.docx", "A 8742-2023")</f>
        <v/>
      </c>
      <c r="X37">
        <f>HYPERLINK("https://klasma.github.io/Logging_0881/tillsyn/A 8742-2023 tillsynsbegäran.docx", "A 8742-2023")</f>
        <v/>
      </c>
      <c r="Y37">
        <f>HYPERLINK("https://klasma.github.io/Logging_0881/tillsynsmail/A 8742-2023 tillsynsbegäran mail.docx", "A 8742-2023")</f>
        <v/>
      </c>
    </row>
    <row r="38" ht="15" customHeight="1">
      <c r="A38" t="inlineStr">
        <is>
          <t>A 23106-2023</t>
        </is>
      </c>
      <c r="B38" s="1" t="n">
        <v>45075</v>
      </c>
      <c r="C38" s="1" t="n">
        <v>45756</v>
      </c>
      <c r="D38" t="inlineStr">
        <is>
          <t>KALMAR LÄN</t>
        </is>
      </c>
      <c r="E38" t="inlineStr">
        <is>
          <t>NYBRO</t>
        </is>
      </c>
      <c r="G38" t="n">
        <v>9.6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Grovticka</t>
        </is>
      </c>
      <c r="S38">
        <f>HYPERLINK("https://klasma.github.io/Logging_0881/artfynd/A 23106-2023 artfynd.xlsx", "A 23106-2023")</f>
        <v/>
      </c>
      <c r="T38">
        <f>HYPERLINK("https://klasma.github.io/Logging_0881/kartor/A 23106-2023 karta.png", "A 23106-2023")</f>
        <v/>
      </c>
      <c r="V38">
        <f>HYPERLINK("https://klasma.github.io/Logging_0881/klagomål/A 23106-2023 FSC-klagomål.docx", "A 23106-2023")</f>
        <v/>
      </c>
      <c r="W38">
        <f>HYPERLINK("https://klasma.github.io/Logging_0881/klagomålsmail/A 23106-2023 FSC-klagomål mail.docx", "A 23106-2023")</f>
        <v/>
      </c>
      <c r="X38">
        <f>HYPERLINK("https://klasma.github.io/Logging_0881/tillsyn/A 23106-2023 tillsynsbegäran.docx", "A 23106-2023")</f>
        <v/>
      </c>
      <c r="Y38">
        <f>HYPERLINK("https://klasma.github.io/Logging_0881/tillsynsmail/A 23106-2023 tillsynsbegäran mail.docx", "A 23106-2023")</f>
        <v/>
      </c>
    </row>
    <row r="39" ht="15" customHeight="1">
      <c r="A39" t="inlineStr">
        <is>
          <t>A 26695-2023</t>
        </is>
      </c>
      <c r="B39" s="1" t="n">
        <v>45093</v>
      </c>
      <c r="C39" s="1" t="n">
        <v>45756</v>
      </c>
      <c r="D39" t="inlineStr">
        <is>
          <t>KALMAR LÄN</t>
        </is>
      </c>
      <c r="E39" t="inlineStr">
        <is>
          <t>NYBRO</t>
        </is>
      </c>
      <c r="G39" t="n">
        <v>1.4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Vågbandad barkbock
Järnsparv</t>
        </is>
      </c>
      <c r="S39">
        <f>HYPERLINK("https://klasma.github.io/Logging_0881/artfynd/A 26695-2023 artfynd.xlsx", "A 26695-2023")</f>
        <v/>
      </c>
      <c r="T39">
        <f>HYPERLINK("https://klasma.github.io/Logging_0881/kartor/A 26695-2023 karta.png", "A 26695-2023")</f>
        <v/>
      </c>
      <c r="V39">
        <f>HYPERLINK("https://klasma.github.io/Logging_0881/klagomål/A 26695-2023 FSC-klagomål.docx", "A 26695-2023")</f>
        <v/>
      </c>
      <c r="W39">
        <f>HYPERLINK("https://klasma.github.io/Logging_0881/klagomålsmail/A 26695-2023 FSC-klagomål mail.docx", "A 26695-2023")</f>
        <v/>
      </c>
      <c r="X39">
        <f>HYPERLINK("https://klasma.github.io/Logging_0881/tillsyn/A 26695-2023 tillsynsbegäran.docx", "A 26695-2023")</f>
        <v/>
      </c>
      <c r="Y39">
        <f>HYPERLINK("https://klasma.github.io/Logging_0881/tillsynsmail/A 26695-2023 tillsynsbegäran mail.docx", "A 26695-2023")</f>
        <v/>
      </c>
      <c r="Z39">
        <f>HYPERLINK("https://klasma.github.io/Logging_0881/fåglar/A 26695-2023 prioriterade fågelarter.docx", "A 26695-2023")</f>
        <v/>
      </c>
    </row>
    <row r="40" ht="15" customHeight="1">
      <c r="A40" t="inlineStr">
        <is>
          <t>A 26699-2023</t>
        </is>
      </c>
      <c r="B40" s="1" t="n">
        <v>45093</v>
      </c>
      <c r="C40" s="1" t="n">
        <v>45756</v>
      </c>
      <c r="D40" t="inlineStr">
        <is>
          <t>KALMAR LÄN</t>
        </is>
      </c>
      <c r="E40" t="inlineStr">
        <is>
          <t>NYBRO</t>
        </is>
      </c>
      <c r="G40" t="n">
        <v>2.1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Grönhjon
Vågbandad barkbock</t>
        </is>
      </c>
      <c r="S40">
        <f>HYPERLINK("https://klasma.github.io/Logging_0881/artfynd/A 26699-2023 artfynd.xlsx", "A 26699-2023")</f>
        <v/>
      </c>
      <c r="T40">
        <f>HYPERLINK("https://klasma.github.io/Logging_0881/kartor/A 26699-2023 karta.png", "A 26699-2023")</f>
        <v/>
      </c>
      <c r="V40">
        <f>HYPERLINK("https://klasma.github.io/Logging_0881/klagomål/A 26699-2023 FSC-klagomål.docx", "A 26699-2023")</f>
        <v/>
      </c>
      <c r="W40">
        <f>HYPERLINK("https://klasma.github.io/Logging_0881/klagomålsmail/A 26699-2023 FSC-klagomål mail.docx", "A 26699-2023")</f>
        <v/>
      </c>
      <c r="X40">
        <f>HYPERLINK("https://klasma.github.io/Logging_0881/tillsyn/A 26699-2023 tillsynsbegäran.docx", "A 26699-2023")</f>
        <v/>
      </c>
      <c r="Y40">
        <f>HYPERLINK("https://klasma.github.io/Logging_0881/tillsynsmail/A 26699-2023 tillsynsbegäran mail.docx", "A 26699-2023")</f>
        <v/>
      </c>
    </row>
    <row r="41" ht="15" customHeight="1">
      <c r="A41" t="inlineStr">
        <is>
          <t>A 27719-2023</t>
        </is>
      </c>
      <c r="B41" s="1" t="n">
        <v>45093</v>
      </c>
      <c r="C41" s="1" t="n">
        <v>45756</v>
      </c>
      <c r="D41" t="inlineStr">
        <is>
          <t>KALMAR LÄN</t>
        </is>
      </c>
      <c r="E41" t="inlineStr">
        <is>
          <t>NYBRO</t>
        </is>
      </c>
      <c r="G41" t="n">
        <v>20.4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Raggbock
Mindre träfjäril</t>
        </is>
      </c>
      <c r="S41">
        <f>HYPERLINK("https://klasma.github.io/Logging_0881/artfynd/A 27719-2023 artfynd.xlsx", "A 27719-2023")</f>
        <v/>
      </c>
      <c r="T41">
        <f>HYPERLINK("https://klasma.github.io/Logging_0881/kartor/A 27719-2023 karta.png", "A 27719-2023")</f>
        <v/>
      </c>
      <c r="V41">
        <f>HYPERLINK("https://klasma.github.io/Logging_0881/klagomål/A 27719-2023 FSC-klagomål.docx", "A 27719-2023")</f>
        <v/>
      </c>
      <c r="W41">
        <f>HYPERLINK("https://klasma.github.io/Logging_0881/klagomålsmail/A 27719-2023 FSC-klagomål mail.docx", "A 27719-2023")</f>
        <v/>
      </c>
      <c r="X41">
        <f>HYPERLINK("https://klasma.github.io/Logging_0881/tillsyn/A 27719-2023 tillsynsbegäran.docx", "A 27719-2023")</f>
        <v/>
      </c>
      <c r="Y41">
        <f>HYPERLINK("https://klasma.github.io/Logging_0881/tillsynsmail/A 27719-2023 tillsynsbegäran mail.docx", "A 27719-2023")</f>
        <v/>
      </c>
    </row>
    <row r="42" ht="15" customHeight="1">
      <c r="A42" t="inlineStr">
        <is>
          <t>A 41164-2023</t>
        </is>
      </c>
      <c r="B42" s="1" t="n">
        <v>45174</v>
      </c>
      <c r="C42" s="1" t="n">
        <v>45756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Duvhök
Tallticka</t>
        </is>
      </c>
      <c r="S42">
        <f>HYPERLINK("https://klasma.github.io/Logging_0881/artfynd/A 41164-2023 artfynd.xlsx", "A 41164-2023")</f>
        <v/>
      </c>
      <c r="T42">
        <f>HYPERLINK("https://klasma.github.io/Logging_0881/kartor/A 41164-2023 karta.png", "A 41164-2023")</f>
        <v/>
      </c>
      <c r="V42">
        <f>HYPERLINK("https://klasma.github.io/Logging_0881/klagomål/A 41164-2023 FSC-klagomål.docx", "A 41164-2023")</f>
        <v/>
      </c>
      <c r="W42">
        <f>HYPERLINK("https://klasma.github.io/Logging_0881/klagomålsmail/A 41164-2023 FSC-klagomål mail.docx", "A 41164-2023")</f>
        <v/>
      </c>
      <c r="X42">
        <f>HYPERLINK("https://klasma.github.io/Logging_0881/tillsyn/A 41164-2023 tillsynsbegäran.docx", "A 41164-2023")</f>
        <v/>
      </c>
      <c r="Y42">
        <f>HYPERLINK("https://klasma.github.io/Logging_0881/tillsynsmail/A 41164-2023 tillsynsbegäran mail.docx", "A 41164-2023")</f>
        <v/>
      </c>
      <c r="Z42">
        <f>HYPERLINK("https://klasma.github.io/Logging_0881/fåglar/A 41164-2023 prioriterade fågelarter.docx", "A 41164-2023")</f>
        <v/>
      </c>
    </row>
    <row r="43" ht="15" customHeight="1">
      <c r="A43" t="inlineStr">
        <is>
          <t>A 43194-2023</t>
        </is>
      </c>
      <c r="B43" s="1" t="n">
        <v>45183</v>
      </c>
      <c r="C43" s="1" t="n">
        <v>45756</v>
      </c>
      <c r="D43" t="inlineStr">
        <is>
          <t>KALMAR LÄN</t>
        </is>
      </c>
      <c r="E43" t="inlineStr">
        <is>
          <t>NYBRO</t>
        </is>
      </c>
      <c r="G43" t="n">
        <v>6.4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Vårstarr
Nattviol</t>
        </is>
      </c>
      <c r="S43">
        <f>HYPERLINK("https://klasma.github.io/Logging_0881/artfynd/A 43194-2023 artfynd.xlsx", "A 43194-2023")</f>
        <v/>
      </c>
      <c r="T43">
        <f>HYPERLINK("https://klasma.github.io/Logging_0881/kartor/A 43194-2023 karta.png", "A 43194-2023")</f>
        <v/>
      </c>
      <c r="V43">
        <f>HYPERLINK("https://klasma.github.io/Logging_0881/klagomål/A 43194-2023 FSC-klagomål.docx", "A 43194-2023")</f>
        <v/>
      </c>
      <c r="W43">
        <f>HYPERLINK("https://klasma.github.io/Logging_0881/klagomålsmail/A 43194-2023 FSC-klagomål mail.docx", "A 43194-2023")</f>
        <v/>
      </c>
      <c r="X43">
        <f>HYPERLINK("https://klasma.github.io/Logging_0881/tillsyn/A 43194-2023 tillsynsbegäran.docx", "A 43194-2023")</f>
        <v/>
      </c>
      <c r="Y43">
        <f>HYPERLINK("https://klasma.github.io/Logging_0881/tillsynsmail/A 43194-2023 tillsynsbegäran mail.docx", "A 43194-2023")</f>
        <v/>
      </c>
    </row>
    <row r="44" ht="15" customHeight="1">
      <c r="A44" t="inlineStr">
        <is>
          <t>A 43712-2023</t>
        </is>
      </c>
      <c r="B44" s="1" t="n">
        <v>45187</v>
      </c>
      <c r="C44" s="1" t="n">
        <v>45756</v>
      </c>
      <c r="D44" t="inlineStr">
        <is>
          <t>KALMAR LÄN</t>
        </is>
      </c>
      <c r="E44" t="inlineStr">
        <is>
          <t>NYBRO</t>
        </is>
      </c>
      <c r="G44" t="n">
        <v>4.5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Grönpyrola
Skogsknipprot</t>
        </is>
      </c>
      <c r="S44">
        <f>HYPERLINK("https://klasma.github.io/Logging_0881/artfynd/A 43712-2023 artfynd.xlsx", "A 43712-2023")</f>
        <v/>
      </c>
      <c r="T44">
        <f>HYPERLINK("https://klasma.github.io/Logging_0881/kartor/A 43712-2023 karta.png", "A 43712-2023")</f>
        <v/>
      </c>
      <c r="V44">
        <f>HYPERLINK("https://klasma.github.io/Logging_0881/klagomål/A 43712-2023 FSC-klagomål.docx", "A 43712-2023")</f>
        <v/>
      </c>
      <c r="W44">
        <f>HYPERLINK("https://klasma.github.io/Logging_0881/klagomålsmail/A 43712-2023 FSC-klagomål mail.docx", "A 43712-2023")</f>
        <v/>
      </c>
      <c r="X44">
        <f>HYPERLINK("https://klasma.github.io/Logging_0881/tillsyn/A 43712-2023 tillsynsbegäran.docx", "A 43712-2023")</f>
        <v/>
      </c>
      <c r="Y44">
        <f>HYPERLINK("https://klasma.github.io/Logging_0881/tillsynsmail/A 43712-2023 tillsynsbegäran mail.docx", "A 43712-2023")</f>
        <v/>
      </c>
    </row>
    <row r="45" ht="15" customHeight="1">
      <c r="A45" t="inlineStr">
        <is>
          <t>A 47904-2023</t>
        </is>
      </c>
      <c r="B45" s="1" t="n">
        <v>45204</v>
      </c>
      <c r="C45" s="1" t="n">
        <v>45756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3.2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Solvända
Gullviva</t>
        </is>
      </c>
      <c r="S45">
        <f>HYPERLINK("https://klasma.github.io/Logging_0881/artfynd/A 47904-2023 artfynd.xlsx", "A 47904-2023")</f>
        <v/>
      </c>
      <c r="T45">
        <f>HYPERLINK("https://klasma.github.io/Logging_0881/kartor/A 47904-2023 karta.png", "A 47904-2023")</f>
        <v/>
      </c>
      <c r="V45">
        <f>HYPERLINK("https://klasma.github.io/Logging_0881/klagomål/A 47904-2023 FSC-klagomål.docx", "A 47904-2023")</f>
        <v/>
      </c>
      <c r="W45">
        <f>HYPERLINK("https://klasma.github.io/Logging_0881/klagomålsmail/A 47904-2023 FSC-klagomål mail.docx", "A 47904-2023")</f>
        <v/>
      </c>
      <c r="X45">
        <f>HYPERLINK("https://klasma.github.io/Logging_0881/tillsyn/A 47904-2023 tillsynsbegäran.docx", "A 47904-2023")</f>
        <v/>
      </c>
      <c r="Y45">
        <f>HYPERLINK("https://klasma.github.io/Logging_0881/tillsynsmail/A 47904-2023 tillsynsbegäran mail.docx", "A 47904-2023")</f>
        <v/>
      </c>
    </row>
    <row r="46" ht="15" customHeight="1">
      <c r="A46" t="inlineStr">
        <is>
          <t>A 51784-2023</t>
        </is>
      </c>
      <c r="B46" s="1" t="n">
        <v>45222</v>
      </c>
      <c r="C46" s="1" t="n">
        <v>45756</v>
      </c>
      <c r="D46" t="inlineStr">
        <is>
          <t>KALMAR LÄN</t>
        </is>
      </c>
      <c r="E46" t="inlineStr">
        <is>
          <t>NYBRO</t>
        </is>
      </c>
      <c r="G46" t="n">
        <v>1.2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Tvåblad</t>
        </is>
      </c>
      <c r="S46">
        <f>HYPERLINK("https://klasma.github.io/Logging_0881/artfynd/A 51784-2023 artfynd.xlsx", "A 51784-2023")</f>
        <v/>
      </c>
      <c r="T46">
        <f>HYPERLINK("https://klasma.github.io/Logging_0881/kartor/A 51784-2023 karta.png", "A 51784-2023")</f>
        <v/>
      </c>
      <c r="V46">
        <f>HYPERLINK("https://klasma.github.io/Logging_0881/klagomål/A 51784-2023 FSC-klagomål.docx", "A 51784-2023")</f>
        <v/>
      </c>
      <c r="W46">
        <f>HYPERLINK("https://klasma.github.io/Logging_0881/klagomålsmail/A 51784-2023 FSC-klagomål mail.docx", "A 51784-2023")</f>
        <v/>
      </c>
      <c r="X46">
        <f>HYPERLINK("https://klasma.github.io/Logging_0881/tillsyn/A 51784-2023 tillsynsbegäran.docx", "A 51784-2023")</f>
        <v/>
      </c>
      <c r="Y46">
        <f>HYPERLINK("https://klasma.github.io/Logging_0881/tillsynsmail/A 51784-2023 tillsynsbegäran mail.docx", "A 51784-2023")</f>
        <v/>
      </c>
    </row>
    <row r="47" ht="15" customHeight="1">
      <c r="A47" t="inlineStr">
        <is>
          <t>A 57509-2023</t>
        </is>
      </c>
      <c r="B47" s="1" t="n">
        <v>45246</v>
      </c>
      <c r="C47" s="1" t="n">
        <v>45756</v>
      </c>
      <c r="D47" t="inlineStr">
        <is>
          <t>KALMAR LÄN</t>
        </is>
      </c>
      <c r="E47" t="inlineStr">
        <is>
          <t>NYBRO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Ryl
Vårstarr</t>
        </is>
      </c>
      <c r="S47">
        <f>HYPERLINK("https://klasma.github.io/Logging_0881/artfynd/A 57509-2023 artfynd.xlsx", "A 57509-2023")</f>
        <v/>
      </c>
      <c r="T47">
        <f>HYPERLINK("https://klasma.github.io/Logging_0881/kartor/A 57509-2023 karta.png", "A 57509-2023")</f>
        <v/>
      </c>
      <c r="V47">
        <f>HYPERLINK("https://klasma.github.io/Logging_0881/klagomål/A 57509-2023 FSC-klagomål.docx", "A 57509-2023")</f>
        <v/>
      </c>
      <c r="W47">
        <f>HYPERLINK("https://klasma.github.io/Logging_0881/klagomålsmail/A 57509-2023 FSC-klagomål mail.docx", "A 57509-2023")</f>
        <v/>
      </c>
      <c r="X47">
        <f>HYPERLINK("https://klasma.github.io/Logging_0881/tillsyn/A 57509-2023 tillsynsbegäran.docx", "A 57509-2023")</f>
        <v/>
      </c>
      <c r="Y47">
        <f>HYPERLINK("https://klasma.github.io/Logging_0881/tillsynsmail/A 57509-2023 tillsynsbegäran mail.docx", "A 57509-2023")</f>
        <v/>
      </c>
    </row>
    <row r="48" ht="15" customHeight="1">
      <c r="A48" t="inlineStr">
        <is>
          <t>A 9186-2024</t>
        </is>
      </c>
      <c r="B48" s="1" t="n">
        <v>45358</v>
      </c>
      <c r="C48" s="1" t="n">
        <v>45756</v>
      </c>
      <c r="D48" t="inlineStr">
        <is>
          <t>KALMAR LÄN</t>
        </is>
      </c>
      <c r="E48" t="inlineStr">
        <is>
          <t>NYBRO</t>
        </is>
      </c>
      <c r="G48" t="n">
        <v>3.8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Dropptaggsvamp</t>
        </is>
      </c>
      <c r="S48">
        <f>HYPERLINK("https://klasma.github.io/Logging_0881/artfynd/A 9186-2024 artfynd.xlsx", "A 9186-2024")</f>
        <v/>
      </c>
      <c r="T48">
        <f>HYPERLINK("https://klasma.github.io/Logging_0881/kartor/A 9186-2024 karta.png", "A 9186-2024")</f>
        <v/>
      </c>
      <c r="V48">
        <f>HYPERLINK("https://klasma.github.io/Logging_0881/klagomål/A 9186-2024 FSC-klagomål.docx", "A 9186-2024")</f>
        <v/>
      </c>
      <c r="W48">
        <f>HYPERLINK("https://klasma.github.io/Logging_0881/klagomålsmail/A 9186-2024 FSC-klagomål mail.docx", "A 9186-2024")</f>
        <v/>
      </c>
      <c r="X48">
        <f>HYPERLINK("https://klasma.github.io/Logging_0881/tillsyn/A 9186-2024 tillsynsbegäran.docx", "A 9186-2024")</f>
        <v/>
      </c>
      <c r="Y48">
        <f>HYPERLINK("https://klasma.github.io/Logging_0881/tillsynsmail/A 9186-2024 tillsynsbegäran mail.docx", "A 9186-2024")</f>
        <v/>
      </c>
    </row>
    <row r="49" ht="15" customHeight="1">
      <c r="A49" t="inlineStr">
        <is>
          <t>A 11026-2024</t>
        </is>
      </c>
      <c r="B49" s="1" t="n">
        <v>45370</v>
      </c>
      <c r="C49" s="1" t="n">
        <v>45756</v>
      </c>
      <c r="D49" t="inlineStr">
        <is>
          <t>KALMAR LÄN</t>
        </is>
      </c>
      <c r="E49" t="inlineStr">
        <is>
          <t>NYBRO</t>
        </is>
      </c>
      <c r="G49" t="n">
        <v>5.9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Tallticka
Talltita</t>
        </is>
      </c>
      <c r="S49">
        <f>HYPERLINK("https://klasma.github.io/Logging_0881/artfynd/A 11026-2024 artfynd.xlsx", "A 11026-2024")</f>
        <v/>
      </c>
      <c r="T49">
        <f>HYPERLINK("https://klasma.github.io/Logging_0881/kartor/A 11026-2024 karta.png", "A 11026-2024")</f>
        <v/>
      </c>
      <c r="V49">
        <f>HYPERLINK("https://klasma.github.io/Logging_0881/klagomål/A 11026-2024 FSC-klagomål.docx", "A 11026-2024")</f>
        <v/>
      </c>
      <c r="W49">
        <f>HYPERLINK("https://klasma.github.io/Logging_0881/klagomålsmail/A 11026-2024 FSC-klagomål mail.docx", "A 11026-2024")</f>
        <v/>
      </c>
      <c r="X49">
        <f>HYPERLINK("https://klasma.github.io/Logging_0881/tillsyn/A 11026-2024 tillsynsbegäran.docx", "A 11026-2024")</f>
        <v/>
      </c>
      <c r="Y49">
        <f>HYPERLINK("https://klasma.github.io/Logging_0881/tillsynsmail/A 11026-2024 tillsynsbegäran mail.docx", "A 11026-2024")</f>
        <v/>
      </c>
      <c r="Z49">
        <f>HYPERLINK("https://klasma.github.io/Logging_0881/fåglar/A 11026-2024 prioriterade fågelarter.docx", "A 11026-2024")</f>
        <v/>
      </c>
    </row>
    <row r="50" ht="15" customHeight="1">
      <c r="A50" t="inlineStr">
        <is>
          <t>A 19145-2024</t>
        </is>
      </c>
      <c r="B50" s="1" t="n">
        <v>45428</v>
      </c>
      <c r="C50" s="1" t="n">
        <v>45756</v>
      </c>
      <c r="D50" t="inlineStr">
        <is>
          <t>KALMAR LÄN</t>
        </is>
      </c>
      <c r="E50" t="inlineStr">
        <is>
          <t>NYBRO</t>
        </is>
      </c>
      <c r="G50" t="n">
        <v>3.5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Grönsiska
Kungsfågel</t>
        </is>
      </c>
      <c r="S50">
        <f>HYPERLINK("https://klasma.github.io/Logging_0881/artfynd/A 19145-2024 artfynd.xlsx", "A 19145-2024")</f>
        <v/>
      </c>
      <c r="T50">
        <f>HYPERLINK("https://klasma.github.io/Logging_0881/kartor/A 19145-2024 karta.png", "A 19145-2024")</f>
        <v/>
      </c>
      <c r="V50">
        <f>HYPERLINK("https://klasma.github.io/Logging_0881/klagomål/A 19145-2024 FSC-klagomål.docx", "A 19145-2024")</f>
        <v/>
      </c>
      <c r="W50">
        <f>HYPERLINK("https://klasma.github.io/Logging_0881/klagomålsmail/A 19145-2024 FSC-klagomål mail.docx", "A 19145-2024")</f>
        <v/>
      </c>
      <c r="X50">
        <f>HYPERLINK("https://klasma.github.io/Logging_0881/tillsyn/A 19145-2024 tillsynsbegäran.docx", "A 19145-2024")</f>
        <v/>
      </c>
      <c r="Y50">
        <f>HYPERLINK("https://klasma.github.io/Logging_0881/tillsynsmail/A 19145-2024 tillsynsbegäran mail.docx", "A 19145-2024")</f>
        <v/>
      </c>
      <c r="Z50">
        <f>HYPERLINK("https://klasma.github.io/Logging_0881/fåglar/A 19145-2024 prioriterade fågelarter.docx", "A 19145-2024")</f>
        <v/>
      </c>
    </row>
    <row r="51" ht="15" customHeight="1">
      <c r="A51" t="inlineStr">
        <is>
          <t>A 21748-2024</t>
        </is>
      </c>
      <c r="B51" s="1" t="n">
        <v>45442</v>
      </c>
      <c r="C51" s="1" t="n">
        <v>45756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1.4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Blomskägglav
Guldlockmossa</t>
        </is>
      </c>
      <c r="S51">
        <f>HYPERLINK("https://klasma.github.io/Logging_0881/artfynd/A 21748-2024 artfynd.xlsx", "A 21748-2024")</f>
        <v/>
      </c>
      <c r="T51">
        <f>HYPERLINK("https://klasma.github.io/Logging_0881/kartor/A 21748-2024 karta.png", "A 21748-2024")</f>
        <v/>
      </c>
      <c r="V51">
        <f>HYPERLINK("https://klasma.github.io/Logging_0881/klagomål/A 21748-2024 FSC-klagomål.docx", "A 21748-2024")</f>
        <v/>
      </c>
      <c r="W51">
        <f>HYPERLINK("https://klasma.github.io/Logging_0881/klagomålsmail/A 21748-2024 FSC-klagomål mail.docx", "A 21748-2024")</f>
        <v/>
      </c>
      <c r="X51">
        <f>HYPERLINK("https://klasma.github.io/Logging_0881/tillsyn/A 21748-2024 tillsynsbegäran.docx", "A 21748-2024")</f>
        <v/>
      </c>
      <c r="Y51">
        <f>HYPERLINK("https://klasma.github.io/Logging_0881/tillsynsmail/A 21748-2024 tillsynsbegäran mail.docx", "A 21748-2024")</f>
        <v/>
      </c>
    </row>
    <row r="52" ht="15" customHeight="1">
      <c r="A52" t="inlineStr">
        <is>
          <t>A 22683-2024</t>
        </is>
      </c>
      <c r="B52" s="1" t="n">
        <v>45447</v>
      </c>
      <c r="C52" s="1" t="n">
        <v>45756</v>
      </c>
      <c r="D52" t="inlineStr">
        <is>
          <t>KALMAR LÄN</t>
        </is>
      </c>
      <c r="E52" t="inlineStr">
        <is>
          <t>NYBRO</t>
        </is>
      </c>
      <c r="G52" t="n">
        <v>6.7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Purpurknipprot
Skogsknipprot</t>
        </is>
      </c>
      <c r="S52">
        <f>HYPERLINK("https://klasma.github.io/Logging_0881/artfynd/A 22683-2024 artfynd.xlsx", "A 22683-2024")</f>
        <v/>
      </c>
      <c r="T52">
        <f>HYPERLINK("https://klasma.github.io/Logging_0881/kartor/A 22683-2024 karta.png", "A 22683-2024")</f>
        <v/>
      </c>
      <c r="V52">
        <f>HYPERLINK("https://klasma.github.io/Logging_0881/klagomål/A 22683-2024 FSC-klagomål.docx", "A 22683-2024")</f>
        <v/>
      </c>
      <c r="W52">
        <f>HYPERLINK("https://klasma.github.io/Logging_0881/klagomålsmail/A 22683-2024 FSC-klagomål mail.docx", "A 22683-2024")</f>
        <v/>
      </c>
      <c r="X52">
        <f>HYPERLINK("https://klasma.github.io/Logging_0881/tillsyn/A 22683-2024 tillsynsbegäran.docx", "A 22683-2024")</f>
        <v/>
      </c>
      <c r="Y52">
        <f>HYPERLINK("https://klasma.github.io/Logging_0881/tillsynsmail/A 22683-2024 tillsynsbegäran mail.docx", "A 22683-2024")</f>
        <v/>
      </c>
    </row>
    <row r="53" ht="15" customHeight="1">
      <c r="A53" t="inlineStr">
        <is>
          <t>A 58350-2024</t>
        </is>
      </c>
      <c r="B53" s="1" t="n">
        <v>45631</v>
      </c>
      <c r="C53" s="1" t="n">
        <v>45756</v>
      </c>
      <c r="D53" t="inlineStr">
        <is>
          <t>KALMAR LÄN</t>
        </is>
      </c>
      <c r="E53" t="inlineStr">
        <is>
          <t>NYBRO</t>
        </is>
      </c>
      <c r="F53" t="inlineStr">
        <is>
          <t>Kyrkan</t>
        </is>
      </c>
      <c r="G53" t="n">
        <v>2.7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Revig blodrot
Blåmossa</t>
        </is>
      </c>
      <c r="S53">
        <f>HYPERLINK("https://klasma.github.io/Logging_0881/artfynd/A 58350-2024 artfynd.xlsx", "A 58350-2024")</f>
        <v/>
      </c>
      <c r="T53">
        <f>HYPERLINK("https://klasma.github.io/Logging_0881/kartor/A 58350-2024 karta.png", "A 58350-2024")</f>
        <v/>
      </c>
      <c r="V53">
        <f>HYPERLINK("https://klasma.github.io/Logging_0881/klagomål/A 58350-2024 FSC-klagomål.docx", "A 58350-2024")</f>
        <v/>
      </c>
      <c r="W53">
        <f>HYPERLINK("https://klasma.github.io/Logging_0881/klagomålsmail/A 58350-2024 FSC-klagomål mail.docx", "A 58350-2024")</f>
        <v/>
      </c>
      <c r="X53">
        <f>HYPERLINK("https://klasma.github.io/Logging_0881/tillsyn/A 58350-2024 tillsynsbegäran.docx", "A 58350-2024")</f>
        <v/>
      </c>
      <c r="Y53">
        <f>HYPERLINK("https://klasma.github.io/Logging_0881/tillsynsmail/A 58350-2024 tillsynsbegäran mail.docx", "A 58350-2024")</f>
        <v/>
      </c>
    </row>
    <row r="54" ht="15" customHeight="1">
      <c r="A54" t="inlineStr">
        <is>
          <t>A 61894-2024</t>
        </is>
      </c>
      <c r="B54" s="1" t="n">
        <v>45652</v>
      </c>
      <c r="C54" s="1" t="n">
        <v>45756</v>
      </c>
      <c r="D54" t="inlineStr">
        <is>
          <t>KALMAR LÄN</t>
        </is>
      </c>
      <c r="E54" t="inlineStr">
        <is>
          <t>NYBRO</t>
        </is>
      </c>
      <c r="G54" t="n">
        <v>2.3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Blåmossa</t>
        </is>
      </c>
      <c r="S54">
        <f>HYPERLINK("https://klasma.github.io/Logging_0881/artfynd/A 61894-2024 artfynd.xlsx", "A 61894-2024")</f>
        <v/>
      </c>
      <c r="T54">
        <f>HYPERLINK("https://klasma.github.io/Logging_0881/kartor/A 61894-2024 karta.png", "A 61894-2024")</f>
        <v/>
      </c>
      <c r="V54">
        <f>HYPERLINK("https://klasma.github.io/Logging_0881/klagomål/A 61894-2024 FSC-klagomål.docx", "A 61894-2024")</f>
        <v/>
      </c>
      <c r="W54">
        <f>HYPERLINK("https://klasma.github.io/Logging_0881/klagomålsmail/A 61894-2024 FSC-klagomål mail.docx", "A 61894-2024")</f>
        <v/>
      </c>
      <c r="X54">
        <f>HYPERLINK("https://klasma.github.io/Logging_0881/tillsyn/A 61894-2024 tillsynsbegäran.docx", "A 61894-2024")</f>
        <v/>
      </c>
      <c r="Y54">
        <f>HYPERLINK("https://klasma.github.io/Logging_0881/tillsynsmail/A 61894-2024 tillsynsbegäran mail.docx", "A 61894-2024")</f>
        <v/>
      </c>
      <c r="Z54">
        <f>HYPERLINK("https://klasma.github.io/Logging_0881/fåglar/A 61894-2024 prioriterade fågelarter.docx", "A 61894-2024")</f>
        <v/>
      </c>
    </row>
    <row r="55" ht="15" customHeight="1">
      <c r="A55" t="inlineStr">
        <is>
          <t>A 6062-2025</t>
        </is>
      </c>
      <c r="B55" s="1" t="n">
        <v>45695</v>
      </c>
      <c r="C55" s="1" t="n">
        <v>45756</v>
      </c>
      <c r="D55" t="inlineStr">
        <is>
          <t>KALMAR LÄN</t>
        </is>
      </c>
      <c r="E55" t="inlineStr">
        <is>
          <t>NYBRO</t>
        </is>
      </c>
      <c r="G55" t="n">
        <v>5.1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Skarp dropptaggsvamp
Blåsippa</t>
        </is>
      </c>
      <c r="S55">
        <f>HYPERLINK("https://klasma.github.io/Logging_0881/artfynd/A 6062-2025 artfynd.xlsx", "A 6062-2025")</f>
        <v/>
      </c>
      <c r="T55">
        <f>HYPERLINK("https://klasma.github.io/Logging_0881/kartor/A 6062-2025 karta.png", "A 6062-2025")</f>
        <v/>
      </c>
      <c r="U55">
        <f>HYPERLINK("https://klasma.github.io/Logging_0881/knärot/A 6062-2025 karta knärot.png", "A 6062-2025")</f>
        <v/>
      </c>
      <c r="V55">
        <f>HYPERLINK("https://klasma.github.io/Logging_0881/klagomål/A 6062-2025 FSC-klagomål.docx", "A 6062-2025")</f>
        <v/>
      </c>
      <c r="W55">
        <f>HYPERLINK("https://klasma.github.io/Logging_0881/klagomålsmail/A 6062-2025 FSC-klagomål mail.docx", "A 6062-2025")</f>
        <v/>
      </c>
      <c r="X55">
        <f>HYPERLINK("https://klasma.github.io/Logging_0881/tillsyn/A 6062-2025 tillsynsbegäran.docx", "A 6062-2025")</f>
        <v/>
      </c>
      <c r="Y55">
        <f>HYPERLINK("https://klasma.github.io/Logging_0881/tillsynsmail/A 6062-2025 tillsynsbegäran mail.docx", "A 6062-2025")</f>
        <v/>
      </c>
    </row>
    <row r="56" ht="15" customHeight="1">
      <c r="A56" t="inlineStr">
        <is>
          <t>A 12506-2025</t>
        </is>
      </c>
      <c r="B56" s="1" t="n">
        <v>45730</v>
      </c>
      <c r="C56" s="1" t="n">
        <v>45756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Rödbrun blankbock</t>
        </is>
      </c>
      <c r="S56">
        <f>HYPERLINK("https://klasma.github.io/Logging_080881/artfynd/A 12506-2025 artfynd.xlsx", "A 12506-2025")</f>
        <v/>
      </c>
      <c r="T56">
        <f>HYPERLINK("https://klasma.github.io/Logging_080881/kartor/A 12506-2025 karta.png", "A 12506-2025")</f>
        <v/>
      </c>
      <c r="V56">
        <f>HYPERLINK("https://klasma.github.io/Logging_080881/klagomål/A 12506-2025 FSC-klagomål.docx", "A 12506-2025")</f>
        <v/>
      </c>
      <c r="W56">
        <f>HYPERLINK("https://klasma.github.io/Logging_080881/klagomålsmail/A 12506-2025 FSC-klagomål mail.docx", "A 12506-2025")</f>
        <v/>
      </c>
      <c r="X56">
        <f>HYPERLINK("https://klasma.github.io/Logging_080881/tillsyn/A 12506-2025 tillsynsbegäran.docx", "A 12506-2025")</f>
        <v/>
      </c>
      <c r="Y56">
        <f>HYPERLINK("https://klasma.github.io/Logging_080881/tillsynsmail/A 12506-2025 tillsynsbegäran mail.docx", "A 12506-2025")</f>
        <v/>
      </c>
    </row>
    <row r="57" ht="15" customHeight="1">
      <c r="A57" t="inlineStr">
        <is>
          <t>A 17819-2019</t>
        </is>
      </c>
      <c r="B57" s="1" t="n">
        <v>43556</v>
      </c>
      <c r="C57" s="1" t="n">
        <v>45756</v>
      </c>
      <c r="D57" t="inlineStr">
        <is>
          <t>KALMAR LÄN</t>
        </is>
      </c>
      <c r="E57" t="inlineStr">
        <is>
          <t>NYBRO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Sårläka</t>
        </is>
      </c>
      <c r="S57">
        <f>HYPERLINK("https://klasma.github.io/Logging_0881/artfynd/A 17819-2019 artfynd.xlsx", "A 17819-2019")</f>
        <v/>
      </c>
      <c r="T57">
        <f>HYPERLINK("https://klasma.github.io/Logging_0881/kartor/A 17819-2019 karta.png", "A 17819-2019")</f>
        <v/>
      </c>
      <c r="V57">
        <f>HYPERLINK("https://klasma.github.io/Logging_0881/klagomål/A 17819-2019 FSC-klagomål.docx", "A 17819-2019")</f>
        <v/>
      </c>
      <c r="W57">
        <f>HYPERLINK("https://klasma.github.io/Logging_0881/klagomålsmail/A 17819-2019 FSC-klagomål mail.docx", "A 17819-2019")</f>
        <v/>
      </c>
      <c r="X57">
        <f>HYPERLINK("https://klasma.github.io/Logging_0881/tillsyn/A 17819-2019 tillsynsbegäran.docx", "A 17819-2019")</f>
        <v/>
      </c>
      <c r="Y57">
        <f>HYPERLINK("https://klasma.github.io/Logging_0881/tillsynsmail/A 17819-2019 tillsynsbegäran mail.docx", "A 17819-2019")</f>
        <v/>
      </c>
    </row>
    <row r="58" ht="15" customHeight="1">
      <c r="A58" t="inlineStr">
        <is>
          <t>A 20046-2019</t>
        </is>
      </c>
      <c r="B58" s="1" t="n">
        <v>43570</v>
      </c>
      <c r="C58" s="1" t="n">
        <v>45756</v>
      </c>
      <c r="D58" t="inlineStr">
        <is>
          <t>KALMAR LÄN</t>
        </is>
      </c>
      <c r="E58" t="inlineStr">
        <is>
          <t>NYBRO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HYPERLINK("https://klasma.github.io/Logging_0881/artfynd/A 20046-2019 artfynd.xlsx", "A 20046-2019")</f>
        <v/>
      </c>
      <c r="T58">
        <f>HYPERLINK("https://klasma.github.io/Logging_0881/kartor/A 20046-2019 karta.png", "A 20046-2019")</f>
        <v/>
      </c>
      <c r="V58">
        <f>HYPERLINK("https://klasma.github.io/Logging_0881/klagomål/A 20046-2019 FSC-klagomål.docx", "A 20046-2019")</f>
        <v/>
      </c>
      <c r="W58">
        <f>HYPERLINK("https://klasma.github.io/Logging_0881/klagomålsmail/A 20046-2019 FSC-klagomål mail.docx", "A 20046-2019")</f>
        <v/>
      </c>
      <c r="X58">
        <f>HYPERLINK("https://klasma.github.io/Logging_0881/tillsyn/A 20046-2019 tillsynsbegäran.docx", "A 20046-2019")</f>
        <v/>
      </c>
      <c r="Y58">
        <f>HYPERLINK("https://klasma.github.io/Logging_0881/tillsynsmail/A 20046-2019 tillsynsbegäran mail.docx", "A 20046-2019")</f>
        <v/>
      </c>
    </row>
    <row r="59" ht="15" customHeight="1">
      <c r="A59" t="inlineStr">
        <is>
          <t>A 21406-2019</t>
        </is>
      </c>
      <c r="B59" s="1" t="n">
        <v>43580</v>
      </c>
      <c r="C59" s="1" t="n">
        <v>45756</v>
      </c>
      <c r="D59" t="inlineStr">
        <is>
          <t>KALMAR LÄN</t>
        </is>
      </c>
      <c r="E59" t="inlineStr">
        <is>
          <t>NYBRO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HYPERLINK("https://klasma.github.io/Logging_0881/artfynd/A 21406-2019 artfynd.xlsx", "A 21406-2019")</f>
        <v/>
      </c>
      <c r="T59">
        <f>HYPERLINK("https://klasma.github.io/Logging_0881/kartor/A 21406-2019 karta.png", "A 21406-2019")</f>
        <v/>
      </c>
      <c r="V59">
        <f>HYPERLINK("https://klasma.github.io/Logging_0881/klagomål/A 21406-2019 FSC-klagomål.docx", "A 21406-2019")</f>
        <v/>
      </c>
      <c r="W59">
        <f>HYPERLINK("https://klasma.github.io/Logging_0881/klagomålsmail/A 21406-2019 FSC-klagomål mail.docx", "A 21406-2019")</f>
        <v/>
      </c>
      <c r="X59">
        <f>HYPERLINK("https://klasma.github.io/Logging_0881/tillsyn/A 21406-2019 tillsynsbegäran.docx", "A 21406-2019")</f>
        <v/>
      </c>
      <c r="Y59">
        <f>HYPERLINK("https://klasma.github.io/Logging_0881/tillsynsmail/A 21406-2019 tillsynsbegäran mail.docx", "A 21406-2019")</f>
        <v/>
      </c>
    </row>
    <row r="60" ht="15" customHeight="1">
      <c r="A60" t="inlineStr">
        <is>
          <t>A 25676-2019</t>
        </is>
      </c>
      <c r="B60" s="1" t="n">
        <v>43607</v>
      </c>
      <c r="C60" s="1" t="n">
        <v>45756</v>
      </c>
      <c r="D60" t="inlineStr">
        <is>
          <t>KALMAR LÄN</t>
        </is>
      </c>
      <c r="E60" t="inlineStr">
        <is>
          <t>NYBRO</t>
        </is>
      </c>
      <c r="G60" t="n">
        <v>7.6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HYPERLINK("https://klasma.github.io/Logging_0881/artfynd/A 25676-2019 artfynd.xlsx", "A 25676-2019")</f>
        <v/>
      </c>
      <c r="T60">
        <f>HYPERLINK("https://klasma.github.io/Logging_0881/kartor/A 25676-2019 karta.png", "A 25676-2019")</f>
        <v/>
      </c>
      <c r="V60">
        <f>HYPERLINK("https://klasma.github.io/Logging_0881/klagomål/A 25676-2019 FSC-klagomål.docx", "A 25676-2019")</f>
        <v/>
      </c>
      <c r="W60">
        <f>HYPERLINK("https://klasma.github.io/Logging_0881/klagomålsmail/A 25676-2019 FSC-klagomål mail.docx", "A 25676-2019")</f>
        <v/>
      </c>
      <c r="X60">
        <f>HYPERLINK("https://klasma.github.io/Logging_0881/tillsyn/A 25676-2019 tillsynsbegäran.docx", "A 25676-2019")</f>
        <v/>
      </c>
      <c r="Y60">
        <f>HYPERLINK("https://klasma.github.io/Logging_0881/tillsynsmail/A 25676-2019 tillsynsbegäran mail.docx", "A 25676-2019")</f>
        <v/>
      </c>
      <c r="Z60">
        <f>HYPERLINK("https://klasma.github.io/Logging_0881/fåglar/A 25676-2019 prioriterade fågelarter.docx", "A 25676-2019")</f>
        <v/>
      </c>
    </row>
    <row r="61" ht="15" customHeight="1">
      <c r="A61" t="inlineStr">
        <is>
          <t>A 39360-2019</t>
        </is>
      </c>
      <c r="B61" s="1" t="n">
        <v>43690</v>
      </c>
      <c r="C61" s="1" t="n">
        <v>45756</v>
      </c>
      <c r="D61" t="inlineStr">
        <is>
          <t>KALMAR LÄN</t>
        </is>
      </c>
      <c r="E61" t="inlineStr">
        <is>
          <t>NYBRO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HYPERLINK("https://klasma.github.io/Logging_0881/artfynd/A 39360-2019 artfynd.xlsx", "A 39360-2019")</f>
        <v/>
      </c>
      <c r="T61">
        <f>HYPERLINK("https://klasma.github.io/Logging_0881/kartor/A 39360-2019 karta.png", "A 39360-2019")</f>
        <v/>
      </c>
      <c r="U61">
        <f>HYPERLINK("https://klasma.github.io/Logging_0881/knärot/A 39360-2019 karta knärot.png", "A 39360-2019")</f>
        <v/>
      </c>
      <c r="V61">
        <f>HYPERLINK("https://klasma.github.io/Logging_0881/klagomål/A 39360-2019 FSC-klagomål.docx", "A 39360-2019")</f>
        <v/>
      </c>
      <c r="W61">
        <f>HYPERLINK("https://klasma.github.io/Logging_0881/klagomålsmail/A 39360-2019 FSC-klagomål mail.docx", "A 39360-2019")</f>
        <v/>
      </c>
      <c r="X61">
        <f>HYPERLINK("https://klasma.github.io/Logging_0881/tillsyn/A 39360-2019 tillsynsbegäran.docx", "A 39360-2019")</f>
        <v/>
      </c>
      <c r="Y61">
        <f>HYPERLINK("https://klasma.github.io/Logging_0881/tillsynsmail/A 39360-2019 tillsynsbegäran mail.docx", "A 39360-2019")</f>
        <v/>
      </c>
    </row>
    <row r="62" ht="15" customHeight="1">
      <c r="A62" t="inlineStr">
        <is>
          <t>A 50161-2019</t>
        </is>
      </c>
      <c r="B62" s="1" t="n">
        <v>43734</v>
      </c>
      <c r="C62" s="1" t="n">
        <v>45756</v>
      </c>
      <c r="D62" t="inlineStr">
        <is>
          <t>KALMAR LÄN</t>
        </is>
      </c>
      <c r="E62" t="inlineStr">
        <is>
          <t>NYBRO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HYPERLINK("https://klasma.github.io/Logging_0881/artfynd/A 50161-2019 artfynd.xlsx", "A 50161-2019")</f>
        <v/>
      </c>
      <c r="T62">
        <f>HYPERLINK("https://klasma.github.io/Logging_0881/kartor/A 50161-2019 karta.png", "A 50161-2019")</f>
        <v/>
      </c>
      <c r="V62">
        <f>HYPERLINK("https://klasma.github.io/Logging_0881/klagomål/A 50161-2019 FSC-klagomål.docx", "A 50161-2019")</f>
        <v/>
      </c>
      <c r="W62">
        <f>HYPERLINK("https://klasma.github.io/Logging_0881/klagomålsmail/A 50161-2019 FSC-klagomål mail.docx", "A 50161-2019")</f>
        <v/>
      </c>
      <c r="X62">
        <f>HYPERLINK("https://klasma.github.io/Logging_0881/tillsyn/A 50161-2019 tillsynsbegäran.docx", "A 50161-2019")</f>
        <v/>
      </c>
      <c r="Y62">
        <f>HYPERLINK("https://klasma.github.io/Logging_0881/tillsynsmail/A 50161-2019 tillsynsbegäran mail.docx", "A 50161-2019")</f>
        <v/>
      </c>
    </row>
    <row r="63" ht="15" customHeight="1">
      <c r="A63" t="inlineStr">
        <is>
          <t>A 51735-2019</t>
        </is>
      </c>
      <c r="B63" s="1" t="n">
        <v>43740</v>
      </c>
      <c r="C63" s="1" t="n">
        <v>45756</v>
      </c>
      <c r="D63" t="inlineStr">
        <is>
          <t>KALMAR LÄN</t>
        </is>
      </c>
      <c r="E63" t="inlineStr">
        <is>
          <t>NYBRO</t>
        </is>
      </c>
      <c r="F63" t="inlineStr">
        <is>
          <t>Kyrkan</t>
        </is>
      </c>
      <c r="G63" t="n">
        <v>2.9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HYPERLINK("https://klasma.github.io/Logging_0881/artfynd/A 51735-2019 artfynd.xlsx", "A 51735-2019")</f>
        <v/>
      </c>
      <c r="T63">
        <f>HYPERLINK("https://klasma.github.io/Logging_0881/kartor/A 51735-2019 karta.png", "A 51735-2019")</f>
        <v/>
      </c>
      <c r="V63">
        <f>HYPERLINK("https://klasma.github.io/Logging_0881/klagomål/A 51735-2019 FSC-klagomål.docx", "A 51735-2019")</f>
        <v/>
      </c>
      <c r="W63">
        <f>HYPERLINK("https://klasma.github.io/Logging_0881/klagomålsmail/A 51735-2019 FSC-klagomål mail.docx", "A 51735-2019")</f>
        <v/>
      </c>
      <c r="X63">
        <f>HYPERLINK("https://klasma.github.io/Logging_0881/tillsyn/A 51735-2019 tillsynsbegäran.docx", "A 51735-2019")</f>
        <v/>
      </c>
      <c r="Y63">
        <f>HYPERLINK("https://klasma.github.io/Logging_0881/tillsynsmail/A 51735-2019 tillsynsbegäran mail.docx", "A 51735-2019")</f>
        <v/>
      </c>
      <c r="Z63">
        <f>HYPERLINK("https://klasma.github.io/Logging_0881/fåglar/A 51735-2019 prioriterade fågelarter.docx", "A 51735-2019")</f>
        <v/>
      </c>
    </row>
    <row r="64" ht="15" customHeight="1">
      <c r="A64" t="inlineStr">
        <is>
          <t>A 57165-2019</t>
        </is>
      </c>
      <c r="B64" s="1" t="n">
        <v>43766</v>
      </c>
      <c r="C64" s="1" t="n">
        <v>45756</v>
      </c>
      <c r="D64" t="inlineStr">
        <is>
          <t>KALMAR LÄN</t>
        </is>
      </c>
      <c r="E64" t="inlineStr">
        <is>
          <t>NYBRO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HYPERLINK("https://klasma.github.io/Logging_0881/artfynd/A 57165-2019 artfynd.xlsx", "A 57165-2019")</f>
        <v/>
      </c>
      <c r="T64">
        <f>HYPERLINK("https://klasma.github.io/Logging_0881/kartor/A 57165-2019 karta.png", "A 57165-2019")</f>
        <v/>
      </c>
      <c r="V64">
        <f>HYPERLINK("https://klasma.github.io/Logging_0881/klagomål/A 57165-2019 FSC-klagomål.docx", "A 57165-2019")</f>
        <v/>
      </c>
      <c r="W64">
        <f>HYPERLINK("https://klasma.github.io/Logging_0881/klagomålsmail/A 57165-2019 FSC-klagomål mail.docx", "A 57165-2019")</f>
        <v/>
      </c>
      <c r="X64">
        <f>HYPERLINK("https://klasma.github.io/Logging_0881/tillsyn/A 57165-2019 tillsynsbegäran.docx", "A 57165-2019")</f>
        <v/>
      </c>
      <c r="Y64">
        <f>HYPERLINK("https://klasma.github.io/Logging_0881/tillsynsmail/A 57165-2019 tillsynsbegäran mail.docx", "A 57165-2019")</f>
        <v/>
      </c>
      <c r="Z64">
        <f>HYPERLINK("https://klasma.github.io/Logging_0881/fåglar/A 57165-2019 prioriterade fågelarter.docx", "A 57165-2019")</f>
        <v/>
      </c>
    </row>
    <row r="65" ht="15" customHeight="1">
      <c r="A65" t="inlineStr">
        <is>
          <t>A 64844-2019</t>
        </is>
      </c>
      <c r="B65" s="1" t="n">
        <v>43801</v>
      </c>
      <c r="C65" s="1" t="n">
        <v>45756</v>
      </c>
      <c r="D65" t="inlineStr">
        <is>
          <t>KALMAR LÄN</t>
        </is>
      </c>
      <c r="E65" t="inlineStr">
        <is>
          <t>NYBRO</t>
        </is>
      </c>
      <c r="G65" t="n">
        <v>11.9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HYPERLINK("https://klasma.github.io/Logging_0881/artfynd/A 64844-2019 artfynd.xlsx", "A 64844-2019")</f>
        <v/>
      </c>
      <c r="T65">
        <f>HYPERLINK("https://klasma.github.io/Logging_0881/kartor/A 64844-2019 karta.png", "A 64844-2019")</f>
        <v/>
      </c>
      <c r="V65">
        <f>HYPERLINK("https://klasma.github.io/Logging_0881/klagomål/A 64844-2019 FSC-klagomål.docx", "A 64844-2019")</f>
        <v/>
      </c>
      <c r="W65">
        <f>HYPERLINK("https://klasma.github.io/Logging_0881/klagomålsmail/A 64844-2019 FSC-klagomål mail.docx", "A 64844-2019")</f>
        <v/>
      </c>
      <c r="X65">
        <f>HYPERLINK("https://klasma.github.io/Logging_0881/tillsyn/A 64844-2019 tillsynsbegäran.docx", "A 64844-2019")</f>
        <v/>
      </c>
      <c r="Y65">
        <f>HYPERLINK("https://klasma.github.io/Logging_0881/tillsynsmail/A 64844-2019 tillsynsbegäran mail.docx", "A 64844-2019")</f>
        <v/>
      </c>
      <c r="Z65">
        <f>HYPERLINK("https://klasma.github.io/Logging_0881/fåglar/A 64844-2019 prioriterade fågelarter.docx", "A 64844-2019")</f>
        <v/>
      </c>
    </row>
    <row r="66" ht="15" customHeight="1">
      <c r="A66" t="inlineStr">
        <is>
          <t>A 67520-2019</t>
        </is>
      </c>
      <c r="B66" s="1" t="n">
        <v>43815</v>
      </c>
      <c r="C66" s="1" t="n">
        <v>45756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Mjukdån</t>
        </is>
      </c>
      <c r="S66">
        <f>HYPERLINK("https://klasma.github.io/Logging_0881/artfynd/A 67520-2019 artfynd.xlsx", "A 67520-2019")</f>
        <v/>
      </c>
      <c r="T66">
        <f>HYPERLINK("https://klasma.github.io/Logging_0881/kartor/A 67520-2019 karta.png", "A 67520-2019")</f>
        <v/>
      </c>
      <c r="V66">
        <f>HYPERLINK("https://klasma.github.io/Logging_0881/klagomål/A 67520-2019 FSC-klagomål.docx", "A 67520-2019")</f>
        <v/>
      </c>
      <c r="W66">
        <f>HYPERLINK("https://klasma.github.io/Logging_0881/klagomålsmail/A 67520-2019 FSC-klagomål mail.docx", "A 67520-2019")</f>
        <v/>
      </c>
      <c r="X66">
        <f>HYPERLINK("https://klasma.github.io/Logging_0881/tillsyn/A 67520-2019 tillsynsbegäran.docx", "A 67520-2019")</f>
        <v/>
      </c>
      <c r="Y66">
        <f>HYPERLINK("https://klasma.github.io/Logging_0881/tillsynsmail/A 67520-2019 tillsynsbegäran mail.docx", "A 67520-2019")</f>
        <v/>
      </c>
    </row>
    <row r="67" ht="15" customHeight="1">
      <c r="A67" t="inlineStr">
        <is>
          <t>A 764-2020</t>
        </is>
      </c>
      <c r="B67" s="1" t="n">
        <v>43817</v>
      </c>
      <c r="C67" s="1" t="n">
        <v>45756</v>
      </c>
      <c r="D67" t="inlineStr">
        <is>
          <t>KALMAR LÄN</t>
        </is>
      </c>
      <c r="E67" t="inlineStr">
        <is>
          <t>NYBRO</t>
        </is>
      </c>
      <c r="G67" t="n">
        <v>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Purpurknipprot</t>
        </is>
      </c>
      <c r="S67">
        <f>HYPERLINK("https://klasma.github.io/Logging_0881/artfynd/A 764-2020 artfynd.xlsx", "A 764-2020")</f>
        <v/>
      </c>
      <c r="T67">
        <f>HYPERLINK("https://klasma.github.io/Logging_0881/kartor/A 764-2020 karta.png", "A 764-2020")</f>
        <v/>
      </c>
      <c r="V67">
        <f>HYPERLINK("https://klasma.github.io/Logging_0881/klagomål/A 764-2020 FSC-klagomål.docx", "A 764-2020")</f>
        <v/>
      </c>
      <c r="W67">
        <f>HYPERLINK("https://klasma.github.io/Logging_0881/klagomålsmail/A 764-2020 FSC-klagomål mail.docx", "A 764-2020")</f>
        <v/>
      </c>
      <c r="X67">
        <f>HYPERLINK("https://klasma.github.io/Logging_0881/tillsyn/A 764-2020 tillsynsbegäran.docx", "A 764-2020")</f>
        <v/>
      </c>
      <c r="Y67">
        <f>HYPERLINK("https://klasma.github.io/Logging_0881/tillsynsmail/A 764-2020 tillsynsbegäran mail.docx", "A 764-2020")</f>
        <v/>
      </c>
    </row>
    <row r="68" ht="15" customHeight="1">
      <c r="A68" t="inlineStr">
        <is>
          <t>A 10900-2020</t>
        </is>
      </c>
      <c r="B68" s="1" t="n">
        <v>43885</v>
      </c>
      <c r="C68" s="1" t="n">
        <v>45756</v>
      </c>
      <c r="D68" t="inlineStr">
        <is>
          <t>KALMAR LÄN</t>
        </is>
      </c>
      <c r="E68" t="inlineStr">
        <is>
          <t>NYBRO</t>
        </is>
      </c>
      <c r="G68" t="n">
        <v>1.1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HYPERLINK("https://klasma.github.io/Logging_0881/artfynd/A 10900-2020 artfynd.xlsx", "A 10900-2020")</f>
        <v/>
      </c>
      <c r="T68">
        <f>HYPERLINK("https://klasma.github.io/Logging_0881/kartor/A 10900-2020 karta.png", "A 10900-2020")</f>
        <v/>
      </c>
      <c r="U68">
        <f>HYPERLINK("https://klasma.github.io/Logging_0881/knärot/A 10900-2020 karta knärot.png", "A 10900-2020")</f>
        <v/>
      </c>
      <c r="V68">
        <f>HYPERLINK("https://klasma.github.io/Logging_0881/klagomål/A 10900-2020 FSC-klagomål.docx", "A 10900-2020")</f>
        <v/>
      </c>
      <c r="W68">
        <f>HYPERLINK("https://klasma.github.io/Logging_0881/klagomålsmail/A 10900-2020 FSC-klagomål mail.docx", "A 10900-2020")</f>
        <v/>
      </c>
      <c r="X68">
        <f>HYPERLINK("https://klasma.github.io/Logging_0881/tillsyn/A 10900-2020 tillsynsbegäran.docx", "A 10900-2020")</f>
        <v/>
      </c>
      <c r="Y68">
        <f>HYPERLINK("https://klasma.github.io/Logging_0881/tillsynsmail/A 10900-2020 tillsynsbegäran mail.docx", "A 10900-2020")</f>
        <v/>
      </c>
    </row>
    <row r="69" ht="15" customHeight="1">
      <c r="A69" t="inlineStr">
        <is>
          <t>A 22149-2020</t>
        </is>
      </c>
      <c r="B69" s="1" t="n">
        <v>43961</v>
      </c>
      <c r="C69" s="1" t="n">
        <v>45756</v>
      </c>
      <c r="D69" t="inlineStr">
        <is>
          <t>KALMAR LÄN</t>
        </is>
      </c>
      <c r="E69" t="inlineStr">
        <is>
          <t>NYBRO</t>
        </is>
      </c>
      <c r="G69" t="n">
        <v>11.4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Småjungfrukam</t>
        </is>
      </c>
      <c r="S69">
        <f>HYPERLINK("https://klasma.github.io/Logging_0881/artfynd/A 22149-2020 artfynd.xlsx", "A 22149-2020")</f>
        <v/>
      </c>
      <c r="T69">
        <f>HYPERLINK("https://klasma.github.io/Logging_0881/kartor/A 22149-2020 karta.png", "A 22149-2020")</f>
        <v/>
      </c>
      <c r="V69">
        <f>HYPERLINK("https://klasma.github.io/Logging_0881/klagomål/A 22149-2020 FSC-klagomål.docx", "A 22149-2020")</f>
        <v/>
      </c>
      <c r="W69">
        <f>HYPERLINK("https://klasma.github.io/Logging_0881/klagomålsmail/A 22149-2020 FSC-klagomål mail.docx", "A 22149-2020")</f>
        <v/>
      </c>
      <c r="X69">
        <f>HYPERLINK("https://klasma.github.io/Logging_0881/tillsyn/A 22149-2020 tillsynsbegäran.docx", "A 22149-2020")</f>
        <v/>
      </c>
      <c r="Y69">
        <f>HYPERLINK("https://klasma.github.io/Logging_0881/tillsynsmail/A 22149-2020 tillsynsbegäran mail.docx", "A 22149-2020")</f>
        <v/>
      </c>
    </row>
    <row r="70" ht="15" customHeight="1">
      <c r="A70" t="inlineStr">
        <is>
          <t>A 22629-2020</t>
        </is>
      </c>
      <c r="B70" s="1" t="n">
        <v>43963</v>
      </c>
      <c r="C70" s="1" t="n">
        <v>45756</v>
      </c>
      <c r="D70" t="inlineStr">
        <is>
          <t>KALMAR LÄN</t>
        </is>
      </c>
      <c r="E70" t="inlineStr">
        <is>
          <t>NYBRO</t>
        </is>
      </c>
      <c r="G70" t="n">
        <v>9.4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HYPERLINK("https://klasma.github.io/Logging_0881/artfynd/A 22629-2020 artfynd.xlsx", "A 22629-2020")</f>
        <v/>
      </c>
      <c r="T70">
        <f>HYPERLINK("https://klasma.github.io/Logging_0881/kartor/A 22629-2020 karta.png", "A 22629-2020")</f>
        <v/>
      </c>
      <c r="V70">
        <f>HYPERLINK("https://klasma.github.io/Logging_0881/klagomål/A 22629-2020 FSC-klagomål.docx", "A 22629-2020")</f>
        <v/>
      </c>
      <c r="W70">
        <f>HYPERLINK("https://klasma.github.io/Logging_0881/klagomålsmail/A 22629-2020 FSC-klagomål mail.docx", "A 22629-2020")</f>
        <v/>
      </c>
      <c r="X70">
        <f>HYPERLINK("https://klasma.github.io/Logging_0881/tillsyn/A 22629-2020 tillsynsbegäran.docx", "A 22629-2020")</f>
        <v/>
      </c>
      <c r="Y70">
        <f>HYPERLINK("https://klasma.github.io/Logging_0881/tillsynsmail/A 22629-2020 tillsynsbegäran mail.docx", "A 22629-2020")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45756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45756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45756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45756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45756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47582-2021</t>
        </is>
      </c>
      <c r="B76" s="1" t="n">
        <v>44448</v>
      </c>
      <c r="C76" s="1" t="n">
        <v>45756</v>
      </c>
      <c r="D76" t="inlineStr">
        <is>
          <t>KALMAR LÄN</t>
        </is>
      </c>
      <c r="E76" t="inlineStr">
        <is>
          <t>NYBRO</t>
        </is>
      </c>
      <c r="G76" t="n">
        <v>4.5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Kungsfågel</t>
        </is>
      </c>
      <c r="S76">
        <f>HYPERLINK("https://klasma.github.io/Logging_0881/artfynd/A 47582-2021 artfynd.xlsx", "A 47582-2021")</f>
        <v/>
      </c>
      <c r="T76">
        <f>HYPERLINK("https://klasma.github.io/Logging_0881/kartor/A 47582-2021 karta.png", "A 47582-2021")</f>
        <v/>
      </c>
      <c r="V76">
        <f>HYPERLINK("https://klasma.github.io/Logging_0881/klagomål/A 47582-2021 FSC-klagomål.docx", "A 47582-2021")</f>
        <v/>
      </c>
      <c r="W76">
        <f>HYPERLINK("https://klasma.github.io/Logging_0881/klagomålsmail/A 47582-2021 FSC-klagomål mail.docx", "A 47582-2021")</f>
        <v/>
      </c>
      <c r="X76">
        <f>HYPERLINK("https://klasma.github.io/Logging_0881/tillsyn/A 47582-2021 tillsynsbegäran.docx", "A 47582-2021")</f>
        <v/>
      </c>
      <c r="Y76">
        <f>HYPERLINK("https://klasma.github.io/Logging_0881/tillsynsmail/A 47582-2021 tillsynsbegäran mail.docx", "A 47582-2021")</f>
        <v/>
      </c>
      <c r="Z76">
        <f>HYPERLINK("https://klasma.github.io/Logging_0881/fåglar/A 47582-2021 prioriterade fågelarter.docx", "A 47582-2021")</f>
        <v/>
      </c>
    </row>
    <row r="77" ht="15" customHeight="1">
      <c r="A77" t="inlineStr">
        <is>
          <t>A 48006-2021</t>
        </is>
      </c>
      <c r="B77" s="1" t="n">
        <v>44449</v>
      </c>
      <c r="C77" s="1" t="n">
        <v>45756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Rostfläck</t>
        </is>
      </c>
      <c r="S77">
        <f>HYPERLINK("https://klasma.github.io/Logging_0881/artfynd/A 48006-2021 artfynd.xlsx", "A 48006-2021")</f>
        <v/>
      </c>
      <c r="T77">
        <f>HYPERLINK("https://klasma.github.io/Logging_0881/kartor/A 48006-2021 karta.png", "A 48006-2021")</f>
        <v/>
      </c>
      <c r="V77">
        <f>HYPERLINK("https://klasma.github.io/Logging_0881/klagomål/A 48006-2021 FSC-klagomål.docx", "A 48006-2021")</f>
        <v/>
      </c>
      <c r="W77">
        <f>HYPERLINK("https://klasma.github.io/Logging_0881/klagomålsmail/A 48006-2021 FSC-klagomål mail.docx", "A 48006-2021")</f>
        <v/>
      </c>
      <c r="X77">
        <f>HYPERLINK("https://klasma.github.io/Logging_0881/tillsyn/A 48006-2021 tillsynsbegäran.docx", "A 48006-2021")</f>
        <v/>
      </c>
      <c r="Y77">
        <f>HYPERLINK("https://klasma.github.io/Logging_0881/tillsynsmail/A 48006-2021 tillsynsbegäran mail.docx", "A 48006-2021")</f>
        <v/>
      </c>
    </row>
    <row r="78" ht="15" customHeight="1">
      <c r="A78" t="inlineStr">
        <is>
          <t>A 58765-2021</t>
        </is>
      </c>
      <c r="B78" s="1" t="n">
        <v>44489</v>
      </c>
      <c r="C78" s="1" t="n">
        <v>45756</v>
      </c>
      <c r="D78" t="inlineStr">
        <is>
          <t>KALMAR LÄN</t>
        </is>
      </c>
      <c r="E78" t="inlineStr">
        <is>
          <t>NYBRO</t>
        </is>
      </c>
      <c r="G78" t="n">
        <v>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HYPERLINK("https://klasma.github.io/Logging_0881/artfynd/A 58765-2021 artfynd.xlsx", "A 58765-2021")</f>
        <v/>
      </c>
      <c r="T78">
        <f>HYPERLINK("https://klasma.github.io/Logging_0881/kartor/A 58765-2021 karta.png", "A 58765-2021")</f>
        <v/>
      </c>
      <c r="V78">
        <f>HYPERLINK("https://klasma.github.io/Logging_0881/klagomål/A 58765-2021 FSC-klagomål.docx", "A 58765-2021")</f>
        <v/>
      </c>
      <c r="W78">
        <f>HYPERLINK("https://klasma.github.io/Logging_0881/klagomålsmail/A 58765-2021 FSC-klagomål mail.docx", "A 58765-2021")</f>
        <v/>
      </c>
      <c r="X78">
        <f>HYPERLINK("https://klasma.github.io/Logging_0881/tillsyn/A 58765-2021 tillsynsbegäran.docx", "A 58765-2021")</f>
        <v/>
      </c>
      <c r="Y78">
        <f>HYPERLINK("https://klasma.github.io/Logging_0881/tillsynsmail/A 58765-2021 tillsynsbegäran mail.docx", "A 58765-2021")</f>
        <v/>
      </c>
    </row>
    <row r="79" ht="15" customHeight="1">
      <c r="A79" t="inlineStr">
        <is>
          <t>A 84-2022</t>
        </is>
      </c>
      <c r="B79" s="1" t="n">
        <v>44564</v>
      </c>
      <c r="C79" s="1" t="n">
        <v>45756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HYPERLINK("https://klasma.github.io/Logging_0881/artfynd/A 84-2022 artfynd.xlsx", "A 84-2022")</f>
        <v/>
      </c>
      <c r="T79">
        <f>HYPERLINK("https://klasma.github.io/Logging_0881/kartor/A 84-2022 karta.png", "A 84-2022")</f>
        <v/>
      </c>
      <c r="V79">
        <f>HYPERLINK("https://klasma.github.io/Logging_0881/klagomål/A 84-2022 FSC-klagomål.docx", "A 84-2022")</f>
        <v/>
      </c>
      <c r="W79">
        <f>HYPERLINK("https://klasma.github.io/Logging_0881/klagomålsmail/A 84-2022 FSC-klagomål mail.docx", "A 84-2022")</f>
        <v/>
      </c>
      <c r="X79">
        <f>HYPERLINK("https://klasma.github.io/Logging_0881/tillsyn/A 84-2022 tillsynsbegäran.docx", "A 84-2022")</f>
        <v/>
      </c>
      <c r="Y79">
        <f>HYPERLINK("https://klasma.github.io/Logging_0881/tillsynsmail/A 84-2022 tillsynsbegäran mail.docx", "A 84-2022")</f>
        <v/>
      </c>
    </row>
    <row r="80" ht="15" customHeight="1">
      <c r="A80" t="inlineStr">
        <is>
          <t>A 6849-2022</t>
        </is>
      </c>
      <c r="B80" s="1" t="n">
        <v>44602</v>
      </c>
      <c r="C80" s="1" t="n">
        <v>45756</v>
      </c>
      <c r="D80" t="inlineStr">
        <is>
          <t>KALMAR LÄN</t>
        </is>
      </c>
      <c r="E80" t="inlineStr">
        <is>
          <t>NYBRO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Vågbandad barkbock</t>
        </is>
      </c>
      <c r="S80">
        <f>HYPERLINK("https://klasma.github.io/Logging_0881/artfynd/A 6849-2022 artfynd.xlsx", "A 6849-2022")</f>
        <v/>
      </c>
      <c r="T80">
        <f>HYPERLINK("https://klasma.github.io/Logging_0881/kartor/A 6849-2022 karta.png", "A 6849-2022")</f>
        <v/>
      </c>
      <c r="V80">
        <f>HYPERLINK("https://klasma.github.io/Logging_0881/klagomål/A 6849-2022 FSC-klagomål.docx", "A 6849-2022")</f>
        <v/>
      </c>
      <c r="W80">
        <f>HYPERLINK("https://klasma.github.io/Logging_0881/klagomålsmail/A 6849-2022 FSC-klagomål mail.docx", "A 6849-2022")</f>
        <v/>
      </c>
      <c r="X80">
        <f>HYPERLINK("https://klasma.github.io/Logging_0881/tillsyn/A 6849-2022 tillsynsbegäran.docx", "A 6849-2022")</f>
        <v/>
      </c>
      <c r="Y80">
        <f>HYPERLINK("https://klasma.github.io/Logging_0881/tillsynsmail/A 6849-2022 tillsynsbegäran mail.docx", "A 6849-2022")</f>
        <v/>
      </c>
    </row>
    <row r="81" ht="15" customHeight="1">
      <c r="A81" t="inlineStr">
        <is>
          <t>A 11823-2022</t>
        </is>
      </c>
      <c r="B81" s="1" t="n">
        <v>44634</v>
      </c>
      <c r="C81" s="1" t="n">
        <v>45756</v>
      </c>
      <c r="D81" t="inlineStr">
        <is>
          <t>KALMAR LÄN</t>
        </is>
      </c>
      <c r="E81" t="inlineStr">
        <is>
          <t>NYBRO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HYPERLINK("https://klasma.github.io/Logging_0881/artfynd/A 11823-2022 artfynd.xlsx", "A 11823-2022")</f>
        <v/>
      </c>
      <c r="T81">
        <f>HYPERLINK("https://klasma.github.io/Logging_0881/kartor/A 11823-2022 karta.png", "A 11823-2022")</f>
        <v/>
      </c>
      <c r="V81">
        <f>HYPERLINK("https://klasma.github.io/Logging_0881/klagomål/A 11823-2022 FSC-klagomål.docx", "A 11823-2022")</f>
        <v/>
      </c>
      <c r="W81">
        <f>HYPERLINK("https://klasma.github.io/Logging_0881/klagomålsmail/A 11823-2022 FSC-klagomål mail.docx", "A 11823-2022")</f>
        <v/>
      </c>
      <c r="X81">
        <f>HYPERLINK("https://klasma.github.io/Logging_0881/tillsyn/A 11823-2022 tillsynsbegäran.docx", "A 11823-2022")</f>
        <v/>
      </c>
      <c r="Y81">
        <f>HYPERLINK("https://klasma.github.io/Logging_0881/tillsynsmail/A 11823-2022 tillsynsbegäran mail.docx", "A 11823-2022")</f>
        <v/>
      </c>
    </row>
    <row r="82" ht="15" customHeight="1">
      <c r="A82" t="inlineStr">
        <is>
          <t>A 13690-2022</t>
        </is>
      </c>
      <c r="B82" s="1" t="n">
        <v>44648</v>
      </c>
      <c r="C82" s="1" t="n">
        <v>45756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8.300000000000001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13690-2022 artfynd.xlsx", "A 13690-2022")</f>
        <v/>
      </c>
      <c r="T82">
        <f>HYPERLINK("https://klasma.github.io/Logging_0881/kartor/A 13690-2022 karta.png", "A 13690-2022")</f>
        <v/>
      </c>
      <c r="U82">
        <f>HYPERLINK("https://klasma.github.io/Logging_0881/knärot/A 13690-2022 karta knärot.png", "A 13690-2022")</f>
        <v/>
      </c>
      <c r="V82">
        <f>HYPERLINK("https://klasma.github.io/Logging_0881/klagomål/A 13690-2022 FSC-klagomål.docx", "A 13690-2022")</f>
        <v/>
      </c>
      <c r="W82">
        <f>HYPERLINK("https://klasma.github.io/Logging_0881/klagomålsmail/A 13690-2022 FSC-klagomål mail.docx", "A 13690-2022")</f>
        <v/>
      </c>
      <c r="X82">
        <f>HYPERLINK("https://klasma.github.io/Logging_0881/tillsyn/A 13690-2022 tillsynsbegäran.docx", "A 13690-2022")</f>
        <v/>
      </c>
      <c r="Y82">
        <f>HYPERLINK("https://klasma.github.io/Logging_0881/tillsynsmail/A 13690-2022 tillsynsbegäran mail.docx", "A 13690-2022")</f>
        <v/>
      </c>
    </row>
    <row r="83" ht="15" customHeight="1">
      <c r="A83" t="inlineStr">
        <is>
          <t>A 14858-2022</t>
        </is>
      </c>
      <c r="B83" s="1" t="n">
        <v>44656</v>
      </c>
      <c r="C83" s="1" t="n">
        <v>45756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4.9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Apelticka</t>
        </is>
      </c>
      <c r="S83">
        <f>HYPERLINK("https://klasma.github.io/Logging_0881/artfynd/A 14858-2022 artfynd.xlsx", "A 14858-2022")</f>
        <v/>
      </c>
      <c r="T83">
        <f>HYPERLINK("https://klasma.github.io/Logging_0881/kartor/A 14858-2022 karta.png", "A 14858-2022")</f>
        <v/>
      </c>
      <c r="V83">
        <f>HYPERLINK("https://klasma.github.io/Logging_0881/klagomål/A 14858-2022 FSC-klagomål.docx", "A 14858-2022")</f>
        <v/>
      </c>
      <c r="W83">
        <f>HYPERLINK("https://klasma.github.io/Logging_0881/klagomålsmail/A 14858-2022 FSC-klagomål mail.docx", "A 14858-2022")</f>
        <v/>
      </c>
      <c r="X83">
        <f>HYPERLINK("https://klasma.github.io/Logging_0881/tillsyn/A 14858-2022 tillsynsbegäran.docx", "A 14858-2022")</f>
        <v/>
      </c>
      <c r="Y83">
        <f>HYPERLINK("https://klasma.github.io/Logging_0881/tillsynsmail/A 14858-2022 tillsynsbegäran mail.docx", "A 14858-2022")</f>
        <v/>
      </c>
    </row>
    <row r="84" ht="15" customHeight="1">
      <c r="A84" t="inlineStr">
        <is>
          <t>A 19384-2022</t>
        </is>
      </c>
      <c r="B84" s="1" t="n">
        <v>44692</v>
      </c>
      <c r="C84" s="1" t="n">
        <v>45756</v>
      </c>
      <c r="D84" t="inlineStr">
        <is>
          <t>KALMAR LÄN</t>
        </is>
      </c>
      <c r="E84" t="inlineStr">
        <is>
          <t>NYBRO</t>
        </is>
      </c>
      <c r="G84" t="n">
        <v>3.2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Sotlav</t>
        </is>
      </c>
      <c r="S84">
        <f>HYPERLINK("https://klasma.github.io/Logging_0881/artfynd/A 19384-2022 artfynd.xlsx", "A 19384-2022")</f>
        <v/>
      </c>
      <c r="T84">
        <f>HYPERLINK("https://klasma.github.io/Logging_0881/kartor/A 19384-2022 karta.png", "A 19384-2022")</f>
        <v/>
      </c>
      <c r="V84">
        <f>HYPERLINK("https://klasma.github.io/Logging_0881/klagomål/A 19384-2022 FSC-klagomål.docx", "A 19384-2022")</f>
        <v/>
      </c>
      <c r="W84">
        <f>HYPERLINK("https://klasma.github.io/Logging_0881/klagomålsmail/A 19384-2022 FSC-klagomål mail.docx", "A 19384-2022")</f>
        <v/>
      </c>
      <c r="X84">
        <f>HYPERLINK("https://klasma.github.io/Logging_0881/tillsyn/A 19384-2022 tillsynsbegäran.docx", "A 19384-2022")</f>
        <v/>
      </c>
      <c r="Y84">
        <f>HYPERLINK("https://klasma.github.io/Logging_0881/tillsynsmail/A 19384-2022 tillsynsbegäran mail.docx", "A 19384-2022")</f>
        <v/>
      </c>
    </row>
    <row r="85" ht="15" customHeight="1">
      <c r="A85" t="inlineStr">
        <is>
          <t>A 52750-2022</t>
        </is>
      </c>
      <c r="B85" s="1" t="n">
        <v>44874</v>
      </c>
      <c r="C85" s="1" t="n">
        <v>45756</v>
      </c>
      <c r="D85" t="inlineStr">
        <is>
          <t>KALMAR LÄN</t>
        </is>
      </c>
      <c r="E85" t="inlineStr">
        <is>
          <t>NYBRO</t>
        </is>
      </c>
      <c r="G85" t="n">
        <v>15.6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Ljungögontröst</t>
        </is>
      </c>
      <c r="S85">
        <f>HYPERLINK("https://klasma.github.io/Logging_0881/artfynd/A 52750-2022 artfynd.xlsx", "A 52750-2022")</f>
        <v/>
      </c>
      <c r="T85">
        <f>HYPERLINK("https://klasma.github.io/Logging_0881/kartor/A 52750-2022 karta.png", "A 52750-2022")</f>
        <v/>
      </c>
      <c r="V85">
        <f>HYPERLINK("https://klasma.github.io/Logging_0881/klagomål/A 52750-2022 FSC-klagomål.docx", "A 52750-2022")</f>
        <v/>
      </c>
      <c r="W85">
        <f>HYPERLINK("https://klasma.github.io/Logging_0881/klagomålsmail/A 52750-2022 FSC-klagomål mail.docx", "A 52750-2022")</f>
        <v/>
      </c>
      <c r="X85">
        <f>HYPERLINK("https://klasma.github.io/Logging_0881/tillsyn/A 52750-2022 tillsynsbegäran.docx", "A 52750-2022")</f>
        <v/>
      </c>
      <c r="Y85">
        <f>HYPERLINK("https://klasma.github.io/Logging_0881/tillsynsmail/A 52750-2022 tillsynsbegäran mail.docx", "A 52750-2022")</f>
        <v/>
      </c>
    </row>
    <row r="86" ht="15" customHeight="1">
      <c r="A86" t="inlineStr">
        <is>
          <t>A 60036-2022</t>
        </is>
      </c>
      <c r="B86" s="1" t="n">
        <v>44909</v>
      </c>
      <c r="C86" s="1" t="n">
        <v>45756</v>
      </c>
      <c r="D86" t="inlineStr">
        <is>
          <t>KALMAR LÄN</t>
        </is>
      </c>
      <c r="E86" t="inlineStr">
        <is>
          <t>NYBRO</t>
        </is>
      </c>
      <c r="G86" t="n">
        <v>8.699999999999999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HYPERLINK("https://klasma.github.io/Logging_0881/artfynd/A 60036-2022 artfynd.xlsx", "A 60036-2022")</f>
        <v/>
      </c>
      <c r="T86">
        <f>HYPERLINK("https://klasma.github.io/Logging_0881/kartor/A 60036-2022 karta.png", "A 60036-2022")</f>
        <v/>
      </c>
      <c r="U86">
        <f>HYPERLINK("https://klasma.github.io/Logging_0881/knärot/A 60036-2022 karta knärot.png", "A 60036-2022")</f>
        <v/>
      </c>
      <c r="V86">
        <f>HYPERLINK("https://klasma.github.io/Logging_0881/klagomål/A 60036-2022 FSC-klagomål.docx", "A 60036-2022")</f>
        <v/>
      </c>
      <c r="W86">
        <f>HYPERLINK("https://klasma.github.io/Logging_0881/klagomålsmail/A 60036-2022 FSC-klagomål mail.docx", "A 60036-2022")</f>
        <v/>
      </c>
      <c r="X86">
        <f>HYPERLINK("https://klasma.github.io/Logging_0881/tillsyn/A 60036-2022 tillsynsbegäran.docx", "A 60036-2022")</f>
        <v/>
      </c>
      <c r="Y86">
        <f>HYPERLINK("https://klasma.github.io/Logging_0881/tillsynsmail/A 60036-2022 tillsynsbegäran mail.docx", "A 60036-2022")</f>
        <v/>
      </c>
    </row>
    <row r="87" ht="15" customHeight="1">
      <c r="A87" t="inlineStr">
        <is>
          <t>A 61790-2022</t>
        </is>
      </c>
      <c r="B87" s="1" t="n">
        <v>44917</v>
      </c>
      <c r="C87" s="1" t="n">
        <v>45756</v>
      </c>
      <c r="D87" t="inlineStr">
        <is>
          <t>KALMAR LÄN</t>
        </is>
      </c>
      <c r="E87" t="inlineStr">
        <is>
          <t>NYBRO</t>
        </is>
      </c>
      <c r="F87" t="inlineStr">
        <is>
          <t>Kommuner</t>
        </is>
      </c>
      <c r="G87" t="n">
        <v>3.7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HYPERLINK("https://klasma.github.io/Logging_0881/artfynd/A 61790-2022 artfynd.xlsx", "A 61790-2022")</f>
        <v/>
      </c>
      <c r="T87">
        <f>HYPERLINK("https://klasma.github.io/Logging_0881/kartor/A 61790-2022 karta.png", "A 61790-2022")</f>
        <v/>
      </c>
      <c r="V87">
        <f>HYPERLINK("https://klasma.github.io/Logging_0881/klagomål/A 61790-2022 FSC-klagomål.docx", "A 61790-2022")</f>
        <v/>
      </c>
      <c r="W87">
        <f>HYPERLINK("https://klasma.github.io/Logging_0881/klagomålsmail/A 61790-2022 FSC-klagomål mail.docx", "A 61790-2022")</f>
        <v/>
      </c>
      <c r="X87">
        <f>HYPERLINK("https://klasma.github.io/Logging_0881/tillsyn/A 61790-2022 tillsynsbegäran.docx", "A 61790-2022")</f>
        <v/>
      </c>
      <c r="Y87">
        <f>HYPERLINK("https://klasma.github.io/Logging_0881/tillsynsmail/A 61790-2022 tillsynsbegäran mail.docx", "A 61790-2022")</f>
        <v/>
      </c>
    </row>
    <row r="88" ht="15" customHeight="1">
      <c r="A88" t="inlineStr">
        <is>
          <t>A 61771-2022</t>
        </is>
      </c>
      <c r="B88" s="1" t="n">
        <v>44917</v>
      </c>
      <c r="C88" s="1" t="n">
        <v>45756</v>
      </c>
      <c r="D88" t="inlineStr">
        <is>
          <t>KALMAR LÄN</t>
        </is>
      </c>
      <c r="E88" t="inlineStr">
        <is>
          <t>NYBRO</t>
        </is>
      </c>
      <c r="F88" t="inlineStr">
        <is>
          <t>Kommuner</t>
        </is>
      </c>
      <c r="G88" t="n">
        <v>10.4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HYPERLINK("https://klasma.github.io/Logging_0881/artfynd/A 61771-2022 artfynd.xlsx", "A 61771-2022")</f>
        <v/>
      </c>
      <c r="T88">
        <f>HYPERLINK("https://klasma.github.io/Logging_0881/kartor/A 61771-2022 karta.png", "A 61771-2022")</f>
        <v/>
      </c>
      <c r="V88">
        <f>HYPERLINK("https://klasma.github.io/Logging_0881/klagomål/A 61771-2022 FSC-klagomål.docx", "A 61771-2022")</f>
        <v/>
      </c>
      <c r="W88">
        <f>HYPERLINK("https://klasma.github.io/Logging_0881/klagomålsmail/A 61771-2022 FSC-klagomål mail.docx", "A 61771-2022")</f>
        <v/>
      </c>
      <c r="X88">
        <f>HYPERLINK("https://klasma.github.io/Logging_0881/tillsyn/A 61771-2022 tillsynsbegäran.docx", "A 61771-2022")</f>
        <v/>
      </c>
      <c r="Y88">
        <f>HYPERLINK("https://klasma.github.io/Logging_0881/tillsynsmail/A 61771-2022 tillsynsbegäran mail.docx", "A 61771-2022")</f>
        <v/>
      </c>
      <c r="Z88">
        <f>HYPERLINK("https://klasma.github.io/Logging_0881/fåglar/A 61771-2022 prioriterade fågelarter.docx", "A 61771-2022")</f>
        <v/>
      </c>
    </row>
    <row r="89" ht="15" customHeight="1">
      <c r="A89" t="inlineStr">
        <is>
          <t>A 6676-2023</t>
        </is>
      </c>
      <c r="B89" s="1" t="n">
        <v>44966</v>
      </c>
      <c r="C89" s="1" t="n">
        <v>45756</v>
      </c>
      <c r="D89" t="inlineStr">
        <is>
          <t>KALMAR LÄN</t>
        </is>
      </c>
      <c r="E89" t="inlineStr">
        <is>
          <t>NYBRO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Etternässla</t>
        </is>
      </c>
      <c r="S89">
        <f>HYPERLINK("https://klasma.github.io/Logging_0881/artfynd/A 6676-2023 artfynd.xlsx", "A 6676-2023")</f>
        <v/>
      </c>
      <c r="T89">
        <f>HYPERLINK("https://klasma.github.io/Logging_0881/kartor/A 6676-2023 karta.png", "A 6676-2023")</f>
        <v/>
      </c>
      <c r="V89">
        <f>HYPERLINK("https://klasma.github.io/Logging_0881/klagomål/A 6676-2023 FSC-klagomål.docx", "A 6676-2023")</f>
        <v/>
      </c>
      <c r="W89">
        <f>HYPERLINK("https://klasma.github.io/Logging_0881/klagomålsmail/A 6676-2023 FSC-klagomål mail.docx", "A 6676-2023")</f>
        <v/>
      </c>
      <c r="X89">
        <f>HYPERLINK("https://klasma.github.io/Logging_0881/tillsyn/A 6676-2023 tillsynsbegäran.docx", "A 6676-2023")</f>
        <v/>
      </c>
      <c r="Y89">
        <f>HYPERLINK("https://klasma.github.io/Logging_0881/tillsynsmail/A 6676-2023 tillsynsbegäran mail.docx", "A 6676-2023")</f>
        <v/>
      </c>
    </row>
    <row r="90" ht="15" customHeight="1">
      <c r="A90" t="inlineStr">
        <is>
          <t>A 15279-2023</t>
        </is>
      </c>
      <c r="B90" s="1" t="n">
        <v>45019</v>
      </c>
      <c r="C90" s="1" t="n">
        <v>45756</v>
      </c>
      <c r="D90" t="inlineStr">
        <is>
          <t>KALMAR LÄN</t>
        </is>
      </c>
      <c r="E90" t="inlineStr">
        <is>
          <t>NYBRO</t>
        </is>
      </c>
      <c r="G90" t="n">
        <v>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Kungsfågel</t>
        </is>
      </c>
      <c r="S90">
        <f>HYPERLINK("https://klasma.github.io/Logging_0881/artfynd/A 15279-2023 artfynd.xlsx", "A 15279-2023")</f>
        <v/>
      </c>
      <c r="T90">
        <f>HYPERLINK("https://klasma.github.io/Logging_0881/kartor/A 15279-2023 karta.png", "A 15279-2023")</f>
        <v/>
      </c>
      <c r="V90">
        <f>HYPERLINK("https://klasma.github.io/Logging_0881/klagomål/A 15279-2023 FSC-klagomål.docx", "A 15279-2023")</f>
        <v/>
      </c>
      <c r="W90">
        <f>HYPERLINK("https://klasma.github.io/Logging_0881/klagomålsmail/A 15279-2023 FSC-klagomål mail.docx", "A 15279-2023")</f>
        <v/>
      </c>
      <c r="X90">
        <f>HYPERLINK("https://klasma.github.io/Logging_0881/tillsyn/A 15279-2023 tillsynsbegäran.docx", "A 15279-2023")</f>
        <v/>
      </c>
      <c r="Y90">
        <f>HYPERLINK("https://klasma.github.io/Logging_0881/tillsynsmail/A 15279-2023 tillsynsbegäran mail.docx", "A 15279-2023")</f>
        <v/>
      </c>
      <c r="Z90">
        <f>HYPERLINK("https://klasma.github.io/Logging_0881/fåglar/A 15279-2023 prioriterade fågelarter.docx", "A 15279-2023")</f>
        <v/>
      </c>
    </row>
    <row r="91" ht="15" customHeight="1">
      <c r="A91" t="inlineStr">
        <is>
          <t>A 15277-2023</t>
        </is>
      </c>
      <c r="B91" s="1" t="n">
        <v>45019</v>
      </c>
      <c r="C91" s="1" t="n">
        <v>45756</v>
      </c>
      <c r="D91" t="inlineStr">
        <is>
          <t>KALMAR LÄN</t>
        </is>
      </c>
      <c r="E91" t="inlineStr">
        <is>
          <t>NYBRO</t>
        </is>
      </c>
      <c r="G91" t="n">
        <v>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Kungsfågel</t>
        </is>
      </c>
      <c r="S91">
        <f>HYPERLINK("https://klasma.github.io/Logging_0881/artfynd/A 15277-2023 artfynd.xlsx", "A 15277-2023")</f>
        <v/>
      </c>
      <c r="T91">
        <f>HYPERLINK("https://klasma.github.io/Logging_0881/kartor/A 15277-2023 karta.png", "A 15277-2023")</f>
        <v/>
      </c>
      <c r="V91">
        <f>HYPERLINK("https://klasma.github.io/Logging_0881/klagomål/A 15277-2023 FSC-klagomål.docx", "A 15277-2023")</f>
        <v/>
      </c>
      <c r="W91">
        <f>HYPERLINK("https://klasma.github.io/Logging_0881/klagomålsmail/A 15277-2023 FSC-klagomål mail.docx", "A 15277-2023")</f>
        <v/>
      </c>
      <c r="X91">
        <f>HYPERLINK("https://klasma.github.io/Logging_0881/tillsyn/A 15277-2023 tillsynsbegäran.docx", "A 15277-2023")</f>
        <v/>
      </c>
      <c r="Y91">
        <f>HYPERLINK("https://klasma.github.io/Logging_0881/tillsynsmail/A 15277-2023 tillsynsbegäran mail.docx", "A 15277-2023")</f>
        <v/>
      </c>
      <c r="Z91">
        <f>HYPERLINK("https://klasma.github.io/Logging_0881/fåglar/A 15277-2023 prioriterade fågelarter.docx", "A 15277-2023")</f>
        <v/>
      </c>
    </row>
    <row r="92" ht="15" customHeight="1">
      <c r="A92" t="inlineStr">
        <is>
          <t>A 15349-2023</t>
        </is>
      </c>
      <c r="B92" s="1" t="n">
        <v>45019</v>
      </c>
      <c r="C92" s="1" t="n">
        <v>45756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HYPERLINK("https://klasma.github.io/Logging_0881/artfynd/A 15349-2023 artfynd.xlsx", "A 15349-2023")</f>
        <v/>
      </c>
      <c r="T92">
        <f>HYPERLINK("https://klasma.github.io/Logging_0881/kartor/A 15349-2023 karta.png", "A 15349-2023")</f>
        <v/>
      </c>
      <c r="V92">
        <f>HYPERLINK("https://klasma.github.io/Logging_0881/klagomål/A 15349-2023 FSC-klagomål.docx", "A 15349-2023")</f>
        <v/>
      </c>
      <c r="W92">
        <f>HYPERLINK("https://klasma.github.io/Logging_0881/klagomålsmail/A 15349-2023 FSC-klagomål mail.docx", "A 15349-2023")</f>
        <v/>
      </c>
      <c r="X92">
        <f>HYPERLINK("https://klasma.github.io/Logging_0881/tillsyn/A 15349-2023 tillsynsbegäran.docx", "A 15349-2023")</f>
        <v/>
      </c>
      <c r="Y92">
        <f>HYPERLINK("https://klasma.github.io/Logging_0881/tillsynsmail/A 15349-2023 tillsynsbegäran mail.docx", "A 15349-2023")</f>
        <v/>
      </c>
      <c r="Z92">
        <f>HYPERLINK("https://klasma.github.io/Logging_0881/fåglar/A 15349-2023 prioriterade fågelarter.docx", "A 15349-2023")</f>
        <v/>
      </c>
    </row>
    <row r="93" ht="15" customHeight="1">
      <c r="A93" t="inlineStr">
        <is>
          <t>A 15353-2023</t>
        </is>
      </c>
      <c r="B93" s="1" t="n">
        <v>45019</v>
      </c>
      <c r="C93" s="1" t="n">
        <v>45756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HYPERLINK("https://klasma.github.io/Logging_0881/artfynd/A 15353-2023 artfynd.xlsx", "A 15353-2023")</f>
        <v/>
      </c>
      <c r="T93">
        <f>HYPERLINK("https://klasma.github.io/Logging_0881/kartor/A 15353-2023 karta.png", "A 15353-2023")</f>
        <v/>
      </c>
      <c r="V93">
        <f>HYPERLINK("https://klasma.github.io/Logging_0881/klagomål/A 15353-2023 FSC-klagomål.docx", "A 15353-2023")</f>
        <v/>
      </c>
      <c r="W93">
        <f>HYPERLINK("https://klasma.github.io/Logging_0881/klagomålsmail/A 15353-2023 FSC-klagomål mail.docx", "A 15353-2023")</f>
        <v/>
      </c>
      <c r="X93">
        <f>HYPERLINK("https://klasma.github.io/Logging_0881/tillsyn/A 15353-2023 tillsynsbegäran.docx", "A 15353-2023")</f>
        <v/>
      </c>
      <c r="Y93">
        <f>HYPERLINK("https://klasma.github.io/Logging_0881/tillsynsmail/A 15353-2023 tillsynsbegäran mail.docx", "A 15353-2023")</f>
        <v/>
      </c>
      <c r="Z93">
        <f>HYPERLINK("https://klasma.github.io/Logging_0881/fåglar/A 15353-2023 prioriterade fågelarter.docx", "A 15353-2023")</f>
        <v/>
      </c>
    </row>
    <row r="94" ht="15" customHeight="1">
      <c r="A94" t="inlineStr">
        <is>
          <t>A 18404-2023</t>
        </is>
      </c>
      <c r="B94" s="1" t="n">
        <v>45042</v>
      </c>
      <c r="C94" s="1" t="n">
        <v>45756</v>
      </c>
      <c r="D94" t="inlineStr">
        <is>
          <t>KALMAR LÄN</t>
        </is>
      </c>
      <c r="E94" t="inlineStr">
        <is>
          <t>NYBRO</t>
        </is>
      </c>
      <c r="G94" t="n">
        <v>5.3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HYPERLINK("https://klasma.github.io/Logging_0881/artfynd/A 18404-2023 artfynd.xlsx", "A 18404-2023")</f>
        <v/>
      </c>
      <c r="T94">
        <f>HYPERLINK("https://klasma.github.io/Logging_0881/kartor/A 18404-2023 karta.png", "A 18404-2023")</f>
        <v/>
      </c>
      <c r="V94">
        <f>HYPERLINK("https://klasma.github.io/Logging_0881/klagomål/A 18404-2023 FSC-klagomål.docx", "A 18404-2023")</f>
        <v/>
      </c>
      <c r="W94">
        <f>HYPERLINK("https://klasma.github.io/Logging_0881/klagomålsmail/A 18404-2023 FSC-klagomål mail.docx", "A 18404-2023")</f>
        <v/>
      </c>
      <c r="X94">
        <f>HYPERLINK("https://klasma.github.io/Logging_0881/tillsyn/A 18404-2023 tillsynsbegäran.docx", "A 18404-2023")</f>
        <v/>
      </c>
      <c r="Y94">
        <f>HYPERLINK("https://klasma.github.io/Logging_0881/tillsynsmail/A 18404-2023 tillsynsbegäran mail.docx", "A 18404-2023")</f>
        <v/>
      </c>
      <c r="Z94">
        <f>HYPERLINK("https://klasma.github.io/Logging_0881/fåglar/A 18404-2023 prioriterade fågelarter.docx", "A 18404-2023")</f>
        <v/>
      </c>
    </row>
    <row r="95" ht="15" customHeight="1">
      <c r="A95" t="inlineStr">
        <is>
          <t>A 27346-2023</t>
        </is>
      </c>
      <c r="B95" s="1" t="n">
        <v>45096</v>
      </c>
      <c r="C95" s="1" t="n">
        <v>45756</v>
      </c>
      <c r="D95" t="inlineStr">
        <is>
          <t>KALMAR LÄN</t>
        </is>
      </c>
      <c r="E95" t="inlineStr">
        <is>
          <t>NYBRO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Blanksvart trämyra</t>
        </is>
      </c>
      <c r="S95">
        <f>HYPERLINK("https://klasma.github.io/Logging_0881/artfynd/A 27346-2023 artfynd.xlsx", "A 27346-2023")</f>
        <v/>
      </c>
      <c r="T95">
        <f>HYPERLINK("https://klasma.github.io/Logging_0881/kartor/A 27346-2023 karta.png", "A 27346-2023")</f>
        <v/>
      </c>
      <c r="V95">
        <f>HYPERLINK("https://klasma.github.io/Logging_0881/klagomål/A 27346-2023 FSC-klagomål.docx", "A 27346-2023")</f>
        <v/>
      </c>
      <c r="W95">
        <f>HYPERLINK("https://klasma.github.io/Logging_0881/klagomålsmail/A 27346-2023 FSC-klagomål mail.docx", "A 27346-2023")</f>
        <v/>
      </c>
      <c r="X95">
        <f>HYPERLINK("https://klasma.github.io/Logging_0881/tillsyn/A 27346-2023 tillsynsbegäran.docx", "A 27346-2023")</f>
        <v/>
      </c>
      <c r="Y95">
        <f>HYPERLINK("https://klasma.github.io/Logging_0881/tillsynsmail/A 27346-2023 tillsynsbegäran mail.docx", "A 27346-2023")</f>
        <v/>
      </c>
    </row>
    <row r="96" ht="15" customHeight="1">
      <c r="A96" t="inlineStr">
        <is>
          <t>A 28678-2023</t>
        </is>
      </c>
      <c r="B96" s="1" t="n">
        <v>45103</v>
      </c>
      <c r="C96" s="1" t="n">
        <v>45756</v>
      </c>
      <c r="D96" t="inlineStr">
        <is>
          <t>KALMAR LÄN</t>
        </is>
      </c>
      <c r="E96" t="inlineStr">
        <is>
          <t>NYBRO</t>
        </is>
      </c>
      <c r="G96" t="n">
        <v>10.3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Åttafläckig praktbagge</t>
        </is>
      </c>
      <c r="S96">
        <f>HYPERLINK("https://klasma.github.io/Logging_0881/artfynd/A 28678-2023 artfynd.xlsx", "A 28678-2023")</f>
        <v/>
      </c>
      <c r="T96">
        <f>HYPERLINK("https://klasma.github.io/Logging_0881/kartor/A 28678-2023 karta.png", "A 28678-2023")</f>
        <v/>
      </c>
      <c r="V96">
        <f>HYPERLINK("https://klasma.github.io/Logging_0881/klagomål/A 28678-2023 FSC-klagomål.docx", "A 28678-2023")</f>
        <v/>
      </c>
      <c r="W96">
        <f>HYPERLINK("https://klasma.github.io/Logging_0881/klagomålsmail/A 28678-2023 FSC-klagomål mail.docx", "A 28678-2023")</f>
        <v/>
      </c>
      <c r="X96">
        <f>HYPERLINK("https://klasma.github.io/Logging_0881/tillsyn/A 28678-2023 tillsynsbegäran.docx", "A 28678-2023")</f>
        <v/>
      </c>
      <c r="Y96">
        <f>HYPERLINK("https://klasma.github.io/Logging_0881/tillsynsmail/A 28678-2023 tillsynsbegäran mail.docx", "A 28678-2023")</f>
        <v/>
      </c>
    </row>
    <row r="97" ht="15" customHeight="1">
      <c r="A97" t="inlineStr">
        <is>
          <t>A 28647-2023</t>
        </is>
      </c>
      <c r="B97" s="1" t="n">
        <v>45103</v>
      </c>
      <c r="C97" s="1" t="n">
        <v>45756</v>
      </c>
      <c r="D97" t="inlineStr">
        <is>
          <t>KALMAR LÄN</t>
        </is>
      </c>
      <c r="E97" t="inlineStr">
        <is>
          <t>NYBRO</t>
        </is>
      </c>
      <c r="G97" t="n">
        <v>5.6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Gulfläckig praktbagge</t>
        </is>
      </c>
      <c r="S97">
        <f>HYPERLINK("https://klasma.github.io/Logging_0881/artfynd/A 28647-2023 artfynd.xlsx", "A 28647-2023")</f>
        <v/>
      </c>
      <c r="T97">
        <f>HYPERLINK("https://klasma.github.io/Logging_0881/kartor/A 28647-2023 karta.png", "A 28647-2023")</f>
        <v/>
      </c>
      <c r="V97">
        <f>HYPERLINK("https://klasma.github.io/Logging_0881/klagomål/A 28647-2023 FSC-klagomål.docx", "A 28647-2023")</f>
        <v/>
      </c>
      <c r="W97">
        <f>HYPERLINK("https://klasma.github.io/Logging_0881/klagomålsmail/A 28647-2023 FSC-klagomål mail.docx", "A 28647-2023")</f>
        <v/>
      </c>
      <c r="X97">
        <f>HYPERLINK("https://klasma.github.io/Logging_0881/tillsyn/A 28647-2023 tillsynsbegäran.docx", "A 28647-2023")</f>
        <v/>
      </c>
      <c r="Y97">
        <f>HYPERLINK("https://klasma.github.io/Logging_0881/tillsynsmail/A 28647-2023 tillsynsbegäran mail.docx", "A 28647-2023")</f>
        <v/>
      </c>
    </row>
    <row r="98" ht="15" customHeight="1">
      <c r="A98" t="inlineStr">
        <is>
          <t>A 30121-2023</t>
        </is>
      </c>
      <c r="B98" s="1" t="n">
        <v>45110</v>
      </c>
      <c r="C98" s="1" t="n">
        <v>45756</v>
      </c>
      <c r="D98" t="inlineStr">
        <is>
          <t>KALMAR LÄN</t>
        </is>
      </c>
      <c r="E98" t="inlineStr">
        <is>
          <t>NYBRO</t>
        </is>
      </c>
      <c r="F98" t="inlineStr">
        <is>
          <t>Kommuner</t>
        </is>
      </c>
      <c r="G98" t="n">
        <v>4.9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flatbagge</t>
        </is>
      </c>
      <c r="S98">
        <f>HYPERLINK("https://klasma.github.io/Logging_0881/artfynd/A 30121-2023 artfynd.xlsx", "A 30121-2023")</f>
        <v/>
      </c>
      <c r="T98">
        <f>HYPERLINK("https://klasma.github.io/Logging_0881/kartor/A 30121-2023 karta.png", "A 30121-2023")</f>
        <v/>
      </c>
      <c r="V98">
        <f>HYPERLINK("https://klasma.github.io/Logging_0881/klagomål/A 30121-2023 FSC-klagomål.docx", "A 30121-2023")</f>
        <v/>
      </c>
      <c r="W98">
        <f>HYPERLINK("https://klasma.github.io/Logging_0881/klagomålsmail/A 30121-2023 FSC-klagomål mail.docx", "A 30121-2023")</f>
        <v/>
      </c>
      <c r="X98">
        <f>HYPERLINK("https://klasma.github.io/Logging_0881/tillsyn/A 30121-2023 tillsynsbegäran.docx", "A 30121-2023")</f>
        <v/>
      </c>
      <c r="Y98">
        <f>HYPERLINK("https://klasma.github.io/Logging_0881/tillsynsmail/A 30121-2023 tillsynsbegäran mail.docx", "A 30121-2023")</f>
        <v/>
      </c>
    </row>
    <row r="99" ht="15" customHeight="1">
      <c r="A99" t="inlineStr">
        <is>
          <t>A 30532-2023</t>
        </is>
      </c>
      <c r="B99" s="1" t="n">
        <v>45111</v>
      </c>
      <c r="C99" s="1" t="n">
        <v>45756</v>
      </c>
      <c r="D99" t="inlineStr">
        <is>
          <t>KALMAR LÄN</t>
        </is>
      </c>
      <c r="E99" t="inlineStr">
        <is>
          <t>NYBRO</t>
        </is>
      </c>
      <c r="G99" t="n">
        <v>13.1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Raggbock</t>
        </is>
      </c>
      <c r="S99">
        <f>HYPERLINK("https://klasma.github.io/Logging_0881/artfynd/A 30532-2023 artfynd.xlsx", "A 30532-2023")</f>
        <v/>
      </c>
      <c r="T99">
        <f>HYPERLINK("https://klasma.github.io/Logging_0881/kartor/A 30532-2023 karta.png", "A 30532-2023")</f>
        <v/>
      </c>
      <c r="V99">
        <f>HYPERLINK("https://klasma.github.io/Logging_0881/klagomål/A 30532-2023 FSC-klagomål.docx", "A 30532-2023")</f>
        <v/>
      </c>
      <c r="W99">
        <f>HYPERLINK("https://klasma.github.io/Logging_0881/klagomålsmail/A 30532-2023 FSC-klagomål mail.docx", "A 30532-2023")</f>
        <v/>
      </c>
      <c r="X99">
        <f>HYPERLINK("https://klasma.github.io/Logging_0881/tillsyn/A 30532-2023 tillsynsbegäran.docx", "A 30532-2023")</f>
        <v/>
      </c>
      <c r="Y99">
        <f>HYPERLINK("https://klasma.github.io/Logging_0881/tillsynsmail/A 30532-2023 tillsynsbegäran mail.docx", "A 30532-2023")</f>
        <v/>
      </c>
    </row>
    <row r="100" ht="15" customHeight="1">
      <c r="A100" t="inlineStr">
        <is>
          <t>A 33422-2023</t>
        </is>
      </c>
      <c r="B100" s="1" t="n">
        <v>45128</v>
      </c>
      <c r="C100" s="1" t="n">
        <v>45756</v>
      </c>
      <c r="D100" t="inlineStr">
        <is>
          <t>KALMAR LÄN</t>
        </is>
      </c>
      <c r="E100" t="inlineStr">
        <is>
          <t>NYBRO</t>
        </is>
      </c>
      <c r="G100" t="n">
        <v>7.2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Murgröna</t>
        </is>
      </c>
      <c r="S100">
        <f>HYPERLINK("https://klasma.github.io/Logging_0881/artfynd/A 33422-2023 artfynd.xlsx", "A 33422-2023")</f>
        <v/>
      </c>
      <c r="T100">
        <f>HYPERLINK("https://klasma.github.io/Logging_0881/kartor/A 33422-2023 karta.png", "A 33422-2023")</f>
        <v/>
      </c>
      <c r="V100">
        <f>HYPERLINK("https://klasma.github.io/Logging_0881/klagomål/A 33422-2023 FSC-klagomål.docx", "A 33422-2023")</f>
        <v/>
      </c>
      <c r="W100">
        <f>HYPERLINK("https://klasma.github.io/Logging_0881/klagomålsmail/A 33422-2023 FSC-klagomål mail.docx", "A 33422-2023")</f>
        <v/>
      </c>
      <c r="X100">
        <f>HYPERLINK("https://klasma.github.io/Logging_0881/tillsyn/A 33422-2023 tillsynsbegäran.docx", "A 33422-2023")</f>
        <v/>
      </c>
      <c r="Y100">
        <f>HYPERLINK("https://klasma.github.io/Logging_0881/tillsynsmail/A 33422-2023 tillsynsbegäran mail.docx", "A 33422-2023")</f>
        <v/>
      </c>
    </row>
    <row r="101" ht="15" customHeight="1">
      <c r="A101" t="inlineStr">
        <is>
          <t>A 50008-2023</t>
        </is>
      </c>
      <c r="B101" s="1" t="n">
        <v>45215</v>
      </c>
      <c r="C101" s="1" t="n">
        <v>45756</v>
      </c>
      <c r="D101" t="inlineStr">
        <is>
          <t>KALMAR LÄN</t>
        </is>
      </c>
      <c r="E101" t="inlineStr">
        <is>
          <t>NYBRO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Mindre bastardsvärmare</t>
        </is>
      </c>
      <c r="S101">
        <f>HYPERLINK("https://klasma.github.io/Logging_0881/artfynd/A 50008-2023 artfynd.xlsx", "A 50008-2023")</f>
        <v/>
      </c>
      <c r="T101">
        <f>HYPERLINK("https://klasma.github.io/Logging_0881/kartor/A 50008-2023 karta.png", "A 50008-2023")</f>
        <v/>
      </c>
      <c r="V101">
        <f>HYPERLINK("https://klasma.github.io/Logging_0881/klagomål/A 50008-2023 FSC-klagomål.docx", "A 50008-2023")</f>
        <v/>
      </c>
      <c r="W101">
        <f>HYPERLINK("https://klasma.github.io/Logging_0881/klagomålsmail/A 50008-2023 FSC-klagomål mail.docx", "A 50008-2023")</f>
        <v/>
      </c>
      <c r="X101">
        <f>HYPERLINK("https://klasma.github.io/Logging_0881/tillsyn/A 50008-2023 tillsynsbegäran.docx", "A 50008-2023")</f>
        <v/>
      </c>
      <c r="Y101">
        <f>HYPERLINK("https://klasma.github.io/Logging_0881/tillsynsmail/A 50008-2023 tillsynsbegäran mail.docx", "A 50008-2023")</f>
        <v/>
      </c>
    </row>
    <row r="102" ht="15" customHeight="1">
      <c r="A102" t="inlineStr">
        <is>
          <t>A 51761-2023</t>
        </is>
      </c>
      <c r="B102" s="1" t="n">
        <v>45222</v>
      </c>
      <c r="C102" s="1" t="n">
        <v>45756</v>
      </c>
      <c r="D102" t="inlineStr">
        <is>
          <t>KALMAR LÄN</t>
        </is>
      </c>
      <c r="E102" t="inlineStr">
        <is>
          <t>NYBRO</t>
        </is>
      </c>
      <c r="G102" t="n">
        <v>9.300000000000001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Lappuggla</t>
        </is>
      </c>
      <c r="S102">
        <f>HYPERLINK("https://klasma.github.io/Logging_0881/artfynd/A 51761-2023 artfynd.xlsx", "A 51761-2023")</f>
        <v/>
      </c>
      <c r="T102">
        <f>HYPERLINK("https://klasma.github.io/Logging_0881/kartor/A 51761-2023 karta.png", "A 51761-2023")</f>
        <v/>
      </c>
      <c r="V102">
        <f>HYPERLINK("https://klasma.github.io/Logging_0881/klagomål/A 51761-2023 FSC-klagomål.docx", "A 51761-2023")</f>
        <v/>
      </c>
      <c r="W102">
        <f>HYPERLINK("https://klasma.github.io/Logging_0881/klagomålsmail/A 51761-2023 FSC-klagomål mail.docx", "A 51761-2023")</f>
        <v/>
      </c>
      <c r="X102">
        <f>HYPERLINK("https://klasma.github.io/Logging_0881/tillsyn/A 51761-2023 tillsynsbegäran.docx", "A 51761-2023")</f>
        <v/>
      </c>
      <c r="Y102">
        <f>HYPERLINK("https://klasma.github.io/Logging_0881/tillsynsmail/A 51761-2023 tillsynsbegäran mail.docx", "A 51761-2023")</f>
        <v/>
      </c>
      <c r="Z102">
        <f>HYPERLINK("https://klasma.github.io/Logging_0881/fåglar/A 51761-2023 prioriterade fågelarter.docx", "A 51761-2023")</f>
        <v/>
      </c>
    </row>
    <row r="103" ht="15" customHeight="1">
      <c r="A103" t="inlineStr">
        <is>
          <t>A 64542-2023</t>
        </is>
      </c>
      <c r="B103" s="1" t="n">
        <v>45281</v>
      </c>
      <c r="C103" s="1" t="n">
        <v>45756</v>
      </c>
      <c r="D103" t="inlineStr">
        <is>
          <t>KALMAR LÄN</t>
        </is>
      </c>
      <c r="E103" t="inlineStr">
        <is>
          <t>NYBRO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64542-2023 artfynd.xlsx", "A 64542-2023")</f>
        <v/>
      </c>
      <c r="T103">
        <f>HYPERLINK("https://klasma.github.io/Logging_0881/kartor/A 64542-2023 karta.png", "A 64542-2023")</f>
        <v/>
      </c>
      <c r="V103">
        <f>HYPERLINK("https://klasma.github.io/Logging_0881/klagomål/A 64542-2023 FSC-klagomål.docx", "A 64542-2023")</f>
        <v/>
      </c>
      <c r="W103">
        <f>HYPERLINK("https://klasma.github.io/Logging_0881/klagomålsmail/A 64542-2023 FSC-klagomål mail.docx", "A 64542-2023")</f>
        <v/>
      </c>
      <c r="X103">
        <f>HYPERLINK("https://klasma.github.io/Logging_0881/tillsyn/A 64542-2023 tillsynsbegäran.docx", "A 64542-2023")</f>
        <v/>
      </c>
      <c r="Y103">
        <f>HYPERLINK("https://klasma.github.io/Logging_0881/tillsynsmail/A 64542-2023 tillsynsbegäran mail.docx", "A 64542-2023")</f>
        <v/>
      </c>
    </row>
    <row r="104" ht="15" customHeight="1">
      <c r="A104" t="inlineStr">
        <is>
          <t>A 262-2024</t>
        </is>
      </c>
      <c r="B104" s="1" t="n">
        <v>45295</v>
      </c>
      <c r="C104" s="1" t="n">
        <v>45756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Gullviva</t>
        </is>
      </c>
      <c r="S104">
        <f>HYPERLINK("https://klasma.github.io/Logging_0881/artfynd/A 262-2024 artfynd.xlsx", "A 262-2024")</f>
        <v/>
      </c>
      <c r="T104">
        <f>HYPERLINK("https://klasma.github.io/Logging_0881/kartor/A 262-2024 karta.png", "A 262-2024")</f>
        <v/>
      </c>
      <c r="V104">
        <f>HYPERLINK("https://klasma.github.io/Logging_0881/klagomål/A 262-2024 FSC-klagomål.docx", "A 262-2024")</f>
        <v/>
      </c>
      <c r="W104">
        <f>HYPERLINK("https://klasma.github.io/Logging_0881/klagomålsmail/A 262-2024 FSC-klagomål mail.docx", "A 262-2024")</f>
        <v/>
      </c>
      <c r="X104">
        <f>HYPERLINK("https://klasma.github.io/Logging_0881/tillsyn/A 262-2024 tillsynsbegäran.docx", "A 262-2024")</f>
        <v/>
      </c>
      <c r="Y104">
        <f>HYPERLINK("https://klasma.github.io/Logging_0881/tillsynsmail/A 262-2024 tillsynsbegäran mail.docx", "A 262-2024")</f>
        <v/>
      </c>
    </row>
    <row r="105" ht="15" customHeight="1">
      <c r="A105" t="inlineStr">
        <is>
          <t>A 1717-2024</t>
        </is>
      </c>
      <c r="B105" s="1" t="n">
        <v>45307</v>
      </c>
      <c r="C105" s="1" t="n">
        <v>45756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0.7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HYPERLINK("https://klasma.github.io/Logging_0881/artfynd/A 1717-2024 artfynd.xlsx", "A 1717-2024")</f>
        <v/>
      </c>
      <c r="T105">
        <f>HYPERLINK("https://klasma.github.io/Logging_0881/kartor/A 1717-2024 karta.png", "A 1717-2024")</f>
        <v/>
      </c>
      <c r="V105">
        <f>HYPERLINK("https://klasma.github.io/Logging_0881/klagomål/A 1717-2024 FSC-klagomål.docx", "A 1717-2024")</f>
        <v/>
      </c>
      <c r="W105">
        <f>HYPERLINK("https://klasma.github.io/Logging_0881/klagomålsmail/A 1717-2024 FSC-klagomål mail.docx", "A 1717-2024")</f>
        <v/>
      </c>
      <c r="X105">
        <f>HYPERLINK("https://klasma.github.io/Logging_0881/tillsyn/A 1717-2024 tillsynsbegäran.docx", "A 1717-2024")</f>
        <v/>
      </c>
      <c r="Y105">
        <f>HYPERLINK("https://klasma.github.io/Logging_0881/tillsynsmail/A 1717-2024 tillsynsbegäran mail.docx", "A 1717-2024")</f>
        <v/>
      </c>
    </row>
    <row r="106" ht="15" customHeight="1">
      <c r="A106" t="inlineStr">
        <is>
          <t>A 3053-2024</t>
        </is>
      </c>
      <c r="B106" s="1" t="n">
        <v>45316</v>
      </c>
      <c r="C106" s="1" t="n">
        <v>45756</v>
      </c>
      <c r="D106" t="inlineStr">
        <is>
          <t>KALMAR LÄN</t>
        </is>
      </c>
      <c r="E106" t="inlineStr">
        <is>
          <t>NYBRO</t>
        </is>
      </c>
      <c r="G106" t="n">
        <v>1.7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Slåtterfibbla</t>
        </is>
      </c>
      <c r="S106">
        <f>HYPERLINK("https://klasma.github.io/Logging_0881/artfynd/A 3053-2024 artfynd.xlsx", "A 3053-2024")</f>
        <v/>
      </c>
      <c r="T106">
        <f>HYPERLINK("https://klasma.github.io/Logging_0881/kartor/A 3053-2024 karta.png", "A 3053-2024")</f>
        <v/>
      </c>
      <c r="V106">
        <f>HYPERLINK("https://klasma.github.io/Logging_0881/klagomål/A 3053-2024 FSC-klagomål.docx", "A 3053-2024")</f>
        <v/>
      </c>
      <c r="W106">
        <f>HYPERLINK("https://klasma.github.io/Logging_0881/klagomålsmail/A 3053-2024 FSC-klagomål mail.docx", "A 3053-2024")</f>
        <v/>
      </c>
      <c r="X106">
        <f>HYPERLINK("https://klasma.github.io/Logging_0881/tillsyn/A 3053-2024 tillsynsbegäran.docx", "A 3053-2024")</f>
        <v/>
      </c>
      <c r="Y106">
        <f>HYPERLINK("https://klasma.github.io/Logging_0881/tillsynsmail/A 3053-2024 tillsynsbegäran mail.docx", "A 3053-2024")</f>
        <v/>
      </c>
    </row>
    <row r="107" ht="15" customHeight="1">
      <c r="A107" t="inlineStr">
        <is>
          <t>A 10174-2024</t>
        </is>
      </c>
      <c r="B107" s="1" t="n">
        <v>45364</v>
      </c>
      <c r="C107" s="1" t="n">
        <v>45756</v>
      </c>
      <c r="D107" t="inlineStr">
        <is>
          <t>KALMAR LÄN</t>
        </is>
      </c>
      <c r="E107" t="inlineStr">
        <is>
          <t>NYBRO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Mindre bastardsvärmare</t>
        </is>
      </c>
      <c r="S107">
        <f>HYPERLINK("https://klasma.github.io/Logging_0881/artfynd/A 10174-2024 artfynd.xlsx", "A 10174-2024")</f>
        <v/>
      </c>
      <c r="T107">
        <f>HYPERLINK("https://klasma.github.io/Logging_0881/kartor/A 10174-2024 karta.png", "A 10174-2024")</f>
        <v/>
      </c>
      <c r="V107">
        <f>HYPERLINK("https://klasma.github.io/Logging_0881/klagomål/A 10174-2024 FSC-klagomål.docx", "A 10174-2024")</f>
        <v/>
      </c>
      <c r="W107">
        <f>HYPERLINK("https://klasma.github.io/Logging_0881/klagomålsmail/A 10174-2024 FSC-klagomål mail.docx", "A 10174-2024")</f>
        <v/>
      </c>
      <c r="X107">
        <f>HYPERLINK("https://klasma.github.io/Logging_0881/tillsyn/A 10174-2024 tillsynsbegäran.docx", "A 10174-2024")</f>
        <v/>
      </c>
      <c r="Y107">
        <f>HYPERLINK("https://klasma.github.io/Logging_0881/tillsynsmail/A 10174-2024 tillsynsbegäran mail.docx", "A 10174-2024")</f>
        <v/>
      </c>
    </row>
    <row r="108" ht="15" customHeight="1">
      <c r="A108" t="inlineStr">
        <is>
          <t>A 10459-2024</t>
        </is>
      </c>
      <c r="B108" s="1" t="n">
        <v>45366</v>
      </c>
      <c r="C108" s="1" t="n">
        <v>45756</v>
      </c>
      <c r="D108" t="inlineStr">
        <is>
          <t>KALMAR LÄN</t>
        </is>
      </c>
      <c r="E108" t="inlineStr">
        <is>
          <t>NYBRO</t>
        </is>
      </c>
      <c r="G108" t="n">
        <v>2.2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Sumpviol</t>
        </is>
      </c>
      <c r="S108">
        <f>HYPERLINK("https://klasma.github.io/Logging_0881/artfynd/A 10459-2024 artfynd.xlsx", "A 10459-2024")</f>
        <v/>
      </c>
      <c r="T108">
        <f>HYPERLINK("https://klasma.github.io/Logging_0881/kartor/A 10459-2024 karta.png", "A 10459-2024")</f>
        <v/>
      </c>
      <c r="V108">
        <f>HYPERLINK("https://klasma.github.io/Logging_0881/klagomål/A 10459-2024 FSC-klagomål.docx", "A 10459-2024")</f>
        <v/>
      </c>
      <c r="W108">
        <f>HYPERLINK("https://klasma.github.io/Logging_0881/klagomålsmail/A 10459-2024 FSC-klagomål mail.docx", "A 10459-2024")</f>
        <v/>
      </c>
      <c r="X108">
        <f>HYPERLINK("https://klasma.github.io/Logging_0881/tillsyn/A 10459-2024 tillsynsbegäran.docx", "A 10459-2024")</f>
        <v/>
      </c>
      <c r="Y108">
        <f>HYPERLINK("https://klasma.github.io/Logging_0881/tillsynsmail/A 10459-2024 tillsynsbegäran mail.docx", "A 10459-2024")</f>
        <v/>
      </c>
    </row>
    <row r="109" ht="15" customHeight="1">
      <c r="A109" t="inlineStr">
        <is>
          <t>A 19460-2024</t>
        </is>
      </c>
      <c r="B109" s="1" t="n">
        <v>45429</v>
      </c>
      <c r="C109" s="1" t="n">
        <v>45756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5.4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19460-2024 artfynd.xlsx", "A 19460-2024")</f>
        <v/>
      </c>
      <c r="T109">
        <f>HYPERLINK("https://klasma.github.io/Logging_0881/kartor/A 19460-2024 karta.png", "A 19460-2024")</f>
        <v/>
      </c>
      <c r="V109">
        <f>HYPERLINK("https://klasma.github.io/Logging_0881/klagomål/A 19460-2024 FSC-klagomål.docx", "A 19460-2024")</f>
        <v/>
      </c>
      <c r="W109">
        <f>HYPERLINK("https://klasma.github.io/Logging_0881/klagomålsmail/A 19460-2024 FSC-klagomål mail.docx", "A 19460-2024")</f>
        <v/>
      </c>
      <c r="X109">
        <f>HYPERLINK("https://klasma.github.io/Logging_0881/tillsyn/A 19460-2024 tillsynsbegäran.docx", "A 19460-2024")</f>
        <v/>
      </c>
      <c r="Y109">
        <f>HYPERLINK("https://klasma.github.io/Logging_0881/tillsynsmail/A 19460-2024 tillsynsbegäran mail.docx", "A 19460-2024")</f>
        <v/>
      </c>
    </row>
    <row r="110" ht="15" customHeight="1">
      <c r="A110" t="inlineStr">
        <is>
          <t>A 21749-2024</t>
        </is>
      </c>
      <c r="B110" s="1" t="n">
        <v>45442</v>
      </c>
      <c r="C110" s="1" t="n">
        <v>45756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2.1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HYPERLINK("https://klasma.github.io/Logging_0881/artfynd/A 21749-2024 artfynd.xlsx", "A 21749-2024")</f>
        <v/>
      </c>
      <c r="T110">
        <f>HYPERLINK("https://klasma.github.io/Logging_0881/kartor/A 21749-2024 karta.png", "A 21749-2024")</f>
        <v/>
      </c>
      <c r="V110">
        <f>HYPERLINK("https://klasma.github.io/Logging_0881/klagomål/A 21749-2024 FSC-klagomål.docx", "A 21749-2024")</f>
        <v/>
      </c>
      <c r="W110">
        <f>HYPERLINK("https://klasma.github.io/Logging_0881/klagomålsmail/A 21749-2024 FSC-klagomål mail.docx", "A 21749-2024")</f>
        <v/>
      </c>
      <c r="X110">
        <f>HYPERLINK("https://klasma.github.io/Logging_0881/tillsyn/A 21749-2024 tillsynsbegäran.docx", "A 21749-2024")</f>
        <v/>
      </c>
      <c r="Y110">
        <f>HYPERLINK("https://klasma.github.io/Logging_0881/tillsynsmail/A 21749-2024 tillsynsbegäran mail.docx", "A 21749-2024")</f>
        <v/>
      </c>
      <c r="Z110">
        <f>HYPERLINK("https://klasma.github.io/Logging_0881/fåglar/A 21749-2024 prioriterade fågelarter.docx", "A 21749-2024")</f>
        <v/>
      </c>
    </row>
    <row r="111" ht="15" customHeight="1">
      <c r="A111" t="inlineStr">
        <is>
          <t>A 22952-2024</t>
        </is>
      </c>
      <c r="B111" s="1" t="n">
        <v>45449</v>
      </c>
      <c r="C111" s="1" t="n">
        <v>45756</v>
      </c>
      <c r="D111" t="inlineStr">
        <is>
          <t>KALMAR LÄN</t>
        </is>
      </c>
      <c r="E111" t="inlineStr">
        <is>
          <t>NYBRO</t>
        </is>
      </c>
      <c r="G111" t="n">
        <v>14.1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HYPERLINK("https://klasma.github.io/Logging_0881/artfynd/A 22952-2024 artfynd.xlsx", "A 22952-2024")</f>
        <v/>
      </c>
      <c r="T111">
        <f>HYPERLINK("https://klasma.github.io/Logging_0881/kartor/A 22952-2024 karta.png", "A 22952-2024")</f>
        <v/>
      </c>
      <c r="V111">
        <f>HYPERLINK("https://klasma.github.io/Logging_0881/klagomål/A 22952-2024 FSC-klagomål.docx", "A 22952-2024")</f>
        <v/>
      </c>
      <c r="W111">
        <f>HYPERLINK("https://klasma.github.io/Logging_0881/klagomålsmail/A 22952-2024 FSC-klagomål mail.docx", "A 22952-2024")</f>
        <v/>
      </c>
      <c r="X111">
        <f>HYPERLINK("https://klasma.github.io/Logging_0881/tillsyn/A 22952-2024 tillsynsbegäran.docx", "A 22952-2024")</f>
        <v/>
      </c>
      <c r="Y111">
        <f>HYPERLINK("https://klasma.github.io/Logging_0881/tillsynsmail/A 22952-2024 tillsynsbegäran mail.docx", "A 22952-2024")</f>
        <v/>
      </c>
    </row>
    <row r="112" ht="15" customHeight="1">
      <c r="A112" t="inlineStr">
        <is>
          <t>A 25849-2024</t>
        </is>
      </c>
      <c r="B112" s="1" t="n">
        <v>45467</v>
      </c>
      <c r="C112" s="1" t="n">
        <v>45756</v>
      </c>
      <c r="D112" t="inlineStr">
        <is>
          <t>KALMAR LÄN</t>
        </is>
      </c>
      <c r="E112" t="inlineStr">
        <is>
          <t>NYBRO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HYPERLINK("https://klasma.github.io/Logging_0881/artfynd/A 25849-2024 artfynd.xlsx", "A 25849-2024")</f>
        <v/>
      </c>
      <c r="T112">
        <f>HYPERLINK("https://klasma.github.io/Logging_0881/kartor/A 25849-2024 karta.png", "A 25849-2024")</f>
        <v/>
      </c>
      <c r="U112">
        <f>HYPERLINK("https://klasma.github.io/Logging_0881/knärot/A 25849-2024 karta knärot.png", "A 25849-2024")</f>
        <v/>
      </c>
      <c r="V112">
        <f>HYPERLINK("https://klasma.github.io/Logging_0881/klagomål/A 25849-2024 FSC-klagomål.docx", "A 25849-2024")</f>
        <v/>
      </c>
      <c r="W112">
        <f>HYPERLINK("https://klasma.github.io/Logging_0881/klagomålsmail/A 25849-2024 FSC-klagomål mail.docx", "A 25849-2024")</f>
        <v/>
      </c>
      <c r="X112">
        <f>HYPERLINK("https://klasma.github.io/Logging_0881/tillsyn/A 25849-2024 tillsynsbegäran.docx", "A 25849-2024")</f>
        <v/>
      </c>
      <c r="Y112">
        <f>HYPERLINK("https://klasma.github.io/Logging_0881/tillsynsmail/A 25849-2024 tillsynsbegäran mail.docx", "A 25849-2024")</f>
        <v/>
      </c>
    </row>
    <row r="113" ht="15" customHeight="1">
      <c r="A113" t="inlineStr">
        <is>
          <t>A 30746-2024</t>
        </is>
      </c>
      <c r="B113" s="1" t="n">
        <v>45496</v>
      </c>
      <c r="C113" s="1" t="n">
        <v>45756</v>
      </c>
      <c r="D113" t="inlineStr">
        <is>
          <t>KALMAR LÄN</t>
        </is>
      </c>
      <c r="E113" t="inlineStr">
        <is>
          <t>NYBRO</t>
        </is>
      </c>
      <c r="G113" t="n">
        <v>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Granspira</t>
        </is>
      </c>
      <c r="S113">
        <f>HYPERLINK("https://klasma.github.io/Logging_0881/artfynd/A 30746-2024 artfynd.xlsx", "A 30746-2024")</f>
        <v/>
      </c>
      <c r="T113">
        <f>HYPERLINK("https://klasma.github.io/Logging_0881/kartor/A 30746-2024 karta.png", "A 30746-2024")</f>
        <v/>
      </c>
      <c r="V113">
        <f>HYPERLINK("https://klasma.github.io/Logging_0881/klagomål/A 30746-2024 FSC-klagomål.docx", "A 30746-2024")</f>
        <v/>
      </c>
      <c r="W113">
        <f>HYPERLINK("https://klasma.github.io/Logging_0881/klagomålsmail/A 30746-2024 FSC-klagomål mail.docx", "A 30746-2024")</f>
        <v/>
      </c>
      <c r="X113">
        <f>HYPERLINK("https://klasma.github.io/Logging_0881/tillsyn/A 30746-2024 tillsynsbegäran.docx", "A 30746-2024")</f>
        <v/>
      </c>
      <c r="Y113">
        <f>HYPERLINK("https://klasma.github.io/Logging_0881/tillsynsmail/A 30746-2024 tillsynsbegäran mail.docx", "A 30746-2024")</f>
        <v/>
      </c>
    </row>
    <row r="114" ht="15" customHeight="1">
      <c r="A114" t="inlineStr">
        <is>
          <t>A 37621-2024</t>
        </is>
      </c>
      <c r="B114" s="1" t="n">
        <v>45541</v>
      </c>
      <c r="C114" s="1" t="n">
        <v>45756</v>
      </c>
      <c r="D114" t="inlineStr">
        <is>
          <t>KALMAR LÄN</t>
        </is>
      </c>
      <c r="E114" t="inlineStr">
        <is>
          <t>NYBRO</t>
        </is>
      </c>
      <c r="G114" t="n">
        <v>4.1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Blåmossa</t>
        </is>
      </c>
      <c r="S114">
        <f>HYPERLINK("https://klasma.github.io/Logging_0881/artfynd/A 37621-2024 artfynd.xlsx", "A 37621-2024")</f>
        <v/>
      </c>
      <c r="T114">
        <f>HYPERLINK("https://klasma.github.io/Logging_0881/kartor/A 37621-2024 karta.png", "A 37621-2024")</f>
        <v/>
      </c>
      <c r="V114">
        <f>HYPERLINK("https://klasma.github.io/Logging_0881/klagomål/A 37621-2024 FSC-klagomål.docx", "A 37621-2024")</f>
        <v/>
      </c>
      <c r="W114">
        <f>HYPERLINK("https://klasma.github.io/Logging_0881/klagomålsmail/A 37621-2024 FSC-klagomål mail.docx", "A 37621-2024")</f>
        <v/>
      </c>
      <c r="X114">
        <f>HYPERLINK("https://klasma.github.io/Logging_0881/tillsyn/A 37621-2024 tillsynsbegäran.docx", "A 37621-2024")</f>
        <v/>
      </c>
      <c r="Y114">
        <f>HYPERLINK("https://klasma.github.io/Logging_0881/tillsynsmail/A 37621-2024 tillsynsbegäran mail.docx", "A 37621-2024")</f>
        <v/>
      </c>
    </row>
    <row r="115" ht="15" customHeight="1">
      <c r="A115" t="inlineStr">
        <is>
          <t>A 43608-2024</t>
        </is>
      </c>
      <c r="B115" s="1" t="n">
        <v>45569</v>
      </c>
      <c r="C115" s="1" t="n">
        <v>45756</v>
      </c>
      <c r="D115" t="inlineStr">
        <is>
          <t>KALMAR LÄN</t>
        </is>
      </c>
      <c r="E115" t="inlineStr">
        <is>
          <t>NYBRO</t>
        </is>
      </c>
      <c r="G115" t="n">
        <v>3.9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HYPERLINK("https://klasma.github.io/Logging_0881/artfynd/A 43608-2024 artfynd.xlsx", "A 43608-2024")</f>
        <v/>
      </c>
      <c r="T115">
        <f>HYPERLINK("https://klasma.github.io/Logging_0881/kartor/A 43608-2024 karta.png", "A 43608-2024")</f>
        <v/>
      </c>
      <c r="V115">
        <f>HYPERLINK("https://klasma.github.io/Logging_0881/klagomål/A 43608-2024 FSC-klagomål.docx", "A 43608-2024")</f>
        <v/>
      </c>
      <c r="W115">
        <f>HYPERLINK("https://klasma.github.io/Logging_0881/klagomålsmail/A 43608-2024 FSC-klagomål mail.docx", "A 43608-2024")</f>
        <v/>
      </c>
      <c r="X115">
        <f>HYPERLINK("https://klasma.github.io/Logging_0881/tillsyn/A 43608-2024 tillsynsbegäran.docx", "A 43608-2024")</f>
        <v/>
      </c>
      <c r="Y115">
        <f>HYPERLINK("https://klasma.github.io/Logging_0881/tillsynsmail/A 43608-2024 tillsynsbegäran mail.docx", "A 43608-2024")</f>
        <v/>
      </c>
    </row>
    <row r="116" ht="15" customHeight="1">
      <c r="A116" t="inlineStr">
        <is>
          <t>A 46223-2024</t>
        </is>
      </c>
      <c r="B116" s="1" t="n">
        <v>45581</v>
      </c>
      <c r="C116" s="1" t="n">
        <v>45756</v>
      </c>
      <c r="D116" t="inlineStr">
        <is>
          <t>KALMAR LÄN</t>
        </is>
      </c>
      <c r="E116" t="inlineStr">
        <is>
          <t>NYBRO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Sumpviol</t>
        </is>
      </c>
      <c r="S116">
        <f>HYPERLINK("https://klasma.github.io/Logging_0881/artfynd/A 46223-2024 artfynd.xlsx", "A 46223-2024")</f>
        <v/>
      </c>
      <c r="T116">
        <f>HYPERLINK("https://klasma.github.io/Logging_0881/kartor/A 46223-2024 karta.png", "A 46223-2024")</f>
        <v/>
      </c>
      <c r="V116">
        <f>HYPERLINK("https://klasma.github.io/Logging_0881/klagomål/A 46223-2024 FSC-klagomål.docx", "A 46223-2024")</f>
        <v/>
      </c>
      <c r="W116">
        <f>HYPERLINK("https://klasma.github.io/Logging_0881/klagomålsmail/A 46223-2024 FSC-klagomål mail.docx", "A 46223-2024")</f>
        <v/>
      </c>
      <c r="X116">
        <f>HYPERLINK("https://klasma.github.io/Logging_0881/tillsyn/A 46223-2024 tillsynsbegäran.docx", "A 46223-2024")</f>
        <v/>
      </c>
      <c r="Y116">
        <f>HYPERLINK("https://klasma.github.io/Logging_0881/tillsynsmail/A 46223-2024 tillsynsbegäran mail.docx", "A 46223-2024")</f>
        <v/>
      </c>
    </row>
    <row r="117" ht="15" customHeight="1">
      <c r="A117" t="inlineStr">
        <is>
          <t>A 47457-2024</t>
        </is>
      </c>
      <c r="B117" s="1" t="n">
        <v>45587</v>
      </c>
      <c r="C117" s="1" t="n">
        <v>45756</v>
      </c>
      <c r="D117" t="inlineStr">
        <is>
          <t>KALMAR LÄN</t>
        </is>
      </c>
      <c r="E117" t="inlineStr">
        <is>
          <t>NYBRO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Brunag</t>
        </is>
      </c>
      <c r="S117">
        <f>HYPERLINK("https://klasma.github.io/Logging_0881/artfynd/A 47457-2024 artfynd.xlsx", "A 47457-2024")</f>
        <v/>
      </c>
      <c r="T117">
        <f>HYPERLINK("https://klasma.github.io/Logging_0881/kartor/A 47457-2024 karta.png", "A 47457-2024")</f>
        <v/>
      </c>
      <c r="V117">
        <f>HYPERLINK("https://klasma.github.io/Logging_0881/klagomål/A 47457-2024 FSC-klagomål.docx", "A 47457-2024")</f>
        <v/>
      </c>
      <c r="W117">
        <f>HYPERLINK("https://klasma.github.io/Logging_0881/klagomålsmail/A 47457-2024 FSC-klagomål mail.docx", "A 47457-2024")</f>
        <v/>
      </c>
      <c r="X117">
        <f>HYPERLINK("https://klasma.github.io/Logging_0881/tillsyn/A 47457-2024 tillsynsbegäran.docx", "A 47457-2024")</f>
        <v/>
      </c>
      <c r="Y117">
        <f>HYPERLINK("https://klasma.github.io/Logging_0881/tillsynsmail/A 47457-2024 tillsynsbegäran mail.docx", "A 47457-2024")</f>
        <v/>
      </c>
    </row>
    <row r="118" ht="15" customHeight="1">
      <c r="A118" t="inlineStr">
        <is>
          <t>A 48980-2024</t>
        </is>
      </c>
      <c r="B118" s="1" t="n">
        <v>45594</v>
      </c>
      <c r="C118" s="1" t="n">
        <v>45756</v>
      </c>
      <c r="D118" t="inlineStr">
        <is>
          <t>KALMAR LÄN</t>
        </is>
      </c>
      <c r="E118" t="inlineStr">
        <is>
          <t>NYBRO</t>
        </is>
      </c>
      <c r="G118" t="n">
        <v>41.9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Hjärtstilla</t>
        </is>
      </c>
      <c r="S118">
        <f>HYPERLINK("https://klasma.github.io/Logging_0881/artfynd/A 48980-2024 artfynd.xlsx", "A 48980-2024")</f>
        <v/>
      </c>
      <c r="T118">
        <f>HYPERLINK("https://klasma.github.io/Logging_0881/kartor/A 48980-2024 karta.png", "A 48980-2024")</f>
        <v/>
      </c>
      <c r="V118">
        <f>HYPERLINK("https://klasma.github.io/Logging_0881/klagomål/A 48980-2024 FSC-klagomål.docx", "A 48980-2024")</f>
        <v/>
      </c>
      <c r="W118">
        <f>HYPERLINK("https://klasma.github.io/Logging_0881/klagomålsmail/A 48980-2024 FSC-klagomål mail.docx", "A 48980-2024")</f>
        <v/>
      </c>
      <c r="X118">
        <f>HYPERLINK("https://klasma.github.io/Logging_0881/tillsyn/A 48980-2024 tillsynsbegäran.docx", "A 48980-2024")</f>
        <v/>
      </c>
      <c r="Y118">
        <f>HYPERLINK("https://klasma.github.io/Logging_0881/tillsynsmail/A 48980-2024 tillsynsbegäran mail.docx", "A 48980-2024")</f>
        <v/>
      </c>
    </row>
    <row r="119" ht="15" customHeight="1">
      <c r="A119" t="inlineStr">
        <is>
          <t>A 49579-2024</t>
        </is>
      </c>
      <c r="B119" s="1" t="n">
        <v>45596</v>
      </c>
      <c r="C119" s="1" t="n">
        <v>45756</v>
      </c>
      <c r="D119" t="inlineStr">
        <is>
          <t>KALMAR LÄN</t>
        </is>
      </c>
      <c r="E119" t="inlineStr">
        <is>
          <t>NYBRO</t>
        </is>
      </c>
      <c r="G119" t="n">
        <v>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HYPERLINK("https://klasma.github.io/Logging_0881/artfynd/A 49579-2024 artfynd.xlsx", "A 49579-2024")</f>
        <v/>
      </c>
      <c r="T119">
        <f>HYPERLINK("https://klasma.github.io/Logging_0881/kartor/A 49579-2024 karta.png", "A 49579-2024")</f>
        <v/>
      </c>
      <c r="V119">
        <f>HYPERLINK("https://klasma.github.io/Logging_0881/klagomål/A 49579-2024 FSC-klagomål.docx", "A 49579-2024")</f>
        <v/>
      </c>
      <c r="W119">
        <f>HYPERLINK("https://klasma.github.io/Logging_0881/klagomålsmail/A 49579-2024 FSC-klagomål mail.docx", "A 49579-2024")</f>
        <v/>
      </c>
      <c r="X119">
        <f>HYPERLINK("https://klasma.github.io/Logging_0881/tillsyn/A 49579-2024 tillsynsbegäran.docx", "A 49579-2024")</f>
        <v/>
      </c>
      <c r="Y119">
        <f>HYPERLINK("https://klasma.github.io/Logging_0881/tillsynsmail/A 49579-2024 tillsynsbegäran mail.docx", "A 49579-2024")</f>
        <v/>
      </c>
    </row>
    <row r="120" ht="15" customHeight="1">
      <c r="A120" t="inlineStr">
        <is>
          <t>A 50908-2024</t>
        </is>
      </c>
      <c r="B120" s="1" t="n">
        <v>45602</v>
      </c>
      <c r="C120" s="1" t="n">
        <v>45756</v>
      </c>
      <c r="D120" t="inlineStr">
        <is>
          <t>KALMAR LÄN</t>
        </is>
      </c>
      <c r="E120" t="inlineStr">
        <is>
          <t>NYBRO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Asppraktbagge</t>
        </is>
      </c>
      <c r="S120">
        <f>HYPERLINK("https://klasma.github.io/Logging_0881/artfynd/A 50908-2024 artfynd.xlsx", "A 50908-2024")</f>
        <v/>
      </c>
      <c r="T120">
        <f>HYPERLINK("https://klasma.github.io/Logging_0881/kartor/A 50908-2024 karta.png", "A 50908-2024")</f>
        <v/>
      </c>
      <c r="V120">
        <f>HYPERLINK("https://klasma.github.io/Logging_0881/klagomål/A 50908-2024 FSC-klagomål.docx", "A 50908-2024")</f>
        <v/>
      </c>
      <c r="W120">
        <f>HYPERLINK("https://klasma.github.io/Logging_0881/klagomålsmail/A 50908-2024 FSC-klagomål mail.docx", "A 50908-2024")</f>
        <v/>
      </c>
      <c r="X120">
        <f>HYPERLINK("https://klasma.github.io/Logging_0881/tillsyn/A 50908-2024 tillsynsbegäran.docx", "A 50908-2024")</f>
        <v/>
      </c>
      <c r="Y120">
        <f>HYPERLINK("https://klasma.github.io/Logging_0881/tillsynsmail/A 50908-2024 tillsynsbegäran mail.docx", "A 50908-2024")</f>
        <v/>
      </c>
    </row>
    <row r="121" ht="15" customHeight="1">
      <c r="A121" t="inlineStr">
        <is>
          <t>A 51473-2024</t>
        </is>
      </c>
      <c r="B121" s="1" t="n">
        <v>45604</v>
      </c>
      <c r="C121" s="1" t="n">
        <v>45756</v>
      </c>
      <c r="D121" t="inlineStr">
        <is>
          <t>KALMAR LÄN</t>
        </is>
      </c>
      <c r="E121" t="inlineStr">
        <is>
          <t>NYBRO</t>
        </is>
      </c>
      <c r="G121" t="n">
        <v>3.4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Orre</t>
        </is>
      </c>
      <c r="S121">
        <f>HYPERLINK("https://klasma.github.io/Logging_0881/artfynd/A 51473-2024 artfynd.xlsx", "A 51473-2024")</f>
        <v/>
      </c>
      <c r="T121">
        <f>HYPERLINK("https://klasma.github.io/Logging_0881/kartor/A 51473-2024 karta.png", "A 51473-2024")</f>
        <v/>
      </c>
      <c r="V121">
        <f>HYPERLINK("https://klasma.github.io/Logging_0881/klagomål/A 51473-2024 FSC-klagomål.docx", "A 51473-2024")</f>
        <v/>
      </c>
      <c r="W121">
        <f>HYPERLINK("https://klasma.github.io/Logging_0881/klagomålsmail/A 51473-2024 FSC-klagomål mail.docx", "A 51473-2024")</f>
        <v/>
      </c>
      <c r="X121">
        <f>HYPERLINK("https://klasma.github.io/Logging_0881/tillsyn/A 51473-2024 tillsynsbegäran.docx", "A 51473-2024")</f>
        <v/>
      </c>
      <c r="Y121">
        <f>HYPERLINK("https://klasma.github.io/Logging_0881/tillsynsmail/A 51473-2024 tillsynsbegäran mail.docx", "A 51473-2024")</f>
        <v/>
      </c>
      <c r="Z121">
        <f>HYPERLINK("https://klasma.github.io/Logging_0881/fåglar/A 51473-2024 prioriterade fågelarter.docx", "A 51473-2024")</f>
        <v/>
      </c>
    </row>
    <row r="122" ht="15" customHeight="1">
      <c r="A122" t="inlineStr">
        <is>
          <t>A 53841-2024</t>
        </is>
      </c>
      <c r="B122" s="1" t="n">
        <v>45615</v>
      </c>
      <c r="C122" s="1" t="n">
        <v>45756</v>
      </c>
      <c r="D122" t="inlineStr">
        <is>
          <t>KALMAR LÄN</t>
        </is>
      </c>
      <c r="E122" t="inlineStr">
        <is>
          <t>NYBRO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HYPERLINK("https://klasma.github.io/Logging_0881/artfynd/A 53841-2024 artfynd.xlsx", "A 53841-2024")</f>
        <v/>
      </c>
      <c r="T122">
        <f>HYPERLINK("https://klasma.github.io/Logging_0881/kartor/A 53841-2024 karta.png", "A 53841-2024")</f>
        <v/>
      </c>
      <c r="V122">
        <f>HYPERLINK("https://klasma.github.io/Logging_0881/klagomål/A 53841-2024 FSC-klagomål.docx", "A 53841-2024")</f>
        <v/>
      </c>
      <c r="W122">
        <f>HYPERLINK("https://klasma.github.io/Logging_0881/klagomålsmail/A 53841-2024 FSC-klagomål mail.docx", "A 53841-2024")</f>
        <v/>
      </c>
      <c r="X122">
        <f>HYPERLINK("https://klasma.github.io/Logging_0881/tillsyn/A 53841-2024 tillsynsbegäran.docx", "A 53841-2024")</f>
        <v/>
      </c>
      <c r="Y122">
        <f>HYPERLINK("https://klasma.github.io/Logging_0881/tillsynsmail/A 53841-2024 tillsynsbegäran mail.docx", "A 53841-2024")</f>
        <v/>
      </c>
    </row>
    <row r="123" ht="15" customHeight="1">
      <c r="A123" t="inlineStr">
        <is>
          <t>A 55290-2024</t>
        </is>
      </c>
      <c r="B123" s="1" t="n">
        <v>45621</v>
      </c>
      <c r="C123" s="1" t="n">
        <v>45756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5.9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Utter</t>
        </is>
      </c>
      <c r="S123">
        <f>HYPERLINK("https://klasma.github.io/Logging_0881/artfynd/A 55290-2024 artfynd.xlsx", "A 55290-2024")</f>
        <v/>
      </c>
      <c r="T123">
        <f>HYPERLINK("https://klasma.github.io/Logging_0881/kartor/A 55290-2024 karta.png", "A 55290-2024")</f>
        <v/>
      </c>
      <c r="V123">
        <f>HYPERLINK("https://klasma.github.io/Logging_0881/klagomål/A 55290-2024 FSC-klagomål.docx", "A 55290-2024")</f>
        <v/>
      </c>
      <c r="W123">
        <f>HYPERLINK("https://klasma.github.io/Logging_0881/klagomålsmail/A 55290-2024 FSC-klagomål mail.docx", "A 55290-2024")</f>
        <v/>
      </c>
      <c r="X123">
        <f>HYPERLINK("https://klasma.github.io/Logging_0881/tillsyn/A 55290-2024 tillsynsbegäran.docx", "A 55290-2024")</f>
        <v/>
      </c>
      <c r="Y123">
        <f>HYPERLINK("https://klasma.github.io/Logging_0881/tillsynsmail/A 55290-2024 tillsynsbegäran mail.docx", "A 55290-2024")</f>
        <v/>
      </c>
    </row>
    <row r="124" ht="15" customHeight="1">
      <c r="A124" t="inlineStr">
        <is>
          <t>A 55299-2024</t>
        </is>
      </c>
      <c r="B124" s="1" t="n">
        <v>45621</v>
      </c>
      <c r="C124" s="1" t="n">
        <v>45756</v>
      </c>
      <c r="D124" t="inlineStr">
        <is>
          <t>KALMAR LÄN</t>
        </is>
      </c>
      <c r="E124" t="inlineStr">
        <is>
          <t>NYBRO</t>
        </is>
      </c>
      <c r="F124" t="inlineStr">
        <is>
          <t>Sveaskog</t>
        </is>
      </c>
      <c r="G124" t="n">
        <v>2.1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Sparvuggla</t>
        </is>
      </c>
      <c r="S124">
        <f>HYPERLINK("https://klasma.github.io/Logging_0881/artfynd/A 55299-2024 artfynd.xlsx", "A 55299-2024")</f>
        <v/>
      </c>
      <c r="T124">
        <f>HYPERLINK("https://klasma.github.io/Logging_0881/kartor/A 55299-2024 karta.png", "A 55299-2024")</f>
        <v/>
      </c>
      <c r="V124">
        <f>HYPERLINK("https://klasma.github.io/Logging_0881/klagomål/A 55299-2024 FSC-klagomål.docx", "A 55299-2024")</f>
        <v/>
      </c>
      <c r="W124">
        <f>HYPERLINK("https://klasma.github.io/Logging_0881/klagomålsmail/A 55299-2024 FSC-klagomål mail.docx", "A 55299-2024")</f>
        <v/>
      </c>
      <c r="X124">
        <f>HYPERLINK("https://klasma.github.io/Logging_0881/tillsyn/A 55299-2024 tillsynsbegäran.docx", "A 55299-2024")</f>
        <v/>
      </c>
      <c r="Y124">
        <f>HYPERLINK("https://klasma.github.io/Logging_0881/tillsynsmail/A 55299-2024 tillsynsbegäran mail.docx", "A 55299-2024")</f>
        <v/>
      </c>
      <c r="Z124">
        <f>HYPERLINK("https://klasma.github.io/Logging_0881/fåglar/A 55299-2024 prioriterade fågelarter.docx", "A 55299-2024")</f>
        <v/>
      </c>
    </row>
    <row r="125" ht="15" customHeight="1">
      <c r="A125" t="inlineStr">
        <is>
          <t>A 55304-2024</t>
        </is>
      </c>
      <c r="B125" s="1" t="n">
        <v>45621</v>
      </c>
      <c r="C125" s="1" t="n">
        <v>45756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0.9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Tjäder</t>
        </is>
      </c>
      <c r="S125">
        <f>HYPERLINK("https://klasma.github.io/Logging_0881/artfynd/A 55304-2024 artfynd.xlsx", "A 55304-2024")</f>
        <v/>
      </c>
      <c r="T125">
        <f>HYPERLINK("https://klasma.github.io/Logging_0881/kartor/A 55304-2024 karta.png", "A 55304-2024")</f>
        <v/>
      </c>
      <c r="V125">
        <f>HYPERLINK("https://klasma.github.io/Logging_0881/klagomål/A 55304-2024 FSC-klagomål.docx", "A 55304-2024")</f>
        <v/>
      </c>
      <c r="W125">
        <f>HYPERLINK("https://klasma.github.io/Logging_0881/klagomålsmail/A 55304-2024 FSC-klagomål mail.docx", "A 55304-2024")</f>
        <v/>
      </c>
      <c r="X125">
        <f>HYPERLINK("https://klasma.github.io/Logging_0881/tillsyn/A 55304-2024 tillsynsbegäran.docx", "A 55304-2024")</f>
        <v/>
      </c>
      <c r="Y125">
        <f>HYPERLINK("https://klasma.github.io/Logging_0881/tillsynsmail/A 55304-2024 tillsynsbegäran mail.docx", "A 55304-2024")</f>
        <v/>
      </c>
      <c r="Z125">
        <f>HYPERLINK("https://klasma.github.io/Logging_0881/fåglar/A 55304-2024 prioriterade fågelarter.docx", "A 55304-2024")</f>
        <v/>
      </c>
    </row>
    <row r="126" ht="15" customHeight="1">
      <c r="A126" t="inlineStr">
        <is>
          <t>A 57852-2024</t>
        </is>
      </c>
      <c r="B126" s="1" t="n">
        <v>45631</v>
      </c>
      <c r="C126" s="1" t="n">
        <v>45756</v>
      </c>
      <c r="D126" t="inlineStr">
        <is>
          <t>KALMAR LÄN</t>
        </is>
      </c>
      <c r="E126" t="inlineStr">
        <is>
          <t>NYBRO</t>
        </is>
      </c>
      <c r="G126" t="n">
        <v>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Tallticka</t>
        </is>
      </c>
      <c r="S126">
        <f>HYPERLINK("https://klasma.github.io/Logging_0881/artfynd/A 57852-2024 artfynd.xlsx", "A 57852-2024")</f>
        <v/>
      </c>
      <c r="T126">
        <f>HYPERLINK("https://klasma.github.io/Logging_0881/kartor/A 57852-2024 karta.png", "A 57852-2024")</f>
        <v/>
      </c>
      <c r="V126">
        <f>HYPERLINK("https://klasma.github.io/Logging_0881/klagomål/A 57852-2024 FSC-klagomål.docx", "A 57852-2024")</f>
        <v/>
      </c>
      <c r="W126">
        <f>HYPERLINK("https://klasma.github.io/Logging_0881/klagomålsmail/A 57852-2024 FSC-klagomål mail.docx", "A 57852-2024")</f>
        <v/>
      </c>
      <c r="X126">
        <f>HYPERLINK("https://klasma.github.io/Logging_0881/tillsyn/A 57852-2024 tillsynsbegäran.docx", "A 57852-2024")</f>
        <v/>
      </c>
      <c r="Y126">
        <f>HYPERLINK("https://klasma.github.io/Logging_0881/tillsynsmail/A 57852-2024 tillsynsbegäran mail.docx", "A 57852-2024")</f>
        <v/>
      </c>
    </row>
    <row r="127" ht="15" customHeight="1">
      <c r="A127" t="inlineStr">
        <is>
          <t>A 3631-2025</t>
        </is>
      </c>
      <c r="B127" s="1" t="n">
        <v>45681</v>
      </c>
      <c r="C127" s="1" t="n">
        <v>45756</v>
      </c>
      <c r="D127" t="inlineStr">
        <is>
          <t>KALMAR LÄN</t>
        </is>
      </c>
      <c r="E127" t="inlineStr">
        <is>
          <t>NYBRO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Åkerrättika</t>
        </is>
      </c>
      <c r="S127">
        <f>HYPERLINK("https://klasma.github.io/Logging_0881/artfynd/A 3631-2025 artfynd.xlsx", "A 3631-2025")</f>
        <v/>
      </c>
      <c r="T127">
        <f>HYPERLINK("https://klasma.github.io/Logging_0881/kartor/A 3631-2025 karta.png", "A 3631-2025")</f>
        <v/>
      </c>
      <c r="V127">
        <f>HYPERLINK("https://klasma.github.io/Logging_0881/klagomål/A 3631-2025 FSC-klagomål.docx", "A 3631-2025")</f>
        <v/>
      </c>
      <c r="W127">
        <f>HYPERLINK("https://klasma.github.io/Logging_0881/klagomålsmail/A 3631-2025 FSC-klagomål mail.docx", "A 3631-2025")</f>
        <v/>
      </c>
      <c r="X127">
        <f>HYPERLINK("https://klasma.github.io/Logging_0881/tillsyn/A 3631-2025 tillsynsbegäran.docx", "A 3631-2025")</f>
        <v/>
      </c>
      <c r="Y127">
        <f>HYPERLINK("https://klasma.github.io/Logging_0881/tillsynsmail/A 3631-2025 tillsynsbegäran mail.docx", "A 3631-2025")</f>
        <v/>
      </c>
    </row>
    <row r="128" ht="15" customHeight="1">
      <c r="A128" t="inlineStr">
        <is>
          <t>A 6061-2025</t>
        </is>
      </c>
      <c r="B128" s="1" t="n">
        <v>45695</v>
      </c>
      <c r="C128" s="1" t="n">
        <v>45756</v>
      </c>
      <c r="D128" t="inlineStr">
        <is>
          <t>KALMAR LÄN</t>
        </is>
      </c>
      <c r="E128" t="inlineStr">
        <is>
          <t>NYBRO</t>
        </is>
      </c>
      <c r="G128" t="n">
        <v>1.9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Purpurknipprot</t>
        </is>
      </c>
      <c r="S128">
        <f>HYPERLINK("https://klasma.github.io/Logging_0881/artfynd/A 6061-2025 artfynd.xlsx", "A 6061-2025")</f>
        <v/>
      </c>
      <c r="T128">
        <f>HYPERLINK("https://klasma.github.io/Logging_0881/kartor/A 6061-2025 karta.png", "A 6061-2025")</f>
        <v/>
      </c>
      <c r="V128">
        <f>HYPERLINK("https://klasma.github.io/Logging_0881/klagomål/A 6061-2025 FSC-klagomål.docx", "A 6061-2025")</f>
        <v/>
      </c>
      <c r="W128">
        <f>HYPERLINK("https://klasma.github.io/Logging_0881/klagomålsmail/A 6061-2025 FSC-klagomål mail.docx", "A 6061-2025")</f>
        <v/>
      </c>
      <c r="X128">
        <f>HYPERLINK("https://klasma.github.io/Logging_0881/tillsyn/A 6061-2025 tillsynsbegäran.docx", "A 6061-2025")</f>
        <v/>
      </c>
      <c r="Y128">
        <f>HYPERLINK("https://klasma.github.io/Logging_0881/tillsynsmail/A 6061-2025 tillsynsbegäran mail.docx", "A 6061-2025")</f>
        <v/>
      </c>
    </row>
    <row r="129" ht="15" customHeight="1">
      <c r="A129" t="inlineStr">
        <is>
          <t>A 6931-2025</t>
        </is>
      </c>
      <c r="B129" s="1" t="n">
        <v>45701</v>
      </c>
      <c r="C129" s="1" t="n">
        <v>45756</v>
      </c>
      <c r="D129" t="inlineStr">
        <is>
          <t>KALMAR LÄN</t>
        </is>
      </c>
      <c r="E129" t="inlineStr">
        <is>
          <t>NYBRO</t>
        </is>
      </c>
      <c r="G129" t="n">
        <v>2.7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Grönpyrola</t>
        </is>
      </c>
      <c r="S129">
        <f>HYPERLINK("https://klasma.github.io/Logging_0881/artfynd/A 6931-2025 artfynd.xlsx", "A 6931-2025")</f>
        <v/>
      </c>
      <c r="T129">
        <f>HYPERLINK("https://klasma.github.io/Logging_0881/kartor/A 6931-2025 karta.png", "A 6931-2025")</f>
        <v/>
      </c>
      <c r="V129">
        <f>HYPERLINK("https://klasma.github.io/Logging_0881/klagomål/A 6931-2025 FSC-klagomål.docx", "A 6931-2025")</f>
        <v/>
      </c>
      <c r="W129">
        <f>HYPERLINK("https://klasma.github.io/Logging_0881/klagomålsmail/A 6931-2025 FSC-klagomål mail.docx", "A 6931-2025")</f>
        <v/>
      </c>
      <c r="X129">
        <f>HYPERLINK("https://klasma.github.io/Logging_0881/tillsyn/A 6931-2025 tillsynsbegäran.docx", "A 6931-2025")</f>
        <v/>
      </c>
      <c r="Y129">
        <f>HYPERLINK("https://klasma.github.io/Logging_0881/tillsynsmail/A 6931-2025 tillsynsbegäran mail.docx", "A 6931-2025")</f>
        <v/>
      </c>
    </row>
    <row r="130" ht="15" customHeight="1">
      <c r="A130" t="inlineStr">
        <is>
          <t>A 9136-2025</t>
        </is>
      </c>
      <c r="B130" s="1" t="n">
        <v>45714</v>
      </c>
      <c r="C130" s="1" t="n">
        <v>45756</v>
      </c>
      <c r="D130" t="inlineStr">
        <is>
          <t>KALMAR LÄN</t>
        </is>
      </c>
      <c r="E130" t="inlineStr">
        <is>
          <t>NYBRO</t>
        </is>
      </c>
      <c r="G130" t="n">
        <v>2.5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HYPERLINK("https://klasma.github.io/Logging_0881/artfynd/A 9136-2025 artfynd.xlsx", "A 9136-2025")</f>
        <v/>
      </c>
      <c r="T130">
        <f>HYPERLINK("https://klasma.github.io/Logging_0881/kartor/A 9136-2025 karta.png", "A 9136-2025")</f>
        <v/>
      </c>
      <c r="V130">
        <f>HYPERLINK("https://klasma.github.io/Logging_0881/klagomål/A 9136-2025 FSC-klagomål.docx", "A 9136-2025")</f>
        <v/>
      </c>
      <c r="W130">
        <f>HYPERLINK("https://klasma.github.io/Logging_0881/klagomålsmail/A 9136-2025 FSC-klagomål mail.docx", "A 9136-2025")</f>
        <v/>
      </c>
      <c r="X130">
        <f>HYPERLINK("https://klasma.github.io/Logging_0881/tillsyn/A 9136-2025 tillsynsbegäran.docx", "A 9136-2025")</f>
        <v/>
      </c>
      <c r="Y130">
        <f>HYPERLINK("https://klasma.github.io/Logging_0881/tillsynsmail/A 9136-2025 tillsynsbegäran mail.docx", "A 9136-2025")</f>
        <v/>
      </c>
    </row>
    <row r="131" ht="15" customHeight="1">
      <c r="A131" t="inlineStr">
        <is>
          <t>A 10641-2025</t>
        </is>
      </c>
      <c r="B131" s="1" t="n">
        <v>45721</v>
      </c>
      <c r="C131" s="1" t="n">
        <v>45756</v>
      </c>
      <c r="D131" t="inlineStr">
        <is>
          <t>KALMAR LÄN</t>
        </is>
      </c>
      <c r="E131" t="inlineStr">
        <is>
          <t>NYBRO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HYPERLINK("https://klasma.github.io/Logging_080881/artfynd/A 10641-2025 artfynd.xlsx", "A 10641-2025")</f>
        <v/>
      </c>
      <c r="T131">
        <f>HYPERLINK("https://klasma.github.io/Logging_080881/kartor/A 10641-2025 karta.png", "A 10641-2025")</f>
        <v/>
      </c>
      <c r="V131">
        <f>HYPERLINK("https://klasma.github.io/Logging_080881/klagomål/A 10641-2025 FSC-klagomål.docx", "A 10641-2025")</f>
        <v/>
      </c>
      <c r="W131">
        <f>HYPERLINK("https://klasma.github.io/Logging_080881/klagomålsmail/A 10641-2025 FSC-klagomål mail.docx", "A 10641-2025")</f>
        <v/>
      </c>
      <c r="X131">
        <f>HYPERLINK("https://klasma.github.io/Logging_080881/tillsyn/A 10641-2025 tillsynsbegäran.docx", "A 10641-2025")</f>
        <v/>
      </c>
      <c r="Y131">
        <f>HYPERLINK("https://klasma.github.io/Logging_080881/tillsynsmail/A 10641-2025 tillsynsbegäran mail.docx", "A 10641-2025")</f>
        <v/>
      </c>
    </row>
    <row r="132" ht="15" customHeight="1">
      <c r="A132" t="inlineStr">
        <is>
          <t>A 15435-2025</t>
        </is>
      </c>
      <c r="B132" s="1" t="n">
        <v>45747</v>
      </c>
      <c r="C132" s="1" t="n">
        <v>45756</v>
      </c>
      <c r="D132" t="inlineStr">
        <is>
          <t>KALMAR LÄN</t>
        </is>
      </c>
      <c r="E132" t="inlineStr">
        <is>
          <t>NYBRO</t>
        </is>
      </c>
      <c r="G132" t="n">
        <v>1.6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Strandlummer</t>
        </is>
      </c>
      <c r="S132">
        <f>HYPERLINK("https://klasma.github.io/Logging_080881/artfynd/A 15435-2025 artfynd.xlsx", "A 15435-2025")</f>
        <v/>
      </c>
      <c r="T132">
        <f>HYPERLINK("https://klasma.github.io/Logging_080881/kartor/A 15435-2025 karta.png", "A 15435-2025")</f>
        <v/>
      </c>
      <c r="V132">
        <f>HYPERLINK("https://klasma.github.io/Logging_080881/klagomål/A 15435-2025 FSC-klagomål.docx", "A 15435-2025")</f>
        <v/>
      </c>
      <c r="W132">
        <f>HYPERLINK("https://klasma.github.io/Logging_080881/klagomålsmail/A 15435-2025 FSC-klagomål mail.docx", "A 15435-2025")</f>
        <v/>
      </c>
      <c r="X132">
        <f>HYPERLINK("https://klasma.github.io/Logging_080881/tillsyn/A 15435-2025 tillsynsbegäran.docx", "A 15435-2025")</f>
        <v/>
      </c>
      <c r="Y132">
        <f>HYPERLINK("https://klasma.github.io/Logging_080881/tillsynsmail/A 15435-2025 tillsynsbegäran mail.docx", "A 15435-2025")</f>
        <v/>
      </c>
    </row>
    <row r="133" ht="15" customHeight="1">
      <c r="A133" t="inlineStr">
        <is>
          <t>A 16715-2025</t>
        </is>
      </c>
      <c r="B133" s="1" t="n">
        <v>45754</v>
      </c>
      <c r="C133" s="1" t="n">
        <v>45756</v>
      </c>
      <c r="D133" t="inlineStr">
        <is>
          <t>KALMAR LÄN</t>
        </is>
      </c>
      <c r="E133" t="inlineStr">
        <is>
          <t>NYBRO</t>
        </is>
      </c>
      <c r="F133" t="inlineStr">
        <is>
          <t>Sveaskog</t>
        </is>
      </c>
      <c r="G133" t="n">
        <v>1.5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Större brunfladdermus</t>
        </is>
      </c>
      <c r="S133">
        <f>HYPERLINK("https://klasma.github.io/Logging_080881/artfynd/A 16715-2025 artfynd.xlsx", "A 16715-2025")</f>
        <v/>
      </c>
      <c r="T133">
        <f>HYPERLINK("https://klasma.github.io/Logging_080881/kartor/A 16715-2025 karta.png", "A 16715-2025")</f>
        <v/>
      </c>
      <c r="V133">
        <f>HYPERLINK("https://klasma.github.io/Logging_080881/klagomål/A 16715-2025 FSC-klagomål.docx", "A 16715-2025")</f>
        <v/>
      </c>
      <c r="W133">
        <f>HYPERLINK("https://klasma.github.io/Logging_080881/klagomålsmail/A 16715-2025 FSC-klagomål mail.docx", "A 16715-2025")</f>
        <v/>
      </c>
      <c r="X133">
        <f>HYPERLINK("https://klasma.github.io/Logging_080881/tillsyn/A 16715-2025 tillsynsbegäran.docx", "A 16715-2025")</f>
        <v/>
      </c>
      <c r="Y133">
        <f>HYPERLINK("https://klasma.github.io/Logging_080881/tillsynsmail/A 16715-2025 tillsynsbegäran mail.docx", "A 16715-2025")</f>
        <v/>
      </c>
    </row>
    <row r="134" ht="15" customHeight="1">
      <c r="A134" t="inlineStr">
        <is>
          <t>A 18184-2019</t>
        </is>
      </c>
      <c r="B134" s="1" t="n">
        <v>43558</v>
      </c>
      <c r="C134" s="1" t="n">
        <v>45756</v>
      </c>
      <c r="D134" t="inlineStr">
        <is>
          <t>KALMAR LÄN</t>
        </is>
      </c>
      <c r="E134" t="inlineStr">
        <is>
          <t>NYBRO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18455-2019</t>
        </is>
      </c>
      <c r="B135" s="1" t="n">
        <v>43559</v>
      </c>
      <c r="C135" s="1" t="n">
        <v>45756</v>
      </c>
      <c r="D135" t="inlineStr">
        <is>
          <t>KALMAR LÄN</t>
        </is>
      </c>
      <c r="E135" t="inlineStr">
        <is>
          <t>NYBRO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18730-2019</t>
        </is>
      </c>
      <c r="B136" s="1" t="n">
        <v>43560</v>
      </c>
      <c r="C136" s="1" t="n">
        <v>45756</v>
      </c>
      <c r="D136" t="inlineStr">
        <is>
          <t>KALMAR LÄN</t>
        </is>
      </c>
      <c r="E136" t="inlineStr">
        <is>
          <t>NYBRO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18727-2019</t>
        </is>
      </c>
      <c r="B137" s="1" t="n">
        <v>43560</v>
      </c>
      <c r="C137" s="1" t="n">
        <v>45756</v>
      </c>
      <c r="D137" t="inlineStr">
        <is>
          <t>KALMAR LÄN</t>
        </is>
      </c>
      <c r="E137" t="inlineStr">
        <is>
          <t>NYBRO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18603-2019</t>
        </is>
      </c>
      <c r="B138" s="1" t="n">
        <v>43560</v>
      </c>
      <c r="C138" s="1" t="n">
        <v>45756</v>
      </c>
      <c r="D138" t="inlineStr">
        <is>
          <t>KALMAR LÄN</t>
        </is>
      </c>
      <c r="E138" t="inlineStr">
        <is>
          <t>NYBRO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19201-2019</t>
        </is>
      </c>
      <c r="B139" s="1" t="n">
        <v>43564</v>
      </c>
      <c r="C139" s="1" t="n">
        <v>45756</v>
      </c>
      <c r="D139" t="inlineStr">
        <is>
          <t>KALMAR LÄN</t>
        </is>
      </c>
      <c r="E139" t="inlineStr">
        <is>
          <t>NYBRO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19080-2019</t>
        </is>
      </c>
      <c r="B140" s="1" t="n">
        <v>43564</v>
      </c>
      <c r="C140" s="1" t="n">
        <v>45756</v>
      </c>
      <c r="D140" t="inlineStr">
        <is>
          <t>KALMAR LÄN</t>
        </is>
      </c>
      <c r="E140" t="inlineStr">
        <is>
          <t>NYBRO</t>
        </is>
      </c>
      <c r="G140" t="n">
        <v>19.2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19209-2019</t>
        </is>
      </c>
      <c r="B141" s="1" t="n">
        <v>43564</v>
      </c>
      <c r="C141" s="1" t="n">
        <v>45756</v>
      </c>
      <c r="D141" t="inlineStr">
        <is>
          <t>KALMAR LÄN</t>
        </is>
      </c>
      <c r="E141" t="inlineStr">
        <is>
          <t>NYBRO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19242-2019</t>
        </is>
      </c>
      <c r="B142" s="1" t="n">
        <v>43564</v>
      </c>
      <c r="C142" s="1" t="n">
        <v>45756</v>
      </c>
      <c r="D142" t="inlineStr">
        <is>
          <t>KALMAR LÄN</t>
        </is>
      </c>
      <c r="E142" t="inlineStr">
        <is>
          <t>NYBRO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19205-2019</t>
        </is>
      </c>
      <c r="B143" s="1" t="n">
        <v>43564</v>
      </c>
      <c r="C143" s="1" t="n">
        <v>45756</v>
      </c>
      <c r="D143" t="inlineStr">
        <is>
          <t>KALMAR LÄN</t>
        </is>
      </c>
      <c r="E143" t="inlineStr">
        <is>
          <t>NYBRO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19744-2019</t>
        </is>
      </c>
      <c r="B144" s="1" t="n">
        <v>43567</v>
      </c>
      <c r="C144" s="1" t="n">
        <v>45756</v>
      </c>
      <c r="D144" t="inlineStr">
        <is>
          <t>KALMAR LÄN</t>
        </is>
      </c>
      <c r="E144" t="inlineStr">
        <is>
          <t>NYBRO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19838-2019</t>
        </is>
      </c>
      <c r="B145" s="1" t="n">
        <v>43567</v>
      </c>
      <c r="C145" s="1" t="n">
        <v>45756</v>
      </c>
      <c r="D145" t="inlineStr">
        <is>
          <t>KALMAR LÄN</t>
        </is>
      </c>
      <c r="E145" t="inlineStr">
        <is>
          <t>NYBRO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19742-2019</t>
        </is>
      </c>
      <c r="B146" s="1" t="n">
        <v>43567</v>
      </c>
      <c r="C146" s="1" t="n">
        <v>45756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19743-2019</t>
        </is>
      </c>
      <c r="B147" s="1" t="n">
        <v>43567</v>
      </c>
      <c r="C147" s="1" t="n">
        <v>45756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20287-2019</t>
        </is>
      </c>
      <c r="B148" s="1" t="n">
        <v>43567</v>
      </c>
      <c r="C148" s="1" t="n">
        <v>45756</v>
      </c>
      <c r="D148" t="inlineStr">
        <is>
          <t>KALMAR LÄN</t>
        </is>
      </c>
      <c r="E148" t="inlineStr">
        <is>
          <t>NYBRO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19837-2019</t>
        </is>
      </c>
      <c r="B149" s="1" t="n">
        <v>43567</v>
      </c>
      <c r="C149" s="1" t="n">
        <v>45756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19764-2019</t>
        </is>
      </c>
      <c r="B150" s="1" t="n">
        <v>43567</v>
      </c>
      <c r="C150" s="1" t="n">
        <v>45756</v>
      </c>
      <c r="D150" t="inlineStr">
        <is>
          <t>KALMAR LÄN</t>
        </is>
      </c>
      <c r="E150" t="inlineStr">
        <is>
          <t>NYBRO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20060-2019</t>
        </is>
      </c>
      <c r="B151" s="1" t="n">
        <v>43570</v>
      </c>
      <c r="C151" s="1" t="n">
        <v>45756</v>
      </c>
      <c r="D151" t="inlineStr">
        <is>
          <t>KALMAR LÄN</t>
        </is>
      </c>
      <c r="E151" t="inlineStr">
        <is>
          <t>NYBRO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20415-2019</t>
        </is>
      </c>
      <c r="B152" s="1" t="n">
        <v>43571</v>
      </c>
      <c r="C152" s="1" t="n">
        <v>45756</v>
      </c>
      <c r="D152" t="inlineStr">
        <is>
          <t>KALMAR LÄN</t>
        </is>
      </c>
      <c r="E152" t="inlineStr">
        <is>
          <t>NYBRO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20459-2019</t>
        </is>
      </c>
      <c r="B153" s="1" t="n">
        <v>43571</v>
      </c>
      <c r="C153" s="1" t="n">
        <v>45756</v>
      </c>
      <c r="D153" t="inlineStr">
        <is>
          <t>KALMAR LÄN</t>
        </is>
      </c>
      <c r="E153" t="inlineStr">
        <is>
          <t>NYBRO</t>
        </is>
      </c>
      <c r="G153" t="n">
        <v>45.1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20737-2019</t>
        </is>
      </c>
      <c r="B154" s="1" t="n">
        <v>43573</v>
      </c>
      <c r="C154" s="1" t="n">
        <v>45756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21223-2019</t>
        </is>
      </c>
      <c r="B155" s="1" t="n">
        <v>43579</v>
      </c>
      <c r="C155" s="1" t="n">
        <v>45756</v>
      </c>
      <c r="D155" t="inlineStr">
        <is>
          <t>KALMAR LÄN</t>
        </is>
      </c>
      <c r="E155" t="inlineStr">
        <is>
          <t>NYBRO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21294-2019</t>
        </is>
      </c>
      <c r="B156" s="1" t="n">
        <v>43579</v>
      </c>
      <c r="C156" s="1" t="n">
        <v>45756</v>
      </c>
      <c r="D156" t="inlineStr">
        <is>
          <t>KALMAR LÄN</t>
        </is>
      </c>
      <c r="E156" t="inlineStr">
        <is>
          <t>NYBRO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21358-2019</t>
        </is>
      </c>
      <c r="B157" s="1" t="n">
        <v>43579</v>
      </c>
      <c r="C157" s="1" t="n">
        <v>45756</v>
      </c>
      <c r="D157" t="inlineStr">
        <is>
          <t>KALMAR LÄN</t>
        </is>
      </c>
      <c r="E157" t="inlineStr">
        <is>
          <t>NYBRO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21311-2019</t>
        </is>
      </c>
      <c r="B158" s="1" t="n">
        <v>43579</v>
      </c>
      <c r="C158" s="1" t="n">
        <v>45756</v>
      </c>
      <c r="D158" t="inlineStr">
        <is>
          <t>KALMAR LÄN</t>
        </is>
      </c>
      <c r="E158" t="inlineStr">
        <is>
          <t>NYBRO</t>
        </is>
      </c>
      <c r="G158" t="n">
        <v>14.3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21220-2019</t>
        </is>
      </c>
      <c r="B159" s="1" t="n">
        <v>43579</v>
      </c>
      <c r="C159" s="1" t="n">
        <v>45756</v>
      </c>
      <c r="D159" t="inlineStr">
        <is>
          <t>KALMAR LÄN</t>
        </is>
      </c>
      <c r="E159" t="inlineStr">
        <is>
          <t>NYBRO</t>
        </is>
      </c>
      <c r="G159" t="n">
        <v>21.6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21216-2019</t>
        </is>
      </c>
      <c r="B160" s="1" t="n">
        <v>43579</v>
      </c>
      <c r="C160" s="1" t="n">
        <v>45756</v>
      </c>
      <c r="D160" t="inlineStr">
        <is>
          <t>KALMAR LÄN</t>
        </is>
      </c>
      <c r="E160" t="inlineStr">
        <is>
          <t>NYBRO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21821-2019</t>
        </is>
      </c>
      <c r="B161" s="1" t="n">
        <v>43583</v>
      </c>
      <c r="C161" s="1" t="n">
        <v>45756</v>
      </c>
      <c r="D161" t="inlineStr">
        <is>
          <t>KALMAR LÄN</t>
        </is>
      </c>
      <c r="E161" t="inlineStr">
        <is>
          <t>NYBRO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21822-2019</t>
        </is>
      </c>
      <c r="B162" s="1" t="n">
        <v>43583</v>
      </c>
      <c r="C162" s="1" t="n">
        <v>45756</v>
      </c>
      <c r="D162" t="inlineStr">
        <is>
          <t>KALMAR LÄN</t>
        </is>
      </c>
      <c r="E162" t="inlineStr">
        <is>
          <t>NYBRO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22362-2019</t>
        </is>
      </c>
      <c r="B163" s="1" t="n">
        <v>43587</v>
      </c>
      <c r="C163" s="1" t="n">
        <v>45756</v>
      </c>
      <c r="D163" t="inlineStr">
        <is>
          <t>KALMAR LÄN</t>
        </is>
      </c>
      <c r="E163" t="inlineStr">
        <is>
          <t>NYBRO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22492-2019</t>
        </is>
      </c>
      <c r="B164" s="1" t="n">
        <v>43587</v>
      </c>
      <c r="C164" s="1" t="n">
        <v>45756</v>
      </c>
      <c r="D164" t="inlineStr">
        <is>
          <t>KALMAR LÄN</t>
        </is>
      </c>
      <c r="E164" t="inlineStr">
        <is>
          <t>NYBRO</t>
        </is>
      </c>
      <c r="G164" t="n">
        <v>10.2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22485-2019</t>
        </is>
      </c>
      <c r="B165" s="1" t="n">
        <v>43587</v>
      </c>
      <c r="C165" s="1" t="n">
        <v>45756</v>
      </c>
      <c r="D165" t="inlineStr">
        <is>
          <t>KALMAR LÄN</t>
        </is>
      </c>
      <c r="E165" t="inlineStr">
        <is>
          <t>NYBRO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22436-2019</t>
        </is>
      </c>
      <c r="B166" s="1" t="n">
        <v>43587</v>
      </c>
      <c r="C166" s="1" t="n">
        <v>45756</v>
      </c>
      <c r="D166" t="inlineStr">
        <is>
          <t>KALMAR LÄN</t>
        </is>
      </c>
      <c r="E166" t="inlineStr">
        <is>
          <t>NYBRO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22505-2019</t>
        </is>
      </c>
      <c r="B167" s="1" t="n">
        <v>43587</v>
      </c>
      <c r="C167" s="1" t="n">
        <v>45756</v>
      </c>
      <c r="D167" t="inlineStr">
        <is>
          <t>KALMAR LÄN</t>
        </is>
      </c>
      <c r="E167" t="inlineStr">
        <is>
          <t>NYBRO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22614-2019</t>
        </is>
      </c>
      <c r="B168" s="1" t="n">
        <v>43587</v>
      </c>
      <c r="C168" s="1" t="n">
        <v>45756</v>
      </c>
      <c r="D168" t="inlineStr">
        <is>
          <t>KALMAR LÄN</t>
        </is>
      </c>
      <c r="E168" t="inlineStr">
        <is>
          <t>NYBRO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22552-2019</t>
        </is>
      </c>
      <c r="B169" s="1" t="n">
        <v>43587</v>
      </c>
      <c r="C169" s="1" t="n">
        <v>45756</v>
      </c>
      <c r="D169" t="inlineStr">
        <is>
          <t>KALMAR LÄN</t>
        </is>
      </c>
      <c r="E169" t="inlineStr">
        <is>
          <t>NYBRO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22610-2019</t>
        </is>
      </c>
      <c r="B170" s="1" t="n">
        <v>43587</v>
      </c>
      <c r="C170" s="1" t="n">
        <v>45756</v>
      </c>
      <c r="D170" t="inlineStr">
        <is>
          <t>KALMAR LÄN</t>
        </is>
      </c>
      <c r="E170" t="inlineStr">
        <is>
          <t>NYBRO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22548-2019</t>
        </is>
      </c>
      <c r="B171" s="1" t="n">
        <v>43587</v>
      </c>
      <c r="C171" s="1" t="n">
        <v>45756</v>
      </c>
      <c r="D171" t="inlineStr">
        <is>
          <t>KALMAR LÄN</t>
        </is>
      </c>
      <c r="E171" t="inlineStr">
        <is>
          <t>NYBRO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22618-2019</t>
        </is>
      </c>
      <c r="B172" s="1" t="n">
        <v>43587</v>
      </c>
      <c r="C172" s="1" t="n">
        <v>45756</v>
      </c>
      <c r="D172" t="inlineStr">
        <is>
          <t>KALMAR LÄN</t>
        </is>
      </c>
      <c r="E172" t="inlineStr">
        <is>
          <t>NYBRO</t>
        </is>
      </c>
      <c r="G172" t="n">
        <v>39.8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22509-2019</t>
        </is>
      </c>
      <c r="B173" s="1" t="n">
        <v>43587</v>
      </c>
      <c r="C173" s="1" t="n">
        <v>45756</v>
      </c>
      <c r="D173" t="inlineStr">
        <is>
          <t>KALMAR LÄN</t>
        </is>
      </c>
      <c r="E173" t="inlineStr">
        <is>
          <t>NYBRO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22437-2019</t>
        </is>
      </c>
      <c r="B174" s="1" t="n">
        <v>43587</v>
      </c>
      <c r="C174" s="1" t="n">
        <v>45756</v>
      </c>
      <c r="D174" t="inlineStr">
        <is>
          <t>KALMAR LÄN</t>
        </is>
      </c>
      <c r="E174" t="inlineStr">
        <is>
          <t>NYBRO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22378-2019</t>
        </is>
      </c>
      <c r="B175" s="1" t="n">
        <v>43587</v>
      </c>
      <c r="C175" s="1" t="n">
        <v>45756</v>
      </c>
      <c r="D175" t="inlineStr">
        <is>
          <t>KALMAR LÄN</t>
        </is>
      </c>
      <c r="E175" t="inlineStr">
        <is>
          <t>NYBRO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22361-2019</t>
        </is>
      </c>
      <c r="B176" s="1" t="n">
        <v>43587</v>
      </c>
      <c r="C176" s="1" t="n">
        <v>45756</v>
      </c>
      <c r="D176" t="inlineStr">
        <is>
          <t>KALMAR LÄN</t>
        </is>
      </c>
      <c r="E176" t="inlineStr">
        <is>
          <t>NYBRO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22355-2019</t>
        </is>
      </c>
      <c r="B177" s="1" t="n">
        <v>43587</v>
      </c>
      <c r="C177" s="1" t="n">
        <v>45756</v>
      </c>
      <c r="D177" t="inlineStr">
        <is>
          <t>KALMAR LÄN</t>
        </is>
      </c>
      <c r="E177" t="inlineStr">
        <is>
          <t>NYBRO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22545-2019</t>
        </is>
      </c>
      <c r="B178" s="1" t="n">
        <v>43587</v>
      </c>
      <c r="C178" s="1" t="n">
        <v>45756</v>
      </c>
      <c r="D178" t="inlineStr">
        <is>
          <t>KALMAR LÄN</t>
        </is>
      </c>
      <c r="E178" t="inlineStr">
        <is>
          <t>NYBRO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22867-2019</t>
        </is>
      </c>
      <c r="B179" s="1" t="n">
        <v>43591</v>
      </c>
      <c r="C179" s="1" t="n">
        <v>45756</v>
      </c>
      <c r="D179" t="inlineStr">
        <is>
          <t>KALMAR LÄN</t>
        </is>
      </c>
      <c r="E179" t="inlineStr">
        <is>
          <t>NYBRO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22906-2019</t>
        </is>
      </c>
      <c r="B180" s="1" t="n">
        <v>43591</v>
      </c>
      <c r="C180" s="1" t="n">
        <v>45756</v>
      </c>
      <c r="D180" t="inlineStr">
        <is>
          <t>KALMAR LÄN</t>
        </is>
      </c>
      <c r="E180" t="inlineStr">
        <is>
          <t>NYBRO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22932-2019</t>
        </is>
      </c>
      <c r="B181" s="1" t="n">
        <v>43591</v>
      </c>
      <c r="C181" s="1" t="n">
        <v>45756</v>
      </c>
      <c r="D181" t="inlineStr">
        <is>
          <t>KALMAR LÄN</t>
        </is>
      </c>
      <c r="E181" t="inlineStr">
        <is>
          <t>NYBRO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23000-2019</t>
        </is>
      </c>
      <c r="B182" s="1" t="n">
        <v>43591</v>
      </c>
      <c r="C182" s="1" t="n">
        <v>45756</v>
      </c>
      <c r="D182" t="inlineStr">
        <is>
          <t>KALMAR LÄN</t>
        </is>
      </c>
      <c r="E182" t="inlineStr">
        <is>
          <t>NYBRO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22994-2019</t>
        </is>
      </c>
      <c r="B183" s="1" t="n">
        <v>43591</v>
      </c>
      <c r="C183" s="1" t="n">
        <v>45756</v>
      </c>
      <c r="D183" t="inlineStr">
        <is>
          <t>KALMAR LÄN</t>
        </is>
      </c>
      <c r="E183" t="inlineStr">
        <is>
          <t>NYBRO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22998-2019</t>
        </is>
      </c>
      <c r="B184" s="1" t="n">
        <v>43591</v>
      </c>
      <c r="C184" s="1" t="n">
        <v>45756</v>
      </c>
      <c r="D184" t="inlineStr">
        <is>
          <t>KALMAR LÄN</t>
        </is>
      </c>
      <c r="E184" t="inlineStr">
        <is>
          <t>NYBRO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23635-2019</t>
        </is>
      </c>
      <c r="B185" s="1" t="n">
        <v>43594</v>
      </c>
      <c r="C185" s="1" t="n">
        <v>45756</v>
      </c>
      <c r="D185" t="inlineStr">
        <is>
          <t>KALMAR LÄN</t>
        </is>
      </c>
      <c r="E185" t="inlineStr">
        <is>
          <t>NYBRO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23633-2019</t>
        </is>
      </c>
      <c r="B186" s="1" t="n">
        <v>43594</v>
      </c>
      <c r="C186" s="1" t="n">
        <v>45756</v>
      </c>
      <c r="D186" t="inlineStr">
        <is>
          <t>KALMAR LÄN</t>
        </is>
      </c>
      <c r="E186" t="inlineStr">
        <is>
          <t>NYBRO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24407-2019</t>
        </is>
      </c>
      <c r="B187" s="1" t="n">
        <v>43598</v>
      </c>
      <c r="C187" s="1" t="n">
        <v>45756</v>
      </c>
      <c r="D187" t="inlineStr">
        <is>
          <t>KALMAR LÄN</t>
        </is>
      </c>
      <c r="E187" t="inlineStr">
        <is>
          <t>NYBRO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24514-2019</t>
        </is>
      </c>
      <c r="B188" s="1" t="n">
        <v>43600</v>
      </c>
      <c r="C188" s="1" t="n">
        <v>45756</v>
      </c>
      <c r="D188" t="inlineStr">
        <is>
          <t>KALMAR LÄN</t>
        </is>
      </c>
      <c r="E188" t="inlineStr">
        <is>
          <t>NYBRO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24520-2019</t>
        </is>
      </c>
      <c r="B189" s="1" t="n">
        <v>43600</v>
      </c>
      <c r="C189" s="1" t="n">
        <v>45756</v>
      </c>
      <c r="D189" t="inlineStr">
        <is>
          <t>KALMAR LÄN</t>
        </is>
      </c>
      <c r="E189" t="inlineStr">
        <is>
          <t>NYBRO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24656-2019</t>
        </is>
      </c>
      <c r="B190" s="1" t="n">
        <v>43601</v>
      </c>
      <c r="C190" s="1" t="n">
        <v>45756</v>
      </c>
      <c r="D190" t="inlineStr">
        <is>
          <t>KALMAR LÄN</t>
        </is>
      </c>
      <c r="E190" t="inlineStr">
        <is>
          <t>NYBRO</t>
        </is>
      </c>
      <c r="G190" t="n">
        <v>14.2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24605-2019</t>
        </is>
      </c>
      <c r="B191" s="1" t="n">
        <v>43601</v>
      </c>
      <c r="C191" s="1" t="n">
        <v>45756</v>
      </c>
      <c r="D191" t="inlineStr">
        <is>
          <t>KALMAR LÄN</t>
        </is>
      </c>
      <c r="E191" t="inlineStr">
        <is>
          <t>NYBRO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24659-2019</t>
        </is>
      </c>
      <c r="B192" s="1" t="n">
        <v>43601</v>
      </c>
      <c r="C192" s="1" t="n">
        <v>45756</v>
      </c>
      <c r="D192" t="inlineStr">
        <is>
          <t>KALMAR LÄN</t>
        </is>
      </c>
      <c r="E192" t="inlineStr">
        <is>
          <t>NYBRO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25289-2019</t>
        </is>
      </c>
      <c r="B193" s="1" t="n">
        <v>43605</v>
      </c>
      <c r="C193" s="1" t="n">
        <v>45756</v>
      </c>
      <c r="D193" t="inlineStr">
        <is>
          <t>KALMAR LÄN</t>
        </is>
      </c>
      <c r="E193" t="inlineStr">
        <is>
          <t>NYBRO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25673-2019</t>
        </is>
      </c>
      <c r="B194" s="1" t="n">
        <v>43607</v>
      </c>
      <c r="C194" s="1" t="n">
        <v>45756</v>
      </c>
      <c r="D194" t="inlineStr">
        <is>
          <t>KALMAR LÄN</t>
        </is>
      </c>
      <c r="E194" t="inlineStr">
        <is>
          <t>NYBRO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25689-2019</t>
        </is>
      </c>
      <c r="B195" s="1" t="n">
        <v>43607</v>
      </c>
      <c r="C195" s="1" t="n">
        <v>45756</v>
      </c>
      <c r="D195" t="inlineStr">
        <is>
          <t>KALMAR LÄN</t>
        </is>
      </c>
      <c r="E195" t="inlineStr">
        <is>
          <t>NYBRO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25701-2019</t>
        </is>
      </c>
      <c r="B196" s="1" t="n">
        <v>43607</v>
      </c>
      <c r="C196" s="1" t="n">
        <v>45756</v>
      </c>
      <c r="D196" t="inlineStr">
        <is>
          <t>KALMAR LÄN</t>
        </is>
      </c>
      <c r="E196" t="inlineStr">
        <is>
          <t>NYBRO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25753-2019</t>
        </is>
      </c>
      <c r="B197" s="1" t="n">
        <v>43608</v>
      </c>
      <c r="C197" s="1" t="n">
        <v>45756</v>
      </c>
      <c r="D197" t="inlineStr">
        <is>
          <t>KALMAR LÄN</t>
        </is>
      </c>
      <c r="E197" t="inlineStr">
        <is>
          <t>NYBRO</t>
        </is>
      </c>
      <c r="F197" t="inlineStr">
        <is>
          <t>Sveaskog</t>
        </is>
      </c>
      <c r="G197" t="n">
        <v>13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26409-2019</t>
        </is>
      </c>
      <c r="B198" s="1" t="n">
        <v>43612</v>
      </c>
      <c r="C198" s="1" t="n">
        <v>45756</v>
      </c>
      <c r="D198" t="inlineStr">
        <is>
          <t>KALMAR LÄN</t>
        </is>
      </c>
      <c r="E198" t="inlineStr">
        <is>
          <t>NYBRO</t>
        </is>
      </c>
      <c r="G198" t="n">
        <v>18.1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26359-2019</t>
        </is>
      </c>
      <c r="B199" s="1" t="n">
        <v>43612</v>
      </c>
      <c r="C199" s="1" t="n">
        <v>45756</v>
      </c>
      <c r="D199" t="inlineStr">
        <is>
          <t>KALMAR LÄN</t>
        </is>
      </c>
      <c r="E199" t="inlineStr">
        <is>
          <t>NYBRO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26793-2019</t>
        </is>
      </c>
      <c r="B200" s="1" t="n">
        <v>43613</v>
      </c>
      <c r="C200" s="1" t="n">
        <v>45756</v>
      </c>
      <c r="D200" t="inlineStr">
        <is>
          <t>KALMAR LÄN</t>
        </is>
      </c>
      <c r="E200" t="inlineStr">
        <is>
          <t>NYBRO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27630-2019</t>
        </is>
      </c>
      <c r="B201" s="1" t="n">
        <v>43619</v>
      </c>
      <c r="C201" s="1" t="n">
        <v>45756</v>
      </c>
      <c r="D201" t="inlineStr">
        <is>
          <t>KALMAR LÄN</t>
        </is>
      </c>
      <c r="E201" t="inlineStr">
        <is>
          <t>NYBRO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27741-2019</t>
        </is>
      </c>
      <c r="B202" s="1" t="n">
        <v>43619</v>
      </c>
      <c r="C202" s="1" t="n">
        <v>45756</v>
      </c>
      <c r="D202" t="inlineStr">
        <is>
          <t>KALMAR LÄN</t>
        </is>
      </c>
      <c r="E202" t="inlineStr">
        <is>
          <t>NYBRO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27910-2019</t>
        </is>
      </c>
      <c r="B203" s="1" t="n">
        <v>43620</v>
      </c>
      <c r="C203" s="1" t="n">
        <v>45756</v>
      </c>
      <c r="D203" t="inlineStr">
        <is>
          <t>KALMAR LÄN</t>
        </is>
      </c>
      <c r="E203" t="inlineStr">
        <is>
          <t>NYBRO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29026-2019</t>
        </is>
      </c>
      <c r="B204" s="1" t="n">
        <v>43620</v>
      </c>
      <c r="C204" s="1" t="n">
        <v>45756</v>
      </c>
      <c r="D204" t="inlineStr">
        <is>
          <t>KALMAR LÄN</t>
        </is>
      </c>
      <c r="E204" t="inlineStr">
        <is>
          <t>NYBRO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28070-2019</t>
        </is>
      </c>
      <c r="B205" s="1" t="n">
        <v>43621</v>
      </c>
      <c r="C205" s="1" t="n">
        <v>45756</v>
      </c>
      <c r="D205" t="inlineStr">
        <is>
          <t>KALMAR LÄN</t>
        </is>
      </c>
      <c r="E205" t="inlineStr">
        <is>
          <t>NYBRO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27989-2019</t>
        </is>
      </c>
      <c r="B206" s="1" t="n">
        <v>43621</v>
      </c>
      <c r="C206" s="1" t="n">
        <v>45756</v>
      </c>
      <c r="D206" t="inlineStr">
        <is>
          <t>KALMAR LÄN</t>
        </is>
      </c>
      <c r="E206" t="inlineStr">
        <is>
          <t>NYBRO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28438-2019</t>
        </is>
      </c>
      <c r="B207" s="1" t="n">
        <v>43626</v>
      </c>
      <c r="C207" s="1" t="n">
        <v>45756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29056-2019</t>
        </is>
      </c>
      <c r="B208" s="1" t="n">
        <v>43628</v>
      </c>
      <c r="C208" s="1" t="n">
        <v>45756</v>
      </c>
      <c r="D208" t="inlineStr">
        <is>
          <t>KALMAR LÄN</t>
        </is>
      </c>
      <c r="E208" t="inlineStr">
        <is>
          <t>NYBRO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30195-2019</t>
        </is>
      </c>
      <c r="B209" s="1" t="n">
        <v>43634</v>
      </c>
      <c r="C209" s="1" t="n">
        <v>45756</v>
      </c>
      <c r="D209" t="inlineStr">
        <is>
          <t>KALMAR LÄN</t>
        </is>
      </c>
      <c r="E209" t="inlineStr">
        <is>
          <t>NYBRO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30466-2019</t>
        </is>
      </c>
      <c r="B210" s="1" t="n">
        <v>43635</v>
      </c>
      <c r="C210" s="1" t="n">
        <v>45756</v>
      </c>
      <c r="D210" t="inlineStr">
        <is>
          <t>KALMAR LÄN</t>
        </is>
      </c>
      <c r="E210" t="inlineStr">
        <is>
          <t>NYBRO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31104-2019</t>
        </is>
      </c>
      <c r="B211" s="1" t="n">
        <v>43640</v>
      </c>
      <c r="C211" s="1" t="n">
        <v>45756</v>
      </c>
      <c r="D211" t="inlineStr">
        <is>
          <t>KALMAR LÄN</t>
        </is>
      </c>
      <c r="E211" t="inlineStr">
        <is>
          <t>NYBRO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31118-2019</t>
        </is>
      </c>
      <c r="B212" s="1" t="n">
        <v>43640</v>
      </c>
      <c r="C212" s="1" t="n">
        <v>45756</v>
      </c>
      <c r="D212" t="inlineStr">
        <is>
          <t>KALMAR LÄN</t>
        </is>
      </c>
      <c r="E212" t="inlineStr">
        <is>
          <t>NYBRO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31401-2019</t>
        </is>
      </c>
      <c r="B213" s="1" t="n">
        <v>43641</v>
      </c>
      <c r="C213" s="1" t="n">
        <v>45756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31802-2019</t>
        </is>
      </c>
      <c r="B214" s="1" t="n">
        <v>43641</v>
      </c>
      <c r="C214" s="1" t="n">
        <v>45756</v>
      </c>
      <c r="D214" t="inlineStr">
        <is>
          <t>KALMAR LÄN</t>
        </is>
      </c>
      <c r="E214" t="inlineStr">
        <is>
          <t>NYBRO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32122-2019</t>
        </is>
      </c>
      <c r="B215" s="1" t="n">
        <v>43643</v>
      </c>
      <c r="C215" s="1" t="n">
        <v>45756</v>
      </c>
      <c r="D215" t="inlineStr">
        <is>
          <t>KALMAR LÄN</t>
        </is>
      </c>
      <c r="E215" t="inlineStr">
        <is>
          <t>NYBRO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32152-2019</t>
        </is>
      </c>
      <c r="B216" s="1" t="n">
        <v>43643</v>
      </c>
      <c r="C216" s="1" t="n">
        <v>45756</v>
      </c>
      <c r="D216" t="inlineStr">
        <is>
          <t>KALMAR LÄN</t>
        </is>
      </c>
      <c r="E216" t="inlineStr">
        <is>
          <t>NYBRO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32771-2019</t>
        </is>
      </c>
      <c r="B217" s="1" t="n">
        <v>43648</v>
      </c>
      <c r="C217" s="1" t="n">
        <v>45756</v>
      </c>
      <c r="D217" t="inlineStr">
        <is>
          <t>KALMAR LÄN</t>
        </is>
      </c>
      <c r="E217" t="inlineStr">
        <is>
          <t>NYBRO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33162-2019</t>
        </is>
      </c>
      <c r="B218" s="1" t="n">
        <v>43649</v>
      </c>
      <c r="C218" s="1" t="n">
        <v>45756</v>
      </c>
      <c r="D218" t="inlineStr">
        <is>
          <t>KALMAR LÄN</t>
        </is>
      </c>
      <c r="E218" t="inlineStr">
        <is>
          <t>NYBRO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33126-2019</t>
        </is>
      </c>
      <c r="B219" s="1" t="n">
        <v>43649</v>
      </c>
      <c r="C219" s="1" t="n">
        <v>45756</v>
      </c>
      <c r="D219" t="inlineStr">
        <is>
          <t>KALMAR LÄN</t>
        </is>
      </c>
      <c r="E219" t="inlineStr">
        <is>
          <t>NYBRO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33145-2019</t>
        </is>
      </c>
      <c r="B220" s="1" t="n">
        <v>43649</v>
      </c>
      <c r="C220" s="1" t="n">
        <v>45756</v>
      </c>
      <c r="D220" t="inlineStr">
        <is>
          <t>KALMAR LÄN</t>
        </is>
      </c>
      <c r="E220" t="inlineStr">
        <is>
          <t>NYBRO</t>
        </is>
      </c>
      <c r="F220" t="inlineStr">
        <is>
          <t>Kyrkan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33435-2019</t>
        </is>
      </c>
      <c r="B221" s="1" t="n">
        <v>43650</v>
      </c>
      <c r="C221" s="1" t="n">
        <v>45756</v>
      </c>
      <c r="D221" t="inlineStr">
        <is>
          <t>KALMAR LÄN</t>
        </is>
      </c>
      <c r="E221" t="inlineStr">
        <is>
          <t>NYBRO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35231-2019</t>
        </is>
      </c>
      <c r="B222" s="1" t="n">
        <v>43662</v>
      </c>
      <c r="C222" s="1" t="n">
        <v>45756</v>
      </c>
      <c r="D222" t="inlineStr">
        <is>
          <t>KALMAR LÄN</t>
        </is>
      </c>
      <c r="E222" t="inlineStr">
        <is>
          <t>NYBRO</t>
        </is>
      </c>
      <c r="F222" t="inlineStr">
        <is>
          <t>Sveaskog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35214-2019</t>
        </is>
      </c>
      <c r="B223" s="1" t="n">
        <v>43662</v>
      </c>
      <c r="C223" s="1" t="n">
        <v>45756</v>
      </c>
      <c r="D223" t="inlineStr">
        <is>
          <t>KALMAR LÄN</t>
        </is>
      </c>
      <c r="E223" t="inlineStr">
        <is>
          <t>NYBRO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36053-2019</t>
        </is>
      </c>
      <c r="B224" s="1" t="n">
        <v>43668</v>
      </c>
      <c r="C224" s="1" t="n">
        <v>45756</v>
      </c>
      <c r="D224" t="inlineStr">
        <is>
          <t>KALMAR LÄN</t>
        </is>
      </c>
      <c r="E224" t="inlineStr">
        <is>
          <t>NYBRO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36593-2019</t>
        </is>
      </c>
      <c r="B225" s="1" t="n">
        <v>43669</v>
      </c>
      <c r="C225" s="1" t="n">
        <v>45756</v>
      </c>
      <c r="D225" t="inlineStr">
        <is>
          <t>KALMAR LÄN</t>
        </is>
      </c>
      <c r="E225" t="inlineStr">
        <is>
          <t>NYBRO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36260-2019</t>
        </is>
      </c>
      <c r="B226" s="1" t="n">
        <v>43669</v>
      </c>
      <c r="C226" s="1" t="n">
        <v>45756</v>
      </c>
      <c r="D226" t="inlineStr">
        <is>
          <t>KALMAR LÄN</t>
        </is>
      </c>
      <c r="E226" t="inlineStr">
        <is>
          <t>NYBRO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36791-2019</t>
        </is>
      </c>
      <c r="B227" s="1" t="n">
        <v>43672</v>
      </c>
      <c r="C227" s="1" t="n">
        <v>45756</v>
      </c>
      <c r="D227" t="inlineStr">
        <is>
          <t>KALMAR LÄN</t>
        </is>
      </c>
      <c r="E227" t="inlineStr">
        <is>
          <t>NYBRO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36967-2019</t>
        </is>
      </c>
      <c r="B228" s="1" t="n">
        <v>43676</v>
      </c>
      <c r="C228" s="1" t="n">
        <v>45756</v>
      </c>
      <c r="D228" t="inlineStr">
        <is>
          <t>KALMAR LÄN</t>
        </is>
      </c>
      <c r="E228" t="inlineStr">
        <is>
          <t>NYBRO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37303-2019</t>
        </is>
      </c>
      <c r="B229" s="1" t="n">
        <v>43678</v>
      </c>
      <c r="C229" s="1" t="n">
        <v>45756</v>
      </c>
      <c r="D229" t="inlineStr">
        <is>
          <t>KALMAR LÄN</t>
        </is>
      </c>
      <c r="E229" t="inlineStr">
        <is>
          <t>NYBRO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37411-2019</t>
        </is>
      </c>
      <c r="B230" s="1" t="n">
        <v>43678</v>
      </c>
      <c r="C230" s="1" t="n">
        <v>45756</v>
      </c>
      <c r="D230" t="inlineStr">
        <is>
          <t>KALMAR LÄN</t>
        </is>
      </c>
      <c r="E230" t="inlineStr">
        <is>
          <t>NYBRO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37418-2019</t>
        </is>
      </c>
      <c r="B231" s="1" t="n">
        <v>43678</v>
      </c>
      <c r="C231" s="1" t="n">
        <v>45756</v>
      </c>
      <c r="D231" t="inlineStr">
        <is>
          <t>KALMAR LÄN</t>
        </is>
      </c>
      <c r="E231" t="inlineStr">
        <is>
          <t>NYBRO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37485-2019</t>
        </is>
      </c>
      <c r="B232" s="1" t="n">
        <v>43678</v>
      </c>
      <c r="C232" s="1" t="n">
        <v>45756</v>
      </c>
      <c r="D232" t="inlineStr">
        <is>
          <t>KALMAR LÄN</t>
        </is>
      </c>
      <c r="E232" t="inlineStr">
        <is>
          <t>NYBRO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37810-2019</t>
        </is>
      </c>
      <c r="B233" s="1" t="n">
        <v>43682</v>
      </c>
      <c r="C233" s="1" t="n">
        <v>45756</v>
      </c>
      <c r="D233" t="inlineStr">
        <is>
          <t>KALMAR LÄN</t>
        </is>
      </c>
      <c r="E233" t="inlineStr">
        <is>
          <t>NYBRO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37771-2019</t>
        </is>
      </c>
      <c r="B234" s="1" t="n">
        <v>43682</v>
      </c>
      <c r="C234" s="1" t="n">
        <v>45756</v>
      </c>
      <c r="D234" t="inlineStr">
        <is>
          <t>KALMAR LÄN</t>
        </is>
      </c>
      <c r="E234" t="inlineStr">
        <is>
          <t>NYBRO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37968-2019</t>
        </is>
      </c>
      <c r="B235" s="1" t="n">
        <v>43683</v>
      </c>
      <c r="C235" s="1" t="n">
        <v>45756</v>
      </c>
      <c r="D235" t="inlineStr">
        <is>
          <t>KALMAR LÄN</t>
        </is>
      </c>
      <c r="E235" t="inlineStr">
        <is>
          <t>NYBRO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37898-2019</t>
        </is>
      </c>
      <c r="B236" s="1" t="n">
        <v>43683</v>
      </c>
      <c r="C236" s="1" t="n">
        <v>45756</v>
      </c>
      <c r="D236" t="inlineStr">
        <is>
          <t>KALMAR LÄN</t>
        </is>
      </c>
      <c r="E236" t="inlineStr">
        <is>
          <t>NYBRO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37900-2019</t>
        </is>
      </c>
      <c r="B237" s="1" t="n">
        <v>43683</v>
      </c>
      <c r="C237" s="1" t="n">
        <v>45756</v>
      </c>
      <c r="D237" t="inlineStr">
        <is>
          <t>KALMAR LÄN</t>
        </is>
      </c>
      <c r="E237" t="inlineStr">
        <is>
          <t>NYBRO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38367-2019</t>
        </is>
      </c>
      <c r="B238" s="1" t="n">
        <v>43683</v>
      </c>
      <c r="C238" s="1" t="n">
        <v>45756</v>
      </c>
      <c r="D238" t="inlineStr">
        <is>
          <t>KALMAR LÄN</t>
        </is>
      </c>
      <c r="E238" t="inlineStr">
        <is>
          <t>NYBRO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37899-2019</t>
        </is>
      </c>
      <c r="B239" s="1" t="n">
        <v>43683</v>
      </c>
      <c r="C239" s="1" t="n">
        <v>45756</v>
      </c>
      <c r="D239" t="inlineStr">
        <is>
          <t>KALMAR LÄN</t>
        </is>
      </c>
      <c r="E239" t="inlineStr">
        <is>
          <t>NYBRO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38307-2019</t>
        </is>
      </c>
      <c r="B240" s="1" t="n">
        <v>43684</v>
      </c>
      <c r="C240" s="1" t="n">
        <v>45756</v>
      </c>
      <c r="D240" t="inlineStr">
        <is>
          <t>KALMAR LÄN</t>
        </is>
      </c>
      <c r="E240" t="inlineStr">
        <is>
          <t>NYBRO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38588-2019</t>
        </is>
      </c>
      <c r="B241" s="1" t="n">
        <v>43686</v>
      </c>
      <c r="C241" s="1" t="n">
        <v>45756</v>
      </c>
      <c r="D241" t="inlineStr">
        <is>
          <t>KALMAR LÄN</t>
        </is>
      </c>
      <c r="E241" t="inlineStr">
        <is>
          <t>NYBRO</t>
        </is>
      </c>
      <c r="G241" t="n">
        <v>17.1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38590-2019</t>
        </is>
      </c>
      <c r="B242" s="1" t="n">
        <v>43686</v>
      </c>
      <c r="C242" s="1" t="n">
        <v>45756</v>
      </c>
      <c r="D242" t="inlineStr">
        <is>
          <t>KALMAR LÄN</t>
        </is>
      </c>
      <c r="E242" t="inlineStr">
        <is>
          <t>NYBRO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38804-2019</t>
        </is>
      </c>
      <c r="B243" s="1" t="n">
        <v>43688</v>
      </c>
      <c r="C243" s="1" t="n">
        <v>45756</v>
      </c>
      <c r="D243" t="inlineStr">
        <is>
          <t>KALMAR LÄN</t>
        </is>
      </c>
      <c r="E243" t="inlineStr">
        <is>
          <t>NYBRO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39149-2019</t>
        </is>
      </c>
      <c r="B244" s="1" t="n">
        <v>43690</v>
      </c>
      <c r="C244" s="1" t="n">
        <v>45756</v>
      </c>
      <c r="D244" t="inlineStr">
        <is>
          <t>KALMAR LÄN</t>
        </is>
      </c>
      <c r="E244" t="inlineStr">
        <is>
          <t>NYBRO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39364-2019</t>
        </is>
      </c>
      <c r="B245" s="1" t="n">
        <v>43690</v>
      </c>
      <c r="C245" s="1" t="n">
        <v>45756</v>
      </c>
      <c r="D245" t="inlineStr">
        <is>
          <t>KALMAR LÄN</t>
        </is>
      </c>
      <c r="E245" t="inlineStr">
        <is>
          <t>NYBRO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39357-2019</t>
        </is>
      </c>
      <c r="B246" s="1" t="n">
        <v>43690</v>
      </c>
      <c r="C246" s="1" t="n">
        <v>45756</v>
      </c>
      <c r="D246" t="inlineStr">
        <is>
          <t>KALMAR LÄN</t>
        </is>
      </c>
      <c r="E246" t="inlineStr">
        <is>
          <t>NYBRO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39423-2019</t>
        </is>
      </c>
      <c r="B247" s="1" t="n">
        <v>43691</v>
      </c>
      <c r="C247" s="1" t="n">
        <v>45756</v>
      </c>
      <c r="D247" t="inlineStr">
        <is>
          <t>KALMAR LÄN</t>
        </is>
      </c>
      <c r="E247" t="inlineStr">
        <is>
          <t>NYBRO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39426-2019</t>
        </is>
      </c>
      <c r="B248" s="1" t="n">
        <v>43691</v>
      </c>
      <c r="C248" s="1" t="n">
        <v>45756</v>
      </c>
      <c r="D248" t="inlineStr">
        <is>
          <t>KALMAR LÄN</t>
        </is>
      </c>
      <c r="E248" t="inlineStr">
        <is>
          <t>NYBRO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39693-2019</t>
        </is>
      </c>
      <c r="B249" s="1" t="n">
        <v>43691</v>
      </c>
      <c r="C249" s="1" t="n">
        <v>45756</v>
      </c>
      <c r="D249" t="inlineStr">
        <is>
          <t>KALMAR LÄN</t>
        </is>
      </c>
      <c r="E249" t="inlineStr">
        <is>
          <t>NYBRO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39699-2019</t>
        </is>
      </c>
      <c r="B250" s="1" t="n">
        <v>43691</v>
      </c>
      <c r="C250" s="1" t="n">
        <v>45756</v>
      </c>
      <c r="D250" t="inlineStr">
        <is>
          <t>KALMAR LÄN</t>
        </is>
      </c>
      <c r="E250" t="inlineStr">
        <is>
          <t>NYBRO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40872-2019</t>
        </is>
      </c>
      <c r="B251" s="1" t="n">
        <v>43693</v>
      </c>
      <c r="C251" s="1" t="n">
        <v>45756</v>
      </c>
      <c r="D251" t="inlineStr">
        <is>
          <t>KALMAR LÄN</t>
        </is>
      </c>
      <c r="E251" t="inlineStr">
        <is>
          <t>NYBRO</t>
        </is>
      </c>
      <c r="G251" t="n">
        <v>19.5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40132-2019</t>
        </is>
      </c>
      <c r="B252" s="1" t="n">
        <v>43693</v>
      </c>
      <c r="C252" s="1" t="n">
        <v>45756</v>
      </c>
      <c r="D252" t="inlineStr">
        <is>
          <t>KALMAR LÄN</t>
        </is>
      </c>
      <c r="E252" t="inlineStr">
        <is>
          <t>NYBRO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41076-2019</t>
        </is>
      </c>
      <c r="B253" s="1" t="n">
        <v>43698</v>
      </c>
      <c r="C253" s="1" t="n">
        <v>45756</v>
      </c>
      <c r="D253" t="inlineStr">
        <is>
          <t>KALMAR LÄN</t>
        </is>
      </c>
      <c r="E253" t="inlineStr">
        <is>
          <t>NYBRO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41175-2019</t>
        </is>
      </c>
      <c r="B254" s="1" t="n">
        <v>43698</v>
      </c>
      <c r="C254" s="1" t="n">
        <v>45756</v>
      </c>
      <c r="D254" t="inlineStr">
        <is>
          <t>KALMAR LÄN</t>
        </is>
      </c>
      <c r="E254" t="inlineStr">
        <is>
          <t>NYBRO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41053-2019</t>
        </is>
      </c>
      <c r="B255" s="1" t="n">
        <v>43698</v>
      </c>
      <c r="C255" s="1" t="n">
        <v>45756</v>
      </c>
      <c r="D255" t="inlineStr">
        <is>
          <t>KALMAR LÄN</t>
        </is>
      </c>
      <c r="E255" t="inlineStr">
        <is>
          <t>NYBRO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42262-2019</t>
        </is>
      </c>
      <c r="B256" s="1" t="n">
        <v>43699</v>
      </c>
      <c r="C256" s="1" t="n">
        <v>45756</v>
      </c>
      <c r="D256" t="inlineStr">
        <is>
          <t>KALMAR LÄN</t>
        </is>
      </c>
      <c r="E256" t="inlineStr">
        <is>
          <t>NYBRO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42127-2019</t>
        </is>
      </c>
      <c r="B257" s="1" t="n">
        <v>43703</v>
      </c>
      <c r="C257" s="1" t="n">
        <v>45756</v>
      </c>
      <c r="D257" t="inlineStr">
        <is>
          <t>KALMAR LÄN</t>
        </is>
      </c>
      <c r="E257" t="inlineStr">
        <is>
          <t>NYBRO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42545-2019</t>
        </is>
      </c>
      <c r="B258" s="1" t="n">
        <v>43704</v>
      </c>
      <c r="C258" s="1" t="n">
        <v>45756</v>
      </c>
      <c r="D258" t="inlineStr">
        <is>
          <t>KALMAR LÄN</t>
        </is>
      </c>
      <c r="E258" t="inlineStr">
        <is>
          <t>NYBRO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42613-2019</t>
        </is>
      </c>
      <c r="B259" s="1" t="n">
        <v>43704</v>
      </c>
      <c r="C259" s="1" t="n">
        <v>45756</v>
      </c>
      <c r="D259" t="inlineStr">
        <is>
          <t>KALMAR LÄN</t>
        </is>
      </c>
      <c r="E259" t="inlineStr">
        <is>
          <t>NYBRO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42800-2019</t>
        </is>
      </c>
      <c r="B260" s="1" t="n">
        <v>43705</v>
      </c>
      <c r="C260" s="1" t="n">
        <v>45756</v>
      </c>
      <c r="D260" t="inlineStr">
        <is>
          <t>KALMAR LÄN</t>
        </is>
      </c>
      <c r="E260" t="inlineStr">
        <is>
          <t>NYBRO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43165-2019</t>
        </is>
      </c>
      <c r="B261" s="1" t="n">
        <v>43705</v>
      </c>
      <c r="C261" s="1" t="n">
        <v>45756</v>
      </c>
      <c r="D261" t="inlineStr">
        <is>
          <t>KALMAR LÄN</t>
        </is>
      </c>
      <c r="E261" t="inlineStr">
        <is>
          <t>NYBRO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44057-2019</t>
        </is>
      </c>
      <c r="B262" s="1" t="n">
        <v>43705</v>
      </c>
      <c r="C262" s="1" t="n">
        <v>45756</v>
      </c>
      <c r="D262" t="inlineStr">
        <is>
          <t>KALMAR LÄN</t>
        </is>
      </c>
      <c r="E262" t="inlineStr">
        <is>
          <t>NYBRO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44465-2019</t>
        </is>
      </c>
      <c r="B263" s="1" t="n">
        <v>43706</v>
      </c>
      <c r="C263" s="1" t="n">
        <v>45756</v>
      </c>
      <c r="D263" t="inlineStr">
        <is>
          <t>KALMAR LÄN</t>
        </is>
      </c>
      <c r="E263" t="inlineStr">
        <is>
          <t>NYBRO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43983-2019</t>
        </is>
      </c>
      <c r="B264" s="1" t="n">
        <v>43709</v>
      </c>
      <c r="C264" s="1" t="n">
        <v>45756</v>
      </c>
      <c r="D264" t="inlineStr">
        <is>
          <t>KALMAR LÄN</t>
        </is>
      </c>
      <c r="E264" t="inlineStr">
        <is>
          <t>NYBRO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45312-2019</t>
        </is>
      </c>
      <c r="B265" s="1" t="n">
        <v>43710</v>
      </c>
      <c r="C265" s="1" t="n">
        <v>45756</v>
      </c>
      <c r="D265" t="inlineStr">
        <is>
          <t>KALMAR LÄN</t>
        </is>
      </c>
      <c r="E265" t="inlineStr">
        <is>
          <t>NYBRO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45381-2019</t>
        </is>
      </c>
      <c r="B266" s="1" t="n">
        <v>43710</v>
      </c>
      <c r="C266" s="1" t="n">
        <v>45756</v>
      </c>
      <c r="D266" t="inlineStr">
        <is>
          <t>KALMAR LÄN</t>
        </is>
      </c>
      <c r="E266" t="inlineStr">
        <is>
          <t>NYBRO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45011-2019</t>
        </is>
      </c>
      <c r="B267" s="1" t="n">
        <v>43713</v>
      </c>
      <c r="C267" s="1" t="n">
        <v>45756</v>
      </c>
      <c r="D267" t="inlineStr">
        <is>
          <t>KALMAR LÄN</t>
        </is>
      </c>
      <c r="E267" t="inlineStr">
        <is>
          <t>NYBRO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45230-2019</t>
        </is>
      </c>
      <c r="B268" s="1" t="n">
        <v>43713</v>
      </c>
      <c r="C268" s="1" t="n">
        <v>45756</v>
      </c>
      <c r="D268" t="inlineStr">
        <is>
          <t>KALMAR LÄN</t>
        </is>
      </c>
      <c r="E268" t="inlineStr">
        <is>
          <t>NYBRO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45232-2019</t>
        </is>
      </c>
      <c r="B269" s="1" t="n">
        <v>43713</v>
      </c>
      <c r="C269" s="1" t="n">
        <v>45756</v>
      </c>
      <c r="D269" t="inlineStr">
        <is>
          <t>KALMAR LÄN</t>
        </is>
      </c>
      <c r="E269" t="inlineStr">
        <is>
          <t>NYBRO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46190-2019</t>
        </is>
      </c>
      <c r="B270" s="1" t="n">
        <v>43714</v>
      </c>
      <c r="C270" s="1" t="n">
        <v>45756</v>
      </c>
      <c r="D270" t="inlineStr">
        <is>
          <t>KALMAR LÄN</t>
        </is>
      </c>
      <c r="E270" t="inlineStr">
        <is>
          <t>NYBRO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45727-2019</t>
        </is>
      </c>
      <c r="B271" s="1" t="n">
        <v>43717</v>
      </c>
      <c r="C271" s="1" t="n">
        <v>45756</v>
      </c>
      <c r="D271" t="inlineStr">
        <is>
          <t>KALMAR LÄN</t>
        </is>
      </c>
      <c r="E271" t="inlineStr">
        <is>
          <t>NYBRO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46557-2019</t>
        </is>
      </c>
      <c r="B272" s="1" t="n">
        <v>43717</v>
      </c>
      <c r="C272" s="1" t="n">
        <v>45756</v>
      </c>
      <c r="D272" t="inlineStr">
        <is>
          <t>KALMAR LÄN</t>
        </is>
      </c>
      <c r="E272" t="inlineStr">
        <is>
          <t>NYBRO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46993-2019</t>
        </is>
      </c>
      <c r="B273" s="1" t="n">
        <v>43717</v>
      </c>
      <c r="C273" s="1" t="n">
        <v>45756</v>
      </c>
      <c r="D273" t="inlineStr">
        <is>
          <t>KALMAR LÄN</t>
        </is>
      </c>
      <c r="E273" t="inlineStr">
        <is>
          <t>NYBRO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46040-2019</t>
        </is>
      </c>
      <c r="B274" s="1" t="n">
        <v>43718</v>
      </c>
      <c r="C274" s="1" t="n">
        <v>45756</v>
      </c>
      <c r="D274" t="inlineStr">
        <is>
          <t>KALMAR LÄN</t>
        </is>
      </c>
      <c r="E274" t="inlineStr">
        <is>
          <t>NYBRO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46061-2019</t>
        </is>
      </c>
      <c r="B275" s="1" t="n">
        <v>43718</v>
      </c>
      <c r="C275" s="1" t="n">
        <v>45756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46058-2019</t>
        </is>
      </c>
      <c r="B276" s="1" t="n">
        <v>43718</v>
      </c>
      <c r="C276" s="1" t="n">
        <v>45756</v>
      </c>
      <c r="D276" t="inlineStr">
        <is>
          <t>KALMAR LÄN</t>
        </is>
      </c>
      <c r="E276" t="inlineStr">
        <is>
          <t>NYBRO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46815-2019</t>
        </is>
      </c>
      <c r="B277" s="1" t="n">
        <v>43719</v>
      </c>
      <c r="C277" s="1" t="n">
        <v>45756</v>
      </c>
      <c r="D277" t="inlineStr">
        <is>
          <t>KALMAR LÄN</t>
        </is>
      </c>
      <c r="E277" t="inlineStr">
        <is>
          <t>NYBRO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47246-2019</t>
        </is>
      </c>
      <c r="B278" s="1" t="n">
        <v>43721</v>
      </c>
      <c r="C278" s="1" t="n">
        <v>45756</v>
      </c>
      <c r="D278" t="inlineStr">
        <is>
          <t>KALMAR LÄN</t>
        </is>
      </c>
      <c r="E278" t="inlineStr">
        <is>
          <t>NYBRO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47243-2019</t>
        </is>
      </c>
      <c r="B279" s="1" t="n">
        <v>43721</v>
      </c>
      <c r="C279" s="1" t="n">
        <v>45756</v>
      </c>
      <c r="D279" t="inlineStr">
        <is>
          <t>KALMAR LÄN</t>
        </is>
      </c>
      <c r="E279" t="inlineStr">
        <is>
          <t>NYBRO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48068-2019</t>
        </is>
      </c>
      <c r="B280" s="1" t="n">
        <v>43725</v>
      </c>
      <c r="C280" s="1" t="n">
        <v>45756</v>
      </c>
      <c r="D280" t="inlineStr">
        <is>
          <t>KALMAR LÄN</t>
        </is>
      </c>
      <c r="E280" t="inlineStr">
        <is>
          <t>NYBRO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48750-2019</t>
        </is>
      </c>
      <c r="B281" s="1" t="n">
        <v>43727</v>
      </c>
      <c r="C281" s="1" t="n">
        <v>45756</v>
      </c>
      <c r="D281" t="inlineStr">
        <is>
          <t>KALMAR LÄN</t>
        </is>
      </c>
      <c r="E281" t="inlineStr">
        <is>
          <t>NYBRO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49389-2019</t>
        </is>
      </c>
      <c r="B282" s="1" t="n">
        <v>43732</v>
      </c>
      <c r="C282" s="1" t="n">
        <v>45756</v>
      </c>
      <c r="D282" t="inlineStr">
        <is>
          <t>KALMAR LÄN</t>
        </is>
      </c>
      <c r="E282" t="inlineStr">
        <is>
          <t>NYBRO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49575-2019</t>
        </is>
      </c>
      <c r="B283" s="1" t="n">
        <v>43732</v>
      </c>
      <c r="C283" s="1" t="n">
        <v>45756</v>
      </c>
      <c r="D283" t="inlineStr">
        <is>
          <t>KALMAR LÄN</t>
        </is>
      </c>
      <c r="E283" t="inlineStr">
        <is>
          <t>NYBRO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49883-2019</t>
        </is>
      </c>
      <c r="B284" s="1" t="n">
        <v>43733</v>
      </c>
      <c r="C284" s="1" t="n">
        <v>45756</v>
      </c>
      <c r="D284" t="inlineStr">
        <is>
          <t>KALMAR LÄN</t>
        </is>
      </c>
      <c r="E284" t="inlineStr">
        <is>
          <t>NYBRO</t>
        </is>
      </c>
      <c r="G284" t="n">
        <v>24.8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51500-2019</t>
        </is>
      </c>
      <c r="B285" s="1" t="n">
        <v>43733</v>
      </c>
      <c r="C285" s="1" t="n">
        <v>45756</v>
      </c>
      <c r="D285" t="inlineStr">
        <is>
          <t>KALMAR LÄN</t>
        </is>
      </c>
      <c r="E285" t="inlineStr">
        <is>
          <t>NYBRO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49746-2019</t>
        </is>
      </c>
      <c r="B286" s="1" t="n">
        <v>43733</v>
      </c>
      <c r="C286" s="1" t="n">
        <v>45756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49904-2019</t>
        </is>
      </c>
      <c r="B287" s="1" t="n">
        <v>43733</v>
      </c>
      <c r="C287" s="1" t="n">
        <v>45756</v>
      </c>
      <c r="D287" t="inlineStr">
        <is>
          <t>KALMAR LÄN</t>
        </is>
      </c>
      <c r="E287" t="inlineStr">
        <is>
          <t>NYBRO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50159-2019</t>
        </is>
      </c>
      <c r="B288" s="1" t="n">
        <v>43734</v>
      </c>
      <c r="C288" s="1" t="n">
        <v>45756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50113-2019</t>
        </is>
      </c>
      <c r="B289" s="1" t="n">
        <v>43734</v>
      </c>
      <c r="C289" s="1" t="n">
        <v>45756</v>
      </c>
      <c r="D289" t="inlineStr">
        <is>
          <t>KALMAR LÄN</t>
        </is>
      </c>
      <c r="E289" t="inlineStr">
        <is>
          <t>NYBRO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52154-2019</t>
        </is>
      </c>
      <c r="B290" s="1" t="n">
        <v>43735</v>
      </c>
      <c r="C290" s="1" t="n">
        <v>45756</v>
      </c>
      <c r="D290" t="inlineStr">
        <is>
          <t>KALMAR LÄN</t>
        </is>
      </c>
      <c r="E290" t="inlineStr">
        <is>
          <t>NYBRO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51314-2019</t>
        </is>
      </c>
      <c r="B291" s="1" t="n">
        <v>43739</v>
      </c>
      <c r="C291" s="1" t="n">
        <v>45756</v>
      </c>
      <c r="D291" t="inlineStr">
        <is>
          <t>KALMAR LÄN</t>
        </is>
      </c>
      <c r="E291" t="inlineStr">
        <is>
          <t>NYBRO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51731-2019</t>
        </is>
      </c>
      <c r="B292" s="1" t="n">
        <v>43740</v>
      </c>
      <c r="C292" s="1" t="n">
        <v>45756</v>
      </c>
      <c r="D292" t="inlineStr">
        <is>
          <t>KALMAR LÄN</t>
        </is>
      </c>
      <c r="E292" t="inlineStr">
        <is>
          <t>NYBRO</t>
        </is>
      </c>
      <c r="F292" t="inlineStr">
        <is>
          <t>Kyrkan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51937-2019</t>
        </is>
      </c>
      <c r="B293" s="1" t="n">
        <v>43741</v>
      </c>
      <c r="C293" s="1" t="n">
        <v>45756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52072-2019</t>
        </is>
      </c>
      <c r="B294" s="1" t="n">
        <v>43742</v>
      </c>
      <c r="C294" s="1" t="n">
        <v>45756</v>
      </c>
      <c r="D294" t="inlineStr">
        <is>
          <t>KALMAR LÄN</t>
        </is>
      </c>
      <c r="E294" t="inlineStr">
        <is>
          <t>NYBRO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52312-2019</t>
        </is>
      </c>
      <c r="B295" s="1" t="n">
        <v>43742</v>
      </c>
      <c r="C295" s="1" t="n">
        <v>45756</v>
      </c>
      <c r="D295" t="inlineStr">
        <is>
          <t>KALMAR LÄN</t>
        </is>
      </c>
      <c r="E295" t="inlineStr">
        <is>
          <t>NYBRO</t>
        </is>
      </c>
      <c r="F295" t="inlineStr">
        <is>
          <t>Kyrkan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52318-2019</t>
        </is>
      </c>
      <c r="B296" s="1" t="n">
        <v>43742</v>
      </c>
      <c r="C296" s="1" t="n">
        <v>45756</v>
      </c>
      <c r="D296" t="inlineStr">
        <is>
          <t>KALMAR LÄN</t>
        </is>
      </c>
      <c r="E296" t="inlineStr">
        <is>
          <t>NYBRO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52883-2019</t>
        </is>
      </c>
      <c r="B297" s="1" t="n">
        <v>43746</v>
      </c>
      <c r="C297" s="1" t="n">
        <v>45756</v>
      </c>
      <c r="D297" t="inlineStr">
        <is>
          <t>KALMAR LÄN</t>
        </is>
      </c>
      <c r="E297" t="inlineStr">
        <is>
          <t>NYBRO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52880-2019</t>
        </is>
      </c>
      <c r="B298" s="1" t="n">
        <v>43746</v>
      </c>
      <c r="C298" s="1" t="n">
        <v>45756</v>
      </c>
      <c r="D298" t="inlineStr">
        <is>
          <t>KALMAR LÄN</t>
        </is>
      </c>
      <c r="E298" t="inlineStr">
        <is>
          <t>NYBRO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53153-2019</t>
        </is>
      </c>
      <c r="B299" s="1" t="n">
        <v>43747</v>
      </c>
      <c r="C299" s="1" t="n">
        <v>45756</v>
      </c>
      <c r="D299" t="inlineStr">
        <is>
          <t>KALMAR LÄN</t>
        </is>
      </c>
      <c r="E299" t="inlineStr">
        <is>
          <t>NYBRO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53037-2019</t>
        </is>
      </c>
      <c r="B300" s="1" t="n">
        <v>43747</v>
      </c>
      <c r="C300" s="1" t="n">
        <v>45756</v>
      </c>
      <c r="D300" t="inlineStr">
        <is>
          <t>KALMAR LÄN</t>
        </is>
      </c>
      <c r="E300" t="inlineStr">
        <is>
          <t>NYBRO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53432-2019</t>
        </is>
      </c>
      <c r="B301" s="1" t="n">
        <v>43748</v>
      </c>
      <c r="C301" s="1" t="n">
        <v>45756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55596-2019</t>
        </is>
      </c>
      <c r="B302" s="1" t="n">
        <v>43759</v>
      </c>
      <c r="C302" s="1" t="n">
        <v>45756</v>
      </c>
      <c r="D302" t="inlineStr">
        <is>
          <t>KALMAR LÄN</t>
        </is>
      </c>
      <c r="E302" t="inlineStr">
        <is>
          <t>NYBRO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55565-2019</t>
        </is>
      </c>
      <c r="B303" s="1" t="n">
        <v>43760</v>
      </c>
      <c r="C303" s="1" t="n">
        <v>45756</v>
      </c>
      <c r="D303" t="inlineStr">
        <is>
          <t>KALMAR LÄN</t>
        </is>
      </c>
      <c r="E303" t="inlineStr">
        <is>
          <t>NYBRO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55842-2019</t>
        </is>
      </c>
      <c r="B304" s="1" t="n">
        <v>43760</v>
      </c>
      <c r="C304" s="1" t="n">
        <v>45756</v>
      </c>
      <c r="D304" t="inlineStr">
        <is>
          <t>KALMAR LÄN</t>
        </is>
      </c>
      <c r="E304" t="inlineStr">
        <is>
          <t>NYBRO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57308-2019</t>
        </is>
      </c>
      <c r="B305" s="1" t="n">
        <v>43760</v>
      </c>
      <c r="C305" s="1" t="n">
        <v>45756</v>
      </c>
      <c r="D305" t="inlineStr">
        <is>
          <t>KALMAR LÄN</t>
        </is>
      </c>
      <c r="E305" t="inlineStr">
        <is>
          <t>NYBRO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56877-2019</t>
        </is>
      </c>
      <c r="B306" s="1" t="n">
        <v>43766</v>
      </c>
      <c r="C306" s="1" t="n">
        <v>45756</v>
      </c>
      <c r="D306" t="inlineStr">
        <is>
          <t>KALMAR LÄN</t>
        </is>
      </c>
      <c r="E306" t="inlineStr">
        <is>
          <t>NYBRO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56987-2019</t>
        </is>
      </c>
      <c r="B307" s="1" t="n">
        <v>43766</v>
      </c>
      <c r="C307" s="1" t="n">
        <v>45756</v>
      </c>
      <c r="D307" t="inlineStr">
        <is>
          <t>KALMAR LÄN</t>
        </is>
      </c>
      <c r="E307" t="inlineStr">
        <is>
          <t>NYBRO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58320-2019</t>
        </is>
      </c>
      <c r="B308" s="1" t="n">
        <v>43770</v>
      </c>
      <c r="C308" s="1" t="n">
        <v>45756</v>
      </c>
      <c r="D308" t="inlineStr">
        <is>
          <t>KALMAR LÄN</t>
        </is>
      </c>
      <c r="E308" t="inlineStr">
        <is>
          <t>NYBRO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58331-2019</t>
        </is>
      </c>
      <c r="B309" s="1" t="n">
        <v>43770</v>
      </c>
      <c r="C309" s="1" t="n">
        <v>45756</v>
      </c>
      <c r="D309" t="inlineStr">
        <is>
          <t>KALMAR LÄN</t>
        </is>
      </c>
      <c r="E309" t="inlineStr">
        <is>
          <t>NYBRO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58382-2019</t>
        </is>
      </c>
      <c r="B310" s="1" t="n">
        <v>43771</v>
      </c>
      <c r="C310" s="1" t="n">
        <v>45756</v>
      </c>
      <c r="D310" t="inlineStr">
        <is>
          <t>KALMAR LÄN</t>
        </is>
      </c>
      <c r="E310" t="inlineStr">
        <is>
          <t>NYBRO</t>
        </is>
      </c>
      <c r="G310" t="n">
        <v>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58380-2019</t>
        </is>
      </c>
      <c r="B311" s="1" t="n">
        <v>43771</v>
      </c>
      <c r="C311" s="1" t="n">
        <v>45756</v>
      </c>
      <c r="D311" t="inlineStr">
        <is>
          <t>KALMAR LÄN</t>
        </is>
      </c>
      <c r="E311" t="inlineStr">
        <is>
          <t>NYBRO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58480-2019</t>
        </is>
      </c>
      <c r="B312" s="1" t="n">
        <v>43773</v>
      </c>
      <c r="C312" s="1" t="n">
        <v>45756</v>
      </c>
      <c r="D312" t="inlineStr">
        <is>
          <t>KALMAR LÄN</t>
        </is>
      </c>
      <c r="E312" t="inlineStr">
        <is>
          <t>NYBRO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58856-2019</t>
        </is>
      </c>
      <c r="B313" s="1" t="n">
        <v>43774</v>
      </c>
      <c r="C313" s="1" t="n">
        <v>45756</v>
      </c>
      <c r="D313" t="inlineStr">
        <is>
          <t>KALMAR LÄN</t>
        </is>
      </c>
      <c r="E313" t="inlineStr">
        <is>
          <t>NYBRO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59113-2019</t>
        </is>
      </c>
      <c r="B314" s="1" t="n">
        <v>43775</v>
      </c>
      <c r="C314" s="1" t="n">
        <v>45756</v>
      </c>
      <c r="D314" t="inlineStr">
        <is>
          <t>KALMAR LÄN</t>
        </is>
      </c>
      <c r="E314" t="inlineStr">
        <is>
          <t>NYBRO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59114-2019</t>
        </is>
      </c>
      <c r="B315" s="1" t="n">
        <v>43775</v>
      </c>
      <c r="C315" s="1" t="n">
        <v>45756</v>
      </c>
      <c r="D315" t="inlineStr">
        <is>
          <t>KALMAR LÄN</t>
        </is>
      </c>
      <c r="E315" t="inlineStr">
        <is>
          <t>NYBRO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59303-2019</t>
        </is>
      </c>
      <c r="B316" s="1" t="n">
        <v>43775</v>
      </c>
      <c r="C316" s="1" t="n">
        <v>45756</v>
      </c>
      <c r="D316" t="inlineStr">
        <is>
          <t>KALMAR LÄN</t>
        </is>
      </c>
      <c r="E316" t="inlineStr">
        <is>
          <t>NYBRO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59391-2019</t>
        </is>
      </c>
      <c r="B317" s="1" t="n">
        <v>43775</v>
      </c>
      <c r="C317" s="1" t="n">
        <v>45756</v>
      </c>
      <c r="D317" t="inlineStr">
        <is>
          <t>KALMAR LÄN</t>
        </is>
      </c>
      <c r="E317" t="inlineStr">
        <is>
          <t>NYBRO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59795-2019</t>
        </is>
      </c>
      <c r="B318" s="1" t="n">
        <v>43777</v>
      </c>
      <c r="C318" s="1" t="n">
        <v>45756</v>
      </c>
      <c r="D318" t="inlineStr">
        <is>
          <t>KALMAR LÄN</t>
        </is>
      </c>
      <c r="E318" t="inlineStr">
        <is>
          <t>NYBRO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59794-2019</t>
        </is>
      </c>
      <c r="B319" s="1" t="n">
        <v>43777</v>
      </c>
      <c r="C319" s="1" t="n">
        <v>45756</v>
      </c>
      <c r="D319" t="inlineStr">
        <is>
          <t>KALMAR LÄN</t>
        </is>
      </c>
      <c r="E319" t="inlineStr">
        <is>
          <t>NYBRO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60311-2019</t>
        </is>
      </c>
      <c r="B320" s="1" t="n">
        <v>43780</v>
      </c>
      <c r="C320" s="1" t="n">
        <v>45756</v>
      </c>
      <c r="D320" t="inlineStr">
        <is>
          <t>KALMAR LÄN</t>
        </is>
      </c>
      <c r="E320" t="inlineStr">
        <is>
          <t>NYBRO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60439-2019</t>
        </is>
      </c>
      <c r="B321" s="1" t="n">
        <v>43780</v>
      </c>
      <c r="C321" s="1" t="n">
        <v>45756</v>
      </c>
      <c r="D321" t="inlineStr">
        <is>
          <t>KALMAR LÄN</t>
        </is>
      </c>
      <c r="E321" t="inlineStr">
        <is>
          <t>NYBRO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60451-2019</t>
        </is>
      </c>
      <c r="B322" s="1" t="n">
        <v>43780</v>
      </c>
      <c r="C322" s="1" t="n">
        <v>45756</v>
      </c>
      <c r="D322" t="inlineStr">
        <is>
          <t>KALMAR LÄN</t>
        </is>
      </c>
      <c r="E322" t="inlineStr">
        <is>
          <t>NYBRO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60851-2019</t>
        </is>
      </c>
      <c r="B323" s="1" t="n">
        <v>43781</v>
      </c>
      <c r="C323" s="1" t="n">
        <v>45756</v>
      </c>
      <c r="D323" t="inlineStr">
        <is>
          <t>KALMAR LÄN</t>
        </is>
      </c>
      <c r="E323" t="inlineStr">
        <is>
          <t>NYBRO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60794-2019</t>
        </is>
      </c>
      <c r="B324" s="1" t="n">
        <v>43781</v>
      </c>
      <c r="C324" s="1" t="n">
        <v>45756</v>
      </c>
      <c r="D324" t="inlineStr">
        <is>
          <t>KALMAR LÄN</t>
        </is>
      </c>
      <c r="E324" t="inlineStr">
        <is>
          <t>NYBRO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61061-2019</t>
        </is>
      </c>
      <c r="B325" s="1" t="n">
        <v>43782</v>
      </c>
      <c r="C325" s="1" t="n">
        <v>45756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62074-2019</t>
        </is>
      </c>
      <c r="B326" s="1" t="n">
        <v>43782</v>
      </c>
      <c r="C326" s="1" t="n">
        <v>45756</v>
      </c>
      <c r="D326" t="inlineStr">
        <is>
          <t>KALMAR LÄN</t>
        </is>
      </c>
      <c r="E326" t="inlineStr">
        <is>
          <t>NYBRO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61704-2019</t>
        </is>
      </c>
      <c r="B327" s="1" t="n">
        <v>43784</v>
      </c>
      <c r="C327" s="1" t="n">
        <v>45756</v>
      </c>
      <c r="D327" t="inlineStr">
        <is>
          <t>KALMAR LÄN</t>
        </is>
      </c>
      <c r="E327" t="inlineStr">
        <is>
          <t>NYBRO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61715-2019</t>
        </is>
      </c>
      <c r="B328" s="1" t="n">
        <v>43784</v>
      </c>
      <c r="C328" s="1" t="n">
        <v>45756</v>
      </c>
      <c r="D328" t="inlineStr">
        <is>
          <t>KALMAR LÄN</t>
        </is>
      </c>
      <c r="E328" t="inlineStr">
        <is>
          <t>NYBRO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61768-2019</t>
        </is>
      </c>
      <c r="B329" s="1" t="n">
        <v>43784</v>
      </c>
      <c r="C329" s="1" t="n">
        <v>45756</v>
      </c>
      <c r="D329" t="inlineStr">
        <is>
          <t>KALMAR LÄN</t>
        </is>
      </c>
      <c r="E329" t="inlineStr">
        <is>
          <t>NYBRO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62030-2019</t>
        </is>
      </c>
      <c r="B330" s="1" t="n">
        <v>43787</v>
      </c>
      <c r="C330" s="1" t="n">
        <v>45756</v>
      </c>
      <c r="D330" t="inlineStr">
        <is>
          <t>KALMAR LÄN</t>
        </is>
      </c>
      <c r="E330" t="inlineStr">
        <is>
          <t>NYBRO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62831-2019</t>
        </is>
      </c>
      <c r="B331" s="1" t="n">
        <v>43790</v>
      </c>
      <c r="C331" s="1" t="n">
        <v>45756</v>
      </c>
      <c r="D331" t="inlineStr">
        <is>
          <t>KALMAR LÄN</t>
        </is>
      </c>
      <c r="E331" t="inlineStr">
        <is>
          <t>NYBRO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64331-2019</t>
        </is>
      </c>
      <c r="B332" s="1" t="n">
        <v>43791</v>
      </c>
      <c r="C332" s="1" t="n">
        <v>45756</v>
      </c>
      <c r="D332" t="inlineStr">
        <is>
          <t>KALMAR LÄN</t>
        </is>
      </c>
      <c r="E332" t="inlineStr">
        <is>
          <t>NYBRO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63982-2019</t>
        </is>
      </c>
      <c r="B333" s="1" t="n">
        <v>43796</v>
      </c>
      <c r="C333" s="1" t="n">
        <v>45756</v>
      </c>
      <c r="D333" t="inlineStr">
        <is>
          <t>KALMAR LÄN</t>
        </is>
      </c>
      <c r="E333" t="inlineStr">
        <is>
          <t>NYBRO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64110-2019</t>
        </is>
      </c>
      <c r="B334" s="1" t="n">
        <v>43796</v>
      </c>
      <c r="C334" s="1" t="n">
        <v>45756</v>
      </c>
      <c r="D334" t="inlineStr">
        <is>
          <t>KALMAR LÄN</t>
        </is>
      </c>
      <c r="E334" t="inlineStr">
        <is>
          <t>NYBRO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64004-2019</t>
        </is>
      </c>
      <c r="B335" s="1" t="n">
        <v>43796</v>
      </c>
      <c r="C335" s="1" t="n">
        <v>45756</v>
      </c>
      <c r="D335" t="inlineStr">
        <is>
          <t>KALMAR LÄN</t>
        </is>
      </c>
      <c r="E335" t="inlineStr">
        <is>
          <t>NYBRO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64007-2019</t>
        </is>
      </c>
      <c r="B336" s="1" t="n">
        <v>43796</v>
      </c>
      <c r="C336" s="1" t="n">
        <v>45756</v>
      </c>
      <c r="D336" t="inlineStr">
        <is>
          <t>KALMAR LÄN</t>
        </is>
      </c>
      <c r="E336" t="inlineStr">
        <is>
          <t>NYBRO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64243-2019</t>
        </is>
      </c>
      <c r="B337" s="1" t="n">
        <v>43797</v>
      </c>
      <c r="C337" s="1" t="n">
        <v>45756</v>
      </c>
      <c r="D337" t="inlineStr">
        <is>
          <t>KALMAR LÄN</t>
        </is>
      </c>
      <c r="E337" t="inlineStr">
        <is>
          <t>NYBRO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64367-2019</t>
        </is>
      </c>
      <c r="B338" s="1" t="n">
        <v>43797</v>
      </c>
      <c r="C338" s="1" t="n">
        <v>45756</v>
      </c>
      <c r="D338" t="inlineStr">
        <is>
          <t>KALMAR LÄN</t>
        </is>
      </c>
      <c r="E338" t="inlineStr">
        <is>
          <t>NYBRO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66836-2019</t>
        </is>
      </c>
      <c r="B339" s="1" t="n">
        <v>43804</v>
      </c>
      <c r="C339" s="1" t="n">
        <v>45756</v>
      </c>
      <c r="D339" t="inlineStr">
        <is>
          <t>KALMAR LÄN</t>
        </is>
      </c>
      <c r="E339" t="inlineStr">
        <is>
          <t>NYBRO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66612-2019</t>
        </is>
      </c>
      <c r="B340" s="1" t="n">
        <v>43809</v>
      </c>
      <c r="C340" s="1" t="n">
        <v>45756</v>
      </c>
      <c r="D340" t="inlineStr">
        <is>
          <t>KALMAR LÄN</t>
        </is>
      </c>
      <c r="E340" t="inlineStr">
        <is>
          <t>NYBRO</t>
        </is>
      </c>
      <c r="F340" t="inlineStr">
        <is>
          <t>Kommuner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66683-2019</t>
        </is>
      </c>
      <c r="B341" s="1" t="n">
        <v>43809</v>
      </c>
      <c r="C341" s="1" t="n">
        <v>45756</v>
      </c>
      <c r="D341" t="inlineStr">
        <is>
          <t>KALMAR LÄN</t>
        </is>
      </c>
      <c r="E341" t="inlineStr">
        <is>
          <t>NYBRO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66961-2019</t>
        </is>
      </c>
      <c r="B342" s="1" t="n">
        <v>43810</v>
      </c>
      <c r="C342" s="1" t="n">
        <v>45756</v>
      </c>
      <c r="D342" t="inlineStr">
        <is>
          <t>KALMAR LÄN</t>
        </is>
      </c>
      <c r="E342" t="inlineStr">
        <is>
          <t>NYBRO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67519-2019</t>
        </is>
      </c>
      <c r="B343" s="1" t="n">
        <v>43815</v>
      </c>
      <c r="C343" s="1" t="n">
        <v>45756</v>
      </c>
      <c r="D343" t="inlineStr">
        <is>
          <t>KALMAR LÄN</t>
        </is>
      </c>
      <c r="E343" t="inlineStr">
        <is>
          <t>NYBRO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68803-2019</t>
        </is>
      </c>
      <c r="B344" s="1" t="n">
        <v>43819</v>
      </c>
      <c r="C344" s="1" t="n">
        <v>45756</v>
      </c>
      <c r="D344" t="inlineStr">
        <is>
          <t>KALMAR LÄN</t>
        </is>
      </c>
      <c r="E344" t="inlineStr">
        <is>
          <t>NYBRO</t>
        </is>
      </c>
      <c r="G344" t="n">
        <v>10.2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68873-2019</t>
        </is>
      </c>
      <c r="B345" s="1" t="n">
        <v>43821</v>
      </c>
      <c r="C345" s="1" t="n">
        <v>45756</v>
      </c>
      <c r="D345" t="inlineStr">
        <is>
          <t>KALMAR LÄN</t>
        </is>
      </c>
      <c r="E345" t="inlineStr">
        <is>
          <t>NYBRO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53-2020</t>
        </is>
      </c>
      <c r="B346" s="1" t="n">
        <v>43832</v>
      </c>
      <c r="C346" s="1" t="n">
        <v>45756</v>
      </c>
      <c r="D346" t="inlineStr">
        <is>
          <t>KALMAR LÄN</t>
        </is>
      </c>
      <c r="E346" t="inlineStr">
        <is>
          <t>NYBRO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524-2020</t>
        </is>
      </c>
      <c r="B347" s="1" t="n">
        <v>43837</v>
      </c>
      <c r="C347" s="1" t="n">
        <v>45756</v>
      </c>
      <c r="D347" t="inlineStr">
        <is>
          <t>KALMAR LÄN</t>
        </is>
      </c>
      <c r="E347" t="inlineStr">
        <is>
          <t>NYBRO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825-2020</t>
        </is>
      </c>
      <c r="B348" s="1" t="n">
        <v>43839</v>
      </c>
      <c r="C348" s="1" t="n">
        <v>45756</v>
      </c>
      <c r="D348" t="inlineStr">
        <is>
          <t>KALMAR LÄN</t>
        </is>
      </c>
      <c r="E348" t="inlineStr">
        <is>
          <t>NYBRO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1073-2020</t>
        </is>
      </c>
      <c r="B349" s="1" t="n">
        <v>43840</v>
      </c>
      <c r="C349" s="1" t="n">
        <v>45756</v>
      </c>
      <c r="D349" t="inlineStr">
        <is>
          <t>KALMAR LÄN</t>
        </is>
      </c>
      <c r="E349" t="inlineStr">
        <is>
          <t>NYBRO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1072-2020</t>
        </is>
      </c>
      <c r="B350" s="1" t="n">
        <v>43840</v>
      </c>
      <c r="C350" s="1" t="n">
        <v>45756</v>
      </c>
      <c r="D350" t="inlineStr">
        <is>
          <t>KALMAR LÄN</t>
        </is>
      </c>
      <c r="E350" t="inlineStr">
        <is>
          <t>NYBRO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1292-2020</t>
        </is>
      </c>
      <c r="B351" s="1" t="n">
        <v>43842</v>
      </c>
      <c r="C351" s="1" t="n">
        <v>45756</v>
      </c>
      <c r="D351" t="inlineStr">
        <is>
          <t>KALMAR LÄN</t>
        </is>
      </c>
      <c r="E351" t="inlineStr">
        <is>
          <t>NYBRO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1342-2020</t>
        </is>
      </c>
      <c r="B352" s="1" t="n">
        <v>43843</v>
      </c>
      <c r="C352" s="1" t="n">
        <v>45756</v>
      </c>
      <c r="D352" t="inlineStr">
        <is>
          <t>KALMAR LÄN</t>
        </is>
      </c>
      <c r="E352" t="inlineStr">
        <is>
          <t>NYBRO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1488-2020</t>
        </is>
      </c>
      <c r="B353" s="1" t="n">
        <v>43843</v>
      </c>
      <c r="C353" s="1" t="n">
        <v>45756</v>
      </c>
      <c r="D353" t="inlineStr">
        <is>
          <t>KALMAR LÄN</t>
        </is>
      </c>
      <c r="E353" t="inlineStr">
        <is>
          <t>NYBRO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1479-2020</t>
        </is>
      </c>
      <c r="B354" s="1" t="n">
        <v>43843</v>
      </c>
      <c r="C354" s="1" t="n">
        <v>45756</v>
      </c>
      <c r="D354" t="inlineStr">
        <is>
          <t>KALMAR LÄN</t>
        </is>
      </c>
      <c r="E354" t="inlineStr">
        <is>
          <t>NYBRO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2210-2020</t>
        </is>
      </c>
      <c r="B355" s="1" t="n">
        <v>43846</v>
      </c>
      <c r="C355" s="1" t="n">
        <v>45756</v>
      </c>
      <c r="D355" t="inlineStr">
        <is>
          <t>KALMAR LÄN</t>
        </is>
      </c>
      <c r="E355" t="inlineStr">
        <is>
          <t>NYBRO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2196-2020</t>
        </is>
      </c>
      <c r="B356" s="1" t="n">
        <v>43846</v>
      </c>
      <c r="C356" s="1" t="n">
        <v>45756</v>
      </c>
      <c r="D356" t="inlineStr">
        <is>
          <t>KALMAR LÄN</t>
        </is>
      </c>
      <c r="E356" t="inlineStr">
        <is>
          <t>NYBRO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2206-2020</t>
        </is>
      </c>
      <c r="B357" s="1" t="n">
        <v>43846</v>
      </c>
      <c r="C357" s="1" t="n">
        <v>45756</v>
      </c>
      <c r="D357" t="inlineStr">
        <is>
          <t>KALMAR LÄN</t>
        </is>
      </c>
      <c r="E357" t="inlineStr">
        <is>
          <t>NYBRO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4394-2020</t>
        </is>
      </c>
      <c r="B358" s="1" t="n">
        <v>43847</v>
      </c>
      <c r="C358" s="1" t="n">
        <v>45756</v>
      </c>
      <c r="D358" t="inlineStr">
        <is>
          <t>KALMAR LÄN</t>
        </is>
      </c>
      <c r="E358" t="inlineStr">
        <is>
          <t>NYBRO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2400-2020</t>
        </is>
      </c>
      <c r="B359" s="1" t="n">
        <v>43847</v>
      </c>
      <c r="C359" s="1" t="n">
        <v>45756</v>
      </c>
      <c r="D359" t="inlineStr">
        <is>
          <t>KALMAR LÄN</t>
        </is>
      </c>
      <c r="E359" t="inlineStr">
        <is>
          <t>NYBRO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4489-2020</t>
        </is>
      </c>
      <c r="B360" s="1" t="n">
        <v>43850</v>
      </c>
      <c r="C360" s="1" t="n">
        <v>45756</v>
      </c>
      <c r="D360" t="inlineStr">
        <is>
          <t>KALMAR LÄN</t>
        </is>
      </c>
      <c r="E360" t="inlineStr">
        <is>
          <t>NYBRO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3475-2020</t>
        </is>
      </c>
      <c r="B361" s="1" t="n">
        <v>43852</v>
      </c>
      <c r="C361" s="1" t="n">
        <v>45756</v>
      </c>
      <c r="D361" t="inlineStr">
        <is>
          <t>KALMAR LÄN</t>
        </is>
      </c>
      <c r="E361" t="inlineStr">
        <is>
          <t>NYBRO</t>
        </is>
      </c>
      <c r="G361" t="n">
        <v>11.8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3476-2020</t>
        </is>
      </c>
      <c r="B362" s="1" t="n">
        <v>43852</v>
      </c>
      <c r="C362" s="1" t="n">
        <v>45756</v>
      </c>
      <c r="D362" t="inlineStr">
        <is>
          <t>KALMAR LÄN</t>
        </is>
      </c>
      <c r="E362" t="inlineStr">
        <is>
          <t>NYBRO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3474-2020</t>
        </is>
      </c>
      <c r="B363" s="1" t="n">
        <v>43852</v>
      </c>
      <c r="C363" s="1" t="n">
        <v>45756</v>
      </c>
      <c r="D363" t="inlineStr">
        <is>
          <t>KALMAR LÄN</t>
        </is>
      </c>
      <c r="E363" t="inlineStr">
        <is>
          <t>NYBRO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3636-2020</t>
        </is>
      </c>
      <c r="B364" s="1" t="n">
        <v>43853</v>
      </c>
      <c r="C364" s="1" t="n">
        <v>45756</v>
      </c>
      <c r="D364" t="inlineStr">
        <is>
          <t>KALMAR LÄN</t>
        </is>
      </c>
      <c r="E364" t="inlineStr">
        <is>
          <t>NYBRO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3763-2020</t>
        </is>
      </c>
      <c r="B365" s="1" t="n">
        <v>43854</v>
      </c>
      <c r="C365" s="1" t="n">
        <v>45756</v>
      </c>
      <c r="D365" t="inlineStr">
        <is>
          <t>KALMAR LÄN</t>
        </is>
      </c>
      <c r="E365" t="inlineStr">
        <is>
          <t>NYBRO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3761-2020</t>
        </is>
      </c>
      <c r="B366" s="1" t="n">
        <v>43854</v>
      </c>
      <c r="C366" s="1" t="n">
        <v>45756</v>
      </c>
      <c r="D366" t="inlineStr">
        <is>
          <t>KALMAR LÄN</t>
        </is>
      </c>
      <c r="E366" t="inlineStr">
        <is>
          <t>NYBRO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3765-2020</t>
        </is>
      </c>
      <c r="B367" s="1" t="n">
        <v>43854</v>
      </c>
      <c r="C367" s="1" t="n">
        <v>45756</v>
      </c>
      <c r="D367" t="inlineStr">
        <is>
          <t>KALMAR LÄN</t>
        </is>
      </c>
      <c r="E367" t="inlineStr">
        <is>
          <t>NYBRO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5444-2020</t>
        </is>
      </c>
      <c r="B368" s="1" t="n">
        <v>43859</v>
      </c>
      <c r="C368" s="1" t="n">
        <v>45756</v>
      </c>
      <c r="D368" t="inlineStr">
        <is>
          <t>KALMAR LÄN</t>
        </is>
      </c>
      <c r="E368" t="inlineStr">
        <is>
          <t>NYBRO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5184-2020</t>
        </is>
      </c>
      <c r="B369" s="1" t="n">
        <v>43860</v>
      </c>
      <c r="C369" s="1" t="n">
        <v>45756</v>
      </c>
      <c r="D369" t="inlineStr">
        <is>
          <t>KALMAR LÄN</t>
        </is>
      </c>
      <c r="E369" t="inlineStr">
        <is>
          <t>NYBRO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5638-2020</t>
        </is>
      </c>
      <c r="B370" s="1" t="n">
        <v>43860</v>
      </c>
      <c r="C370" s="1" t="n">
        <v>45756</v>
      </c>
      <c r="D370" t="inlineStr">
        <is>
          <t>KALMAR LÄN</t>
        </is>
      </c>
      <c r="E370" t="inlineStr">
        <is>
          <t>NYBRO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6371-2020</t>
        </is>
      </c>
      <c r="B371" s="1" t="n">
        <v>43865</v>
      </c>
      <c r="C371" s="1" t="n">
        <v>45756</v>
      </c>
      <c r="D371" t="inlineStr">
        <is>
          <t>KALMAR LÄN</t>
        </is>
      </c>
      <c r="E371" t="inlineStr">
        <is>
          <t>NYBRO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6508-2020</t>
        </is>
      </c>
      <c r="B372" s="1" t="n">
        <v>43867</v>
      </c>
      <c r="C372" s="1" t="n">
        <v>45756</v>
      </c>
      <c r="D372" t="inlineStr">
        <is>
          <t>KALMAR LÄN</t>
        </is>
      </c>
      <c r="E372" t="inlineStr">
        <is>
          <t>NYBRO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7557-2020</t>
        </is>
      </c>
      <c r="B373" s="1" t="n">
        <v>43872</v>
      </c>
      <c r="C373" s="1" t="n">
        <v>45756</v>
      </c>
      <c r="D373" t="inlineStr">
        <is>
          <t>KALMAR LÄN</t>
        </is>
      </c>
      <c r="E373" t="inlineStr">
        <is>
          <t>NYBRO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8511-2020</t>
        </is>
      </c>
      <c r="B374" s="1" t="n">
        <v>43875</v>
      </c>
      <c r="C374" s="1" t="n">
        <v>45756</v>
      </c>
      <c r="D374" t="inlineStr">
        <is>
          <t>KALMAR LÄN</t>
        </is>
      </c>
      <c r="E374" t="inlineStr">
        <is>
          <t>NYBRO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8555-2020</t>
        </is>
      </c>
      <c r="B375" s="1" t="n">
        <v>43877</v>
      </c>
      <c r="C375" s="1" t="n">
        <v>45756</v>
      </c>
      <c r="D375" t="inlineStr">
        <is>
          <t>KALMAR LÄN</t>
        </is>
      </c>
      <c r="E375" t="inlineStr">
        <is>
          <t>NYBRO</t>
        </is>
      </c>
      <c r="G375" t="n">
        <v>16.1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8675-2020</t>
        </is>
      </c>
      <c r="B376" s="1" t="n">
        <v>43878</v>
      </c>
      <c r="C376" s="1" t="n">
        <v>45756</v>
      </c>
      <c r="D376" t="inlineStr">
        <is>
          <t>KALMAR LÄN</t>
        </is>
      </c>
      <c r="E376" t="inlineStr">
        <is>
          <t>NYBRO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8645-2020</t>
        </is>
      </c>
      <c r="B377" s="1" t="n">
        <v>43878</v>
      </c>
      <c r="C377" s="1" t="n">
        <v>45756</v>
      </c>
      <c r="D377" t="inlineStr">
        <is>
          <t>KALMAR LÄN</t>
        </is>
      </c>
      <c r="E377" t="inlineStr">
        <is>
          <t>NYBRO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8673-2020</t>
        </is>
      </c>
      <c r="B378" s="1" t="n">
        <v>43878</v>
      </c>
      <c r="C378" s="1" t="n">
        <v>45756</v>
      </c>
      <c r="D378" t="inlineStr">
        <is>
          <t>KALMAR LÄN</t>
        </is>
      </c>
      <c r="E378" t="inlineStr">
        <is>
          <t>NYBRO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9023-2020</t>
        </is>
      </c>
      <c r="B379" s="1" t="n">
        <v>43879</v>
      </c>
      <c r="C379" s="1" t="n">
        <v>45756</v>
      </c>
      <c r="D379" t="inlineStr">
        <is>
          <t>KALMAR LÄN</t>
        </is>
      </c>
      <c r="E379" t="inlineStr">
        <is>
          <t>NYBRO</t>
        </is>
      </c>
      <c r="F379" t="inlineStr">
        <is>
          <t>Kyrkan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9283-2020</t>
        </is>
      </c>
      <c r="B380" s="1" t="n">
        <v>43879</v>
      </c>
      <c r="C380" s="1" t="n">
        <v>45756</v>
      </c>
      <c r="D380" t="inlineStr">
        <is>
          <t>KALMAR LÄN</t>
        </is>
      </c>
      <c r="E380" t="inlineStr">
        <is>
          <t>NYBRO</t>
        </is>
      </c>
      <c r="F380" t="inlineStr">
        <is>
          <t>Kyrkan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9410-2020</t>
        </is>
      </c>
      <c r="B381" s="1" t="n">
        <v>43880</v>
      </c>
      <c r="C381" s="1" t="n">
        <v>45756</v>
      </c>
      <c r="D381" t="inlineStr">
        <is>
          <t>KALMAR LÄN</t>
        </is>
      </c>
      <c r="E381" t="inlineStr">
        <is>
          <t>NYBRO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9434-2020</t>
        </is>
      </c>
      <c r="B382" s="1" t="n">
        <v>43880</v>
      </c>
      <c r="C382" s="1" t="n">
        <v>45756</v>
      </c>
      <c r="D382" t="inlineStr">
        <is>
          <t>KALMAR LÄN</t>
        </is>
      </c>
      <c r="E382" t="inlineStr">
        <is>
          <t>NYBRO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10619-2020</t>
        </is>
      </c>
      <c r="B383" s="1" t="n">
        <v>43887</v>
      </c>
      <c r="C383" s="1" t="n">
        <v>45756</v>
      </c>
      <c r="D383" t="inlineStr">
        <is>
          <t>KALMAR LÄN</t>
        </is>
      </c>
      <c r="E383" t="inlineStr">
        <is>
          <t>NYBRO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10614-2020</t>
        </is>
      </c>
      <c r="B384" s="1" t="n">
        <v>43887</v>
      </c>
      <c r="C384" s="1" t="n">
        <v>45756</v>
      </c>
      <c r="D384" t="inlineStr">
        <is>
          <t>KALMAR LÄN</t>
        </is>
      </c>
      <c r="E384" t="inlineStr">
        <is>
          <t>NYBRO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10672-2020</t>
        </is>
      </c>
      <c r="B385" s="1" t="n">
        <v>43888</v>
      </c>
      <c r="C385" s="1" t="n">
        <v>45756</v>
      </c>
      <c r="D385" t="inlineStr">
        <is>
          <t>KALMAR LÄN</t>
        </is>
      </c>
      <c r="E385" t="inlineStr">
        <is>
          <t>NYBRO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11544-2020</t>
        </is>
      </c>
      <c r="B386" s="1" t="n">
        <v>43893</v>
      </c>
      <c r="C386" s="1" t="n">
        <v>45756</v>
      </c>
      <c r="D386" t="inlineStr">
        <is>
          <t>KALMAR LÄN</t>
        </is>
      </c>
      <c r="E386" t="inlineStr">
        <is>
          <t>NYBRO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12006-2020</t>
        </is>
      </c>
      <c r="B387" s="1" t="n">
        <v>43894</v>
      </c>
      <c r="C387" s="1" t="n">
        <v>45756</v>
      </c>
      <c r="D387" t="inlineStr">
        <is>
          <t>KALMAR LÄN</t>
        </is>
      </c>
      <c r="E387" t="inlineStr">
        <is>
          <t>NYBRO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13619-2020</t>
        </is>
      </c>
      <c r="B388" s="1" t="n">
        <v>43896</v>
      </c>
      <c r="C388" s="1" t="n">
        <v>45756</v>
      </c>
      <c r="D388" t="inlineStr">
        <is>
          <t>KALMAR LÄN</t>
        </is>
      </c>
      <c r="E388" t="inlineStr">
        <is>
          <t>NYBRO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12385-2020</t>
        </is>
      </c>
      <c r="B389" s="1" t="n">
        <v>43896</v>
      </c>
      <c r="C389" s="1" t="n">
        <v>45756</v>
      </c>
      <c r="D389" t="inlineStr">
        <is>
          <t>KALMAR LÄN</t>
        </is>
      </c>
      <c r="E389" t="inlineStr">
        <is>
          <t>NYBRO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12873-2020</t>
        </is>
      </c>
      <c r="B390" s="1" t="n">
        <v>43899</v>
      </c>
      <c r="C390" s="1" t="n">
        <v>45756</v>
      </c>
      <c r="D390" t="inlineStr">
        <is>
          <t>KALMAR LÄN</t>
        </is>
      </c>
      <c r="E390" t="inlineStr">
        <is>
          <t>NYBRO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15839-2020</t>
        </is>
      </c>
      <c r="B391" s="1" t="n">
        <v>43907</v>
      </c>
      <c r="C391" s="1" t="n">
        <v>45756</v>
      </c>
      <c r="D391" t="inlineStr">
        <is>
          <t>KALMAR LÄN</t>
        </is>
      </c>
      <c r="E391" t="inlineStr">
        <is>
          <t>NYBRO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14723-2020</t>
        </is>
      </c>
      <c r="B392" s="1" t="n">
        <v>43908</v>
      </c>
      <c r="C392" s="1" t="n">
        <v>45756</v>
      </c>
      <c r="D392" t="inlineStr">
        <is>
          <t>KALMAR LÄN</t>
        </is>
      </c>
      <c r="E392" t="inlineStr">
        <is>
          <t>NYBRO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16805-2020</t>
        </is>
      </c>
      <c r="B393" s="1" t="n">
        <v>43913</v>
      </c>
      <c r="C393" s="1" t="n">
        <v>45756</v>
      </c>
      <c r="D393" t="inlineStr">
        <is>
          <t>KALMAR LÄN</t>
        </is>
      </c>
      <c r="E393" t="inlineStr">
        <is>
          <t>NYBRO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15414-2020</t>
        </is>
      </c>
      <c r="B394" s="1" t="n">
        <v>43914</v>
      </c>
      <c r="C394" s="1" t="n">
        <v>45756</v>
      </c>
      <c r="D394" t="inlineStr">
        <is>
          <t>KALMAR LÄN</t>
        </is>
      </c>
      <c r="E394" t="inlineStr">
        <is>
          <t>NYBRO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15479-2020</t>
        </is>
      </c>
      <c r="B395" s="1" t="n">
        <v>43914</v>
      </c>
      <c r="C395" s="1" t="n">
        <v>45756</v>
      </c>
      <c r="D395" t="inlineStr">
        <is>
          <t>KALMAR LÄN</t>
        </is>
      </c>
      <c r="E395" t="inlineStr">
        <is>
          <t>NYBRO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16439-2020</t>
        </is>
      </c>
      <c r="B396" s="1" t="n">
        <v>43914</v>
      </c>
      <c r="C396" s="1" t="n">
        <v>45756</v>
      </c>
      <c r="D396" t="inlineStr">
        <is>
          <t>KALMAR LÄN</t>
        </is>
      </c>
      <c r="E396" t="inlineStr">
        <is>
          <t>NYBRO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15985-2020</t>
        </is>
      </c>
      <c r="B397" s="1" t="n">
        <v>43914</v>
      </c>
      <c r="C397" s="1" t="n">
        <v>45756</v>
      </c>
      <c r="D397" t="inlineStr">
        <is>
          <t>KALMAR LÄN</t>
        </is>
      </c>
      <c r="E397" t="inlineStr">
        <is>
          <t>NYBRO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16810-2020</t>
        </is>
      </c>
      <c r="B398" s="1" t="n">
        <v>43914</v>
      </c>
      <c r="C398" s="1" t="n">
        <v>45756</v>
      </c>
      <c r="D398" t="inlineStr">
        <is>
          <t>KALMAR LÄN</t>
        </is>
      </c>
      <c r="E398" t="inlineStr">
        <is>
          <t>NYBRO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15661-2020</t>
        </is>
      </c>
      <c r="B399" s="1" t="n">
        <v>43915</v>
      </c>
      <c r="C399" s="1" t="n">
        <v>45756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16002-2020</t>
        </is>
      </c>
      <c r="B400" s="1" t="n">
        <v>43916</v>
      </c>
      <c r="C400" s="1" t="n">
        <v>45756</v>
      </c>
      <c r="D400" t="inlineStr">
        <is>
          <t>KALMAR LÄN</t>
        </is>
      </c>
      <c r="E400" t="inlineStr">
        <is>
          <t>NYBRO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15995-2020</t>
        </is>
      </c>
      <c r="B401" s="1" t="n">
        <v>43916</v>
      </c>
      <c r="C401" s="1" t="n">
        <v>45756</v>
      </c>
      <c r="D401" t="inlineStr">
        <is>
          <t>KALMAR LÄN</t>
        </is>
      </c>
      <c r="E401" t="inlineStr">
        <is>
          <t>NYBRO</t>
        </is>
      </c>
      <c r="G401" t="n">
        <v>11.7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16168-2020</t>
        </is>
      </c>
      <c r="B402" s="1" t="n">
        <v>43917</v>
      </c>
      <c r="C402" s="1" t="n">
        <v>45756</v>
      </c>
      <c r="D402" t="inlineStr">
        <is>
          <t>KALMAR LÄN</t>
        </is>
      </c>
      <c r="E402" t="inlineStr">
        <is>
          <t>NYBRO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16331-2020</t>
        </is>
      </c>
      <c r="B403" s="1" t="n">
        <v>43917</v>
      </c>
      <c r="C403" s="1" t="n">
        <v>45756</v>
      </c>
      <c r="D403" t="inlineStr">
        <is>
          <t>KALMAR LÄN</t>
        </is>
      </c>
      <c r="E403" t="inlineStr">
        <is>
          <t>NYBRO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16422-2020</t>
        </is>
      </c>
      <c r="B404" s="1" t="n">
        <v>43919</v>
      </c>
      <c r="C404" s="1" t="n">
        <v>45756</v>
      </c>
      <c r="D404" t="inlineStr">
        <is>
          <t>KALMAR LÄN</t>
        </is>
      </c>
      <c r="E404" t="inlineStr">
        <is>
          <t>NYBRO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16565-2020</t>
        </is>
      </c>
      <c r="B405" s="1" t="n">
        <v>43920</v>
      </c>
      <c r="C405" s="1" t="n">
        <v>45756</v>
      </c>
      <c r="D405" t="inlineStr">
        <is>
          <t>KALMAR LÄN</t>
        </is>
      </c>
      <c r="E405" t="inlineStr">
        <is>
          <t>NYBRO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17333-2020</t>
        </is>
      </c>
      <c r="B406" s="1" t="n">
        <v>43922</v>
      </c>
      <c r="C406" s="1" t="n">
        <v>45756</v>
      </c>
      <c r="D406" t="inlineStr">
        <is>
          <t>KALMAR LÄN</t>
        </is>
      </c>
      <c r="E406" t="inlineStr">
        <is>
          <t>NYBRO</t>
        </is>
      </c>
      <c r="F406" t="inlineStr">
        <is>
          <t>Kommuner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17499-2020</t>
        </is>
      </c>
      <c r="B407" s="1" t="n">
        <v>43923</v>
      </c>
      <c r="C407" s="1" t="n">
        <v>45756</v>
      </c>
      <c r="D407" t="inlineStr">
        <is>
          <t>KALMAR LÄN</t>
        </is>
      </c>
      <c r="E407" t="inlineStr">
        <is>
          <t>NYBRO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18716-2020</t>
        </is>
      </c>
      <c r="B408" s="1" t="n">
        <v>43930</v>
      </c>
      <c r="C408" s="1" t="n">
        <v>45756</v>
      </c>
      <c r="D408" t="inlineStr">
        <is>
          <t>KALMAR LÄN</t>
        </is>
      </c>
      <c r="E408" t="inlineStr">
        <is>
          <t>NYBRO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19393-2020</t>
        </is>
      </c>
      <c r="B409" s="1" t="n">
        <v>43938</v>
      </c>
      <c r="C409" s="1" t="n">
        <v>45756</v>
      </c>
      <c r="D409" t="inlineStr">
        <is>
          <t>KALMAR LÄN</t>
        </is>
      </c>
      <c r="E409" t="inlineStr">
        <is>
          <t>NYBRO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19373-2020</t>
        </is>
      </c>
      <c r="B410" s="1" t="n">
        <v>43938</v>
      </c>
      <c r="C410" s="1" t="n">
        <v>45756</v>
      </c>
      <c r="D410" t="inlineStr">
        <is>
          <t>KALMAR LÄN</t>
        </is>
      </c>
      <c r="E410" t="inlineStr">
        <is>
          <t>NYBRO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19391-2020</t>
        </is>
      </c>
      <c r="B411" s="1" t="n">
        <v>43938</v>
      </c>
      <c r="C411" s="1" t="n">
        <v>45756</v>
      </c>
      <c r="D411" t="inlineStr">
        <is>
          <t>KALMAR LÄN</t>
        </is>
      </c>
      <c r="E411" t="inlineStr">
        <is>
          <t>NYBRO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19368-2020</t>
        </is>
      </c>
      <c r="B412" s="1" t="n">
        <v>43938</v>
      </c>
      <c r="C412" s="1" t="n">
        <v>45756</v>
      </c>
      <c r="D412" t="inlineStr">
        <is>
          <t>KALMAR LÄN</t>
        </is>
      </c>
      <c r="E412" t="inlineStr">
        <is>
          <t>NYBRO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20891-2020</t>
        </is>
      </c>
      <c r="B413" s="1" t="n">
        <v>43950</v>
      </c>
      <c r="C413" s="1" t="n">
        <v>45756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21317-2020</t>
        </is>
      </c>
      <c r="B414" s="1" t="n">
        <v>43955</v>
      </c>
      <c r="C414" s="1" t="n">
        <v>45756</v>
      </c>
      <c r="D414" t="inlineStr">
        <is>
          <t>KALMAR LÄN</t>
        </is>
      </c>
      <c r="E414" t="inlineStr">
        <is>
          <t>NYBRO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21333-2020</t>
        </is>
      </c>
      <c r="B415" s="1" t="n">
        <v>43955</v>
      </c>
      <c r="C415" s="1" t="n">
        <v>45756</v>
      </c>
      <c r="D415" t="inlineStr">
        <is>
          <t>KALMAR LÄN</t>
        </is>
      </c>
      <c r="E415" t="inlineStr">
        <is>
          <t>NYBRO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21331-2020</t>
        </is>
      </c>
      <c r="B416" s="1" t="n">
        <v>43955</v>
      </c>
      <c r="C416" s="1" t="n">
        <v>45756</v>
      </c>
      <c r="D416" t="inlineStr">
        <is>
          <t>KALMAR LÄN</t>
        </is>
      </c>
      <c r="E416" t="inlineStr">
        <is>
          <t>NYBRO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21247-2020</t>
        </is>
      </c>
      <c r="B417" s="1" t="n">
        <v>43955</v>
      </c>
      <c r="C417" s="1" t="n">
        <v>45756</v>
      </c>
      <c r="D417" t="inlineStr">
        <is>
          <t>KALMAR LÄN</t>
        </is>
      </c>
      <c r="E417" t="inlineStr">
        <is>
          <t>NYBRO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21457-2020</t>
        </is>
      </c>
      <c r="B418" s="1" t="n">
        <v>43956</v>
      </c>
      <c r="C418" s="1" t="n">
        <v>45756</v>
      </c>
      <c r="D418" t="inlineStr">
        <is>
          <t>KALMAR LÄN</t>
        </is>
      </c>
      <c r="E418" t="inlineStr">
        <is>
          <t>NYBRO</t>
        </is>
      </c>
      <c r="F418" t="inlineStr">
        <is>
          <t>Kommuner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21657-2020</t>
        </is>
      </c>
      <c r="B419" s="1" t="n">
        <v>43957</v>
      </c>
      <c r="C419" s="1" t="n">
        <v>45756</v>
      </c>
      <c r="D419" t="inlineStr">
        <is>
          <t>KALMAR LÄN</t>
        </is>
      </c>
      <c r="E419" t="inlineStr">
        <is>
          <t>NYBRO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21692-2020</t>
        </is>
      </c>
      <c r="B420" s="1" t="n">
        <v>43957</v>
      </c>
      <c r="C420" s="1" t="n">
        <v>45756</v>
      </c>
      <c r="D420" t="inlineStr">
        <is>
          <t>KALMAR LÄN</t>
        </is>
      </c>
      <c r="E420" t="inlineStr">
        <is>
          <t>NYBRO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22306-2020</t>
        </is>
      </c>
      <c r="B421" s="1" t="n">
        <v>43962</v>
      </c>
      <c r="C421" s="1" t="n">
        <v>45756</v>
      </c>
      <c r="D421" t="inlineStr">
        <is>
          <t>KALMAR LÄN</t>
        </is>
      </c>
      <c r="E421" t="inlineStr">
        <is>
          <t>NYBRO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22812-2020</t>
        </is>
      </c>
      <c r="B422" s="1" t="n">
        <v>43964</v>
      </c>
      <c r="C422" s="1" t="n">
        <v>45756</v>
      </c>
      <c r="D422" t="inlineStr">
        <is>
          <t>KALMAR LÄN</t>
        </is>
      </c>
      <c r="E422" t="inlineStr">
        <is>
          <t>NYBRO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23389-2020</t>
        </is>
      </c>
      <c r="B423" s="1" t="n">
        <v>43968</v>
      </c>
      <c r="C423" s="1" t="n">
        <v>45756</v>
      </c>
      <c r="D423" t="inlineStr">
        <is>
          <t>KALMAR LÄN</t>
        </is>
      </c>
      <c r="E423" t="inlineStr">
        <is>
          <t>NYBRO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24005-2020</t>
        </is>
      </c>
      <c r="B424" s="1" t="n">
        <v>43971</v>
      </c>
      <c r="C424" s="1" t="n">
        <v>45756</v>
      </c>
      <c r="D424" t="inlineStr">
        <is>
          <t>KALMAR LÄN</t>
        </is>
      </c>
      <c r="E424" t="inlineStr">
        <is>
          <t>NYBRO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24189-2020</t>
        </is>
      </c>
      <c r="B425" s="1" t="n">
        <v>43973</v>
      </c>
      <c r="C425" s="1" t="n">
        <v>45756</v>
      </c>
      <c r="D425" t="inlineStr">
        <is>
          <t>KALMAR LÄN</t>
        </is>
      </c>
      <c r="E425" t="inlineStr">
        <is>
          <t>NYBRO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24169-2020</t>
        </is>
      </c>
      <c r="B426" s="1" t="n">
        <v>43975</v>
      </c>
      <c r="C426" s="1" t="n">
        <v>45756</v>
      </c>
      <c r="D426" t="inlineStr">
        <is>
          <t>KALMAR LÄN</t>
        </is>
      </c>
      <c r="E426" t="inlineStr">
        <is>
          <t>NYBRO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24168-2020</t>
        </is>
      </c>
      <c r="B427" s="1" t="n">
        <v>43975</v>
      </c>
      <c r="C427" s="1" t="n">
        <v>45756</v>
      </c>
      <c r="D427" t="inlineStr">
        <is>
          <t>KALMAR LÄN</t>
        </is>
      </c>
      <c r="E427" t="inlineStr">
        <is>
          <t>NYBRO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24170-2020</t>
        </is>
      </c>
      <c r="B428" s="1" t="n">
        <v>43975</v>
      </c>
      <c r="C428" s="1" t="n">
        <v>45756</v>
      </c>
      <c r="D428" t="inlineStr">
        <is>
          <t>KALMAR LÄN</t>
        </is>
      </c>
      <c r="E428" t="inlineStr">
        <is>
          <t>NYBRO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25130-2020</t>
        </is>
      </c>
      <c r="B429" s="1" t="n">
        <v>43980</v>
      </c>
      <c r="C429" s="1" t="n">
        <v>45756</v>
      </c>
      <c r="D429" t="inlineStr">
        <is>
          <t>KALMAR LÄN</t>
        </is>
      </c>
      <c r="E429" t="inlineStr">
        <is>
          <t>NYBRO</t>
        </is>
      </c>
      <c r="F429" t="inlineStr">
        <is>
          <t>Kommuner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25943-2020</t>
        </is>
      </c>
      <c r="B430" s="1" t="n">
        <v>43985</v>
      </c>
      <c r="C430" s="1" t="n">
        <v>45756</v>
      </c>
      <c r="D430" t="inlineStr">
        <is>
          <t>KALMAR LÄN</t>
        </is>
      </c>
      <c r="E430" t="inlineStr">
        <is>
          <t>NYBRO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26503-2020</t>
        </is>
      </c>
      <c r="B431" s="1" t="n">
        <v>43987</v>
      </c>
      <c r="C431" s="1" t="n">
        <v>45756</v>
      </c>
      <c r="D431" t="inlineStr">
        <is>
          <t>KALMAR LÄN</t>
        </is>
      </c>
      <c r="E431" t="inlineStr">
        <is>
          <t>NYBRO</t>
        </is>
      </c>
      <c r="F431" t="inlineStr">
        <is>
          <t>Sveaskog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26552-2020</t>
        </is>
      </c>
      <c r="B432" s="1" t="n">
        <v>43987</v>
      </c>
      <c r="C432" s="1" t="n">
        <v>45756</v>
      </c>
      <c r="D432" t="inlineStr">
        <is>
          <t>KALMAR LÄN</t>
        </is>
      </c>
      <c r="E432" t="inlineStr">
        <is>
          <t>NYBRO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27210-2020</t>
        </is>
      </c>
      <c r="B433" s="1" t="n">
        <v>43991</v>
      </c>
      <c r="C433" s="1" t="n">
        <v>45756</v>
      </c>
      <c r="D433" t="inlineStr">
        <is>
          <t>KALMAR LÄN</t>
        </is>
      </c>
      <c r="E433" t="inlineStr">
        <is>
          <t>NYBRO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27211-2020</t>
        </is>
      </c>
      <c r="B434" s="1" t="n">
        <v>43991</v>
      </c>
      <c r="C434" s="1" t="n">
        <v>45756</v>
      </c>
      <c r="D434" t="inlineStr">
        <is>
          <t>KALMAR LÄN</t>
        </is>
      </c>
      <c r="E434" t="inlineStr">
        <is>
          <t>NYBRO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27567-2020</t>
        </is>
      </c>
      <c r="B435" s="1" t="n">
        <v>43993</v>
      </c>
      <c r="C435" s="1" t="n">
        <v>45756</v>
      </c>
      <c r="D435" t="inlineStr">
        <is>
          <t>KALMAR LÄN</t>
        </is>
      </c>
      <c r="E435" t="inlineStr">
        <is>
          <t>NYBRO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29397-2020</t>
        </is>
      </c>
      <c r="B436" s="1" t="n">
        <v>44004</v>
      </c>
      <c r="C436" s="1" t="n">
        <v>45756</v>
      </c>
      <c r="D436" t="inlineStr">
        <is>
          <t>KALMAR LÄN</t>
        </is>
      </c>
      <c r="E436" t="inlineStr">
        <is>
          <t>NYBRO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29387-2020</t>
        </is>
      </c>
      <c r="B437" s="1" t="n">
        <v>44004</v>
      </c>
      <c r="C437" s="1" t="n">
        <v>45756</v>
      </c>
      <c r="D437" t="inlineStr">
        <is>
          <t>KALMAR LÄN</t>
        </is>
      </c>
      <c r="E437" t="inlineStr">
        <is>
          <t>NYBRO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29392-2020</t>
        </is>
      </c>
      <c r="B438" s="1" t="n">
        <v>44004</v>
      </c>
      <c r="C438" s="1" t="n">
        <v>45756</v>
      </c>
      <c r="D438" t="inlineStr">
        <is>
          <t>KALMAR LÄN</t>
        </is>
      </c>
      <c r="E438" t="inlineStr">
        <is>
          <t>NYBRO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29712-2020</t>
        </is>
      </c>
      <c r="B439" s="1" t="n">
        <v>44005</v>
      </c>
      <c r="C439" s="1" t="n">
        <v>45756</v>
      </c>
      <c r="D439" t="inlineStr">
        <is>
          <t>KALMAR LÄN</t>
        </is>
      </c>
      <c r="E439" t="inlineStr">
        <is>
          <t>NYBRO</t>
        </is>
      </c>
      <c r="G439" t="n">
        <v>27.9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29717-2020</t>
        </is>
      </c>
      <c r="B440" s="1" t="n">
        <v>44005</v>
      </c>
      <c r="C440" s="1" t="n">
        <v>45756</v>
      </c>
      <c r="D440" t="inlineStr">
        <is>
          <t>KALMAR LÄN</t>
        </is>
      </c>
      <c r="E440" t="inlineStr">
        <is>
          <t>NYBRO</t>
        </is>
      </c>
      <c r="G440" t="n">
        <v>23.3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30039-2020</t>
        </is>
      </c>
      <c r="B441" s="1" t="n">
        <v>44006</v>
      </c>
      <c r="C441" s="1" t="n">
        <v>45756</v>
      </c>
      <c r="D441" t="inlineStr">
        <is>
          <t>KALMAR LÄN</t>
        </is>
      </c>
      <c r="E441" t="inlineStr">
        <is>
          <t>NYBRO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30775-2020</t>
        </is>
      </c>
      <c r="B442" s="1" t="n">
        <v>44009</v>
      </c>
      <c r="C442" s="1" t="n">
        <v>45756</v>
      </c>
      <c r="D442" t="inlineStr">
        <is>
          <t>KALMAR LÄN</t>
        </is>
      </c>
      <c r="E442" t="inlineStr">
        <is>
          <t>NYBRO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30774-2020</t>
        </is>
      </c>
      <c r="B443" s="1" t="n">
        <v>44009</v>
      </c>
      <c r="C443" s="1" t="n">
        <v>45756</v>
      </c>
      <c r="D443" t="inlineStr">
        <is>
          <t>KALMAR LÄN</t>
        </is>
      </c>
      <c r="E443" t="inlineStr">
        <is>
          <t>NYBRO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30773-2020</t>
        </is>
      </c>
      <c r="B444" s="1" t="n">
        <v>44009</v>
      </c>
      <c r="C444" s="1" t="n">
        <v>45756</v>
      </c>
      <c r="D444" t="inlineStr">
        <is>
          <t>KALMAR LÄN</t>
        </is>
      </c>
      <c r="E444" t="inlineStr">
        <is>
          <t>NYBRO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31259-2020</t>
        </is>
      </c>
      <c r="B445" s="1" t="n">
        <v>44012</v>
      </c>
      <c r="C445" s="1" t="n">
        <v>45756</v>
      </c>
      <c r="D445" t="inlineStr">
        <is>
          <t>KALMAR LÄN</t>
        </is>
      </c>
      <c r="E445" t="inlineStr">
        <is>
          <t>NYBRO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31687-2020</t>
        </is>
      </c>
      <c r="B446" s="1" t="n">
        <v>44014</v>
      </c>
      <c r="C446" s="1" t="n">
        <v>45756</v>
      </c>
      <c r="D446" t="inlineStr">
        <is>
          <t>KALMAR LÄN</t>
        </is>
      </c>
      <c r="E446" t="inlineStr">
        <is>
          <t>NYBRO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32395-2020</t>
        </is>
      </c>
      <c r="B447" s="1" t="n">
        <v>44018</v>
      </c>
      <c r="C447" s="1" t="n">
        <v>45756</v>
      </c>
      <c r="D447" t="inlineStr">
        <is>
          <t>KALMAR LÄN</t>
        </is>
      </c>
      <c r="E447" t="inlineStr">
        <is>
          <t>NYBRO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32502-2020</t>
        </is>
      </c>
      <c r="B448" s="1" t="n">
        <v>44018</v>
      </c>
      <c r="C448" s="1" t="n">
        <v>45756</v>
      </c>
      <c r="D448" t="inlineStr">
        <is>
          <t>KALMAR LÄN</t>
        </is>
      </c>
      <c r="E448" t="inlineStr">
        <is>
          <t>NYBRO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32828-2020</t>
        </is>
      </c>
      <c r="B449" s="1" t="n">
        <v>44020</v>
      </c>
      <c r="C449" s="1" t="n">
        <v>45756</v>
      </c>
      <c r="D449" t="inlineStr">
        <is>
          <t>KALMAR LÄN</t>
        </is>
      </c>
      <c r="E449" t="inlineStr">
        <is>
          <t>NYBRO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33122-2020</t>
        </is>
      </c>
      <c r="B450" s="1" t="n">
        <v>44021</v>
      </c>
      <c r="C450" s="1" t="n">
        <v>45756</v>
      </c>
      <c r="D450" t="inlineStr">
        <is>
          <t>KALMAR LÄN</t>
        </is>
      </c>
      <c r="E450" t="inlineStr">
        <is>
          <t>NYBRO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33121-2020</t>
        </is>
      </c>
      <c r="B451" s="1" t="n">
        <v>44021</v>
      </c>
      <c r="C451" s="1" t="n">
        <v>45756</v>
      </c>
      <c r="D451" t="inlineStr">
        <is>
          <t>KALMAR LÄN</t>
        </is>
      </c>
      <c r="E451" t="inlineStr">
        <is>
          <t>NYBRO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33608-2020</t>
        </is>
      </c>
      <c r="B452" s="1" t="n">
        <v>44025</v>
      </c>
      <c r="C452" s="1" t="n">
        <v>45756</v>
      </c>
      <c r="D452" t="inlineStr">
        <is>
          <t>KALMAR LÄN</t>
        </is>
      </c>
      <c r="E452" t="inlineStr">
        <is>
          <t>NYBRO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33962-2020</t>
        </is>
      </c>
      <c r="B453" s="1" t="n">
        <v>44026</v>
      </c>
      <c r="C453" s="1" t="n">
        <v>45756</v>
      </c>
      <c r="D453" t="inlineStr">
        <is>
          <t>KALMAR LÄN</t>
        </is>
      </c>
      <c r="E453" t="inlineStr">
        <is>
          <t>NYBRO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34773-2020</t>
        </is>
      </c>
      <c r="B454" s="1" t="n">
        <v>44035</v>
      </c>
      <c r="C454" s="1" t="n">
        <v>45756</v>
      </c>
      <c r="D454" t="inlineStr">
        <is>
          <t>KALMAR LÄN</t>
        </is>
      </c>
      <c r="E454" t="inlineStr">
        <is>
          <t>NYBRO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35709-2020</t>
        </is>
      </c>
      <c r="B455" s="1" t="n">
        <v>44046</v>
      </c>
      <c r="C455" s="1" t="n">
        <v>45756</v>
      </c>
      <c r="D455" t="inlineStr">
        <is>
          <t>KALMAR LÄN</t>
        </is>
      </c>
      <c r="E455" t="inlineStr">
        <is>
          <t>NYBRO</t>
        </is>
      </c>
      <c r="F455" t="inlineStr">
        <is>
          <t>Kommuner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36559-2020</t>
        </is>
      </c>
      <c r="B456" s="1" t="n">
        <v>44050</v>
      </c>
      <c r="C456" s="1" t="n">
        <v>45756</v>
      </c>
      <c r="D456" t="inlineStr">
        <is>
          <t>KALMAR LÄN</t>
        </is>
      </c>
      <c r="E456" t="inlineStr">
        <is>
          <t>NYBRO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36558-2020</t>
        </is>
      </c>
      <c r="B457" s="1" t="n">
        <v>44050</v>
      </c>
      <c r="C457" s="1" t="n">
        <v>45756</v>
      </c>
      <c r="D457" t="inlineStr">
        <is>
          <t>KALMAR LÄN</t>
        </is>
      </c>
      <c r="E457" t="inlineStr">
        <is>
          <t>NYBRO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36745-2020</t>
        </is>
      </c>
      <c r="B458" s="1" t="n">
        <v>44053</v>
      </c>
      <c r="C458" s="1" t="n">
        <v>45756</v>
      </c>
      <c r="D458" t="inlineStr">
        <is>
          <t>KALMAR LÄN</t>
        </is>
      </c>
      <c r="E458" t="inlineStr">
        <is>
          <t>NYBRO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37130-2020</t>
        </is>
      </c>
      <c r="B459" s="1" t="n">
        <v>44054</v>
      </c>
      <c r="C459" s="1" t="n">
        <v>45756</v>
      </c>
      <c r="D459" t="inlineStr">
        <is>
          <t>KALMAR LÄN</t>
        </is>
      </c>
      <c r="E459" t="inlineStr">
        <is>
          <t>NYBRO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37745-2020</t>
        </is>
      </c>
      <c r="B460" s="1" t="n">
        <v>44056</v>
      </c>
      <c r="C460" s="1" t="n">
        <v>45756</v>
      </c>
      <c r="D460" t="inlineStr">
        <is>
          <t>KALMAR LÄN</t>
        </is>
      </c>
      <c r="E460" t="inlineStr">
        <is>
          <t>NYBRO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37651-2020</t>
        </is>
      </c>
      <c r="B461" s="1" t="n">
        <v>44056</v>
      </c>
      <c r="C461" s="1" t="n">
        <v>45756</v>
      </c>
      <c r="D461" t="inlineStr">
        <is>
          <t>KALMAR LÄN</t>
        </is>
      </c>
      <c r="E461" t="inlineStr">
        <is>
          <t>NYBRO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37939-2020</t>
        </is>
      </c>
      <c r="B462" s="1" t="n">
        <v>44057</v>
      </c>
      <c r="C462" s="1" t="n">
        <v>45756</v>
      </c>
      <c r="D462" t="inlineStr">
        <is>
          <t>KALMAR LÄN</t>
        </is>
      </c>
      <c r="E462" t="inlineStr">
        <is>
          <t>NYBRO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38134-2020</t>
        </is>
      </c>
      <c r="B463" s="1" t="n">
        <v>44059</v>
      </c>
      <c r="C463" s="1" t="n">
        <v>45756</v>
      </c>
      <c r="D463" t="inlineStr">
        <is>
          <t>KALMAR LÄN</t>
        </is>
      </c>
      <c r="E463" t="inlineStr">
        <is>
          <t>NYBRO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38210-2020</t>
        </is>
      </c>
      <c r="B464" s="1" t="n">
        <v>44060</v>
      </c>
      <c r="C464" s="1" t="n">
        <v>45756</v>
      </c>
      <c r="D464" t="inlineStr">
        <is>
          <t>KALMAR LÄN</t>
        </is>
      </c>
      <c r="E464" t="inlineStr">
        <is>
          <t>NYBRO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38222-2020</t>
        </is>
      </c>
      <c r="B465" s="1" t="n">
        <v>44060</v>
      </c>
      <c r="C465" s="1" t="n">
        <v>45756</v>
      </c>
      <c r="D465" t="inlineStr">
        <is>
          <t>KALMAR LÄN</t>
        </is>
      </c>
      <c r="E465" t="inlineStr">
        <is>
          <t>NYBRO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39395-2020</t>
        </is>
      </c>
      <c r="B466" s="1" t="n">
        <v>44064</v>
      </c>
      <c r="C466" s="1" t="n">
        <v>45756</v>
      </c>
      <c r="D466" t="inlineStr">
        <is>
          <t>KALMAR LÄN</t>
        </is>
      </c>
      <c r="E466" t="inlineStr">
        <is>
          <t>NYBRO</t>
        </is>
      </c>
      <c r="G466" t="n">
        <v>19.3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41062-2020</t>
        </is>
      </c>
      <c r="B467" s="1" t="n">
        <v>44071</v>
      </c>
      <c r="C467" s="1" t="n">
        <v>45756</v>
      </c>
      <c r="D467" t="inlineStr">
        <is>
          <t>KALMAR LÄN</t>
        </is>
      </c>
      <c r="E467" t="inlineStr">
        <is>
          <t>NYBRO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41426-2020</t>
        </is>
      </c>
      <c r="B468" s="1" t="n">
        <v>44073</v>
      </c>
      <c r="C468" s="1" t="n">
        <v>45756</v>
      </c>
      <c r="D468" t="inlineStr">
        <is>
          <t>KALMAR LÄN</t>
        </is>
      </c>
      <c r="E468" t="inlineStr">
        <is>
          <t>NYBRO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41427-2020</t>
        </is>
      </c>
      <c r="B469" s="1" t="n">
        <v>44073</v>
      </c>
      <c r="C469" s="1" t="n">
        <v>45756</v>
      </c>
      <c r="D469" t="inlineStr">
        <is>
          <t>KALMAR LÄN</t>
        </is>
      </c>
      <c r="E469" t="inlineStr">
        <is>
          <t>NYBRO</t>
        </is>
      </c>
      <c r="G469" t="n">
        <v>11.4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41425-2020</t>
        </is>
      </c>
      <c r="B470" s="1" t="n">
        <v>44073</v>
      </c>
      <c r="C470" s="1" t="n">
        <v>45756</v>
      </c>
      <c r="D470" t="inlineStr">
        <is>
          <t>KALMAR LÄN</t>
        </is>
      </c>
      <c r="E470" t="inlineStr">
        <is>
          <t>NYBRO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42090-2020</t>
        </is>
      </c>
      <c r="B471" s="1" t="n">
        <v>44074</v>
      </c>
      <c r="C471" s="1" t="n">
        <v>45756</v>
      </c>
      <c r="D471" t="inlineStr">
        <is>
          <t>KALMAR LÄN</t>
        </is>
      </c>
      <c r="E471" t="inlineStr">
        <is>
          <t>NYBRO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41959-2020</t>
        </is>
      </c>
      <c r="B472" s="1" t="n">
        <v>44075</v>
      </c>
      <c r="C472" s="1" t="n">
        <v>45756</v>
      </c>
      <c r="D472" t="inlineStr">
        <is>
          <t>KALMAR LÄN</t>
        </is>
      </c>
      <c r="E472" t="inlineStr">
        <is>
          <t>NYBRO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42114-2020</t>
        </is>
      </c>
      <c r="B473" s="1" t="n">
        <v>44075</v>
      </c>
      <c r="C473" s="1" t="n">
        <v>45756</v>
      </c>
      <c r="D473" t="inlineStr">
        <is>
          <t>KALMAR LÄN</t>
        </is>
      </c>
      <c r="E473" t="inlineStr">
        <is>
          <t>NYBRO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42240-2020</t>
        </is>
      </c>
      <c r="B474" s="1" t="n">
        <v>44076</v>
      </c>
      <c r="C474" s="1" t="n">
        <v>45756</v>
      </c>
      <c r="D474" t="inlineStr">
        <is>
          <t>KALMAR LÄN</t>
        </is>
      </c>
      <c r="E474" t="inlineStr">
        <is>
          <t>NYBRO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42604-2020</t>
        </is>
      </c>
      <c r="B475" s="1" t="n">
        <v>44077</v>
      </c>
      <c r="C475" s="1" t="n">
        <v>45756</v>
      </c>
      <c r="D475" t="inlineStr">
        <is>
          <t>KALMAR LÄN</t>
        </is>
      </c>
      <c r="E475" t="inlineStr">
        <is>
          <t>NYBRO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42804-2020</t>
        </is>
      </c>
      <c r="B476" s="1" t="n">
        <v>44078</v>
      </c>
      <c r="C476" s="1" t="n">
        <v>45756</v>
      </c>
      <c r="D476" t="inlineStr">
        <is>
          <t>KALMAR LÄN</t>
        </is>
      </c>
      <c r="E476" t="inlineStr">
        <is>
          <t>NYBRO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44048-2020</t>
        </is>
      </c>
      <c r="B477" s="1" t="n">
        <v>44083</v>
      </c>
      <c r="C477" s="1" t="n">
        <v>45756</v>
      </c>
      <c r="D477" t="inlineStr">
        <is>
          <t>KALMAR LÄN</t>
        </is>
      </c>
      <c r="E477" t="inlineStr">
        <is>
          <t>NYBRO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44038-2020</t>
        </is>
      </c>
      <c r="B478" s="1" t="n">
        <v>44083</v>
      </c>
      <c r="C478" s="1" t="n">
        <v>45756</v>
      </c>
      <c r="D478" t="inlineStr">
        <is>
          <t>KALMAR LÄN</t>
        </is>
      </c>
      <c r="E478" t="inlineStr">
        <is>
          <t>NYBRO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44174-2020</t>
        </is>
      </c>
      <c r="B479" s="1" t="n">
        <v>44083</v>
      </c>
      <c r="C479" s="1" t="n">
        <v>45756</v>
      </c>
      <c r="D479" t="inlineStr">
        <is>
          <t>KALMAR LÄN</t>
        </is>
      </c>
      <c r="E479" t="inlineStr">
        <is>
          <t>NYBRO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45115-2020</t>
        </is>
      </c>
      <c r="B480" s="1" t="n">
        <v>44083</v>
      </c>
      <c r="C480" s="1" t="n">
        <v>45756</v>
      </c>
      <c r="D480" t="inlineStr">
        <is>
          <t>KALMAR LÄN</t>
        </is>
      </c>
      <c r="E480" t="inlineStr">
        <is>
          <t>NYBRO</t>
        </is>
      </c>
      <c r="F480" t="inlineStr">
        <is>
          <t>Kyrkan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44444-2020</t>
        </is>
      </c>
      <c r="B481" s="1" t="n">
        <v>44084</v>
      </c>
      <c r="C481" s="1" t="n">
        <v>45756</v>
      </c>
      <c r="D481" t="inlineStr">
        <is>
          <t>KALMAR LÄN</t>
        </is>
      </c>
      <c r="E481" t="inlineStr">
        <is>
          <t>NYBRO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44438-2020</t>
        </is>
      </c>
      <c r="B482" s="1" t="n">
        <v>44084</v>
      </c>
      <c r="C482" s="1" t="n">
        <v>45756</v>
      </c>
      <c r="D482" t="inlineStr">
        <is>
          <t>KALMAR LÄN</t>
        </is>
      </c>
      <c r="E482" t="inlineStr">
        <is>
          <t>NYBRO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44445-2020</t>
        </is>
      </c>
      <c r="B483" s="1" t="n">
        <v>44084</v>
      </c>
      <c r="C483" s="1" t="n">
        <v>45756</v>
      </c>
      <c r="D483" t="inlineStr">
        <is>
          <t>KALMAR LÄN</t>
        </is>
      </c>
      <c r="E483" t="inlineStr">
        <is>
          <t>NYBRO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44441-2020</t>
        </is>
      </c>
      <c r="B484" s="1" t="n">
        <v>44084</v>
      </c>
      <c r="C484" s="1" t="n">
        <v>45756</v>
      </c>
      <c r="D484" t="inlineStr">
        <is>
          <t>KALMAR LÄN</t>
        </is>
      </c>
      <c r="E484" t="inlineStr">
        <is>
          <t>NYBRO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45077-2020</t>
        </is>
      </c>
      <c r="B485" s="1" t="n">
        <v>44088</v>
      </c>
      <c r="C485" s="1" t="n">
        <v>45756</v>
      </c>
      <c r="D485" t="inlineStr">
        <is>
          <t>KALMAR LÄN</t>
        </is>
      </c>
      <c r="E485" t="inlineStr">
        <is>
          <t>NYBRO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46106-2020</t>
        </is>
      </c>
      <c r="B486" s="1" t="n">
        <v>44088</v>
      </c>
      <c r="C486" s="1" t="n">
        <v>45756</v>
      </c>
      <c r="D486" t="inlineStr">
        <is>
          <t>KALMAR LÄN</t>
        </is>
      </c>
      <c r="E486" t="inlineStr">
        <is>
          <t>NYBRO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45276-2020</t>
        </is>
      </c>
      <c r="B487" s="1" t="n">
        <v>44089</v>
      </c>
      <c r="C487" s="1" t="n">
        <v>45756</v>
      </c>
      <c r="D487" t="inlineStr">
        <is>
          <t>KALMAR LÄN</t>
        </is>
      </c>
      <c r="E487" t="inlineStr">
        <is>
          <t>NYBRO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46678-2020</t>
        </is>
      </c>
      <c r="B488" s="1" t="n">
        <v>44089</v>
      </c>
      <c r="C488" s="1" t="n">
        <v>45756</v>
      </c>
      <c r="D488" t="inlineStr">
        <is>
          <t>KALMAR LÄN</t>
        </is>
      </c>
      <c r="E488" t="inlineStr">
        <is>
          <t>NYBRO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46173-2020</t>
        </is>
      </c>
      <c r="B489" s="1" t="n">
        <v>44092</v>
      </c>
      <c r="C489" s="1" t="n">
        <v>45756</v>
      </c>
      <c r="D489" t="inlineStr">
        <is>
          <t>KALMAR LÄN</t>
        </is>
      </c>
      <c r="E489" t="inlineStr">
        <is>
          <t>NYBRO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48119-2020</t>
        </is>
      </c>
      <c r="B490" s="1" t="n">
        <v>44102</v>
      </c>
      <c r="C490" s="1" t="n">
        <v>45756</v>
      </c>
      <c r="D490" t="inlineStr">
        <is>
          <t>KALMAR LÄN</t>
        </is>
      </c>
      <c r="E490" t="inlineStr">
        <is>
          <t>NYBRO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49021-2020</t>
        </is>
      </c>
      <c r="B491" s="1" t="n">
        <v>44104</v>
      </c>
      <c r="C491" s="1" t="n">
        <v>45756</v>
      </c>
      <c r="D491" t="inlineStr">
        <is>
          <t>KALMAR LÄN</t>
        </is>
      </c>
      <c r="E491" t="inlineStr">
        <is>
          <t>NYBRO</t>
        </is>
      </c>
      <c r="F491" t="inlineStr">
        <is>
          <t>Sveaskog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50355-2020</t>
        </is>
      </c>
      <c r="B492" s="1" t="n">
        <v>44110</v>
      </c>
      <c r="C492" s="1" t="n">
        <v>45756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52387-2020</t>
        </is>
      </c>
      <c r="B493" s="1" t="n">
        <v>44112</v>
      </c>
      <c r="C493" s="1" t="n">
        <v>45756</v>
      </c>
      <c r="D493" t="inlineStr">
        <is>
          <t>KALMAR LÄN</t>
        </is>
      </c>
      <c r="E493" t="inlineStr">
        <is>
          <t>NYBRO</t>
        </is>
      </c>
      <c r="G493" t="n">
        <v>13.3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53043-2020</t>
        </is>
      </c>
      <c r="B494" s="1" t="n">
        <v>44120</v>
      </c>
      <c r="C494" s="1" t="n">
        <v>45756</v>
      </c>
      <c r="D494" t="inlineStr">
        <is>
          <t>KALMAR LÄN</t>
        </is>
      </c>
      <c r="E494" t="inlineStr">
        <is>
          <t>NYBRO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53089-2020</t>
        </is>
      </c>
      <c r="B495" s="1" t="n">
        <v>44120</v>
      </c>
      <c r="C495" s="1" t="n">
        <v>45756</v>
      </c>
      <c r="D495" t="inlineStr">
        <is>
          <t>KALMAR LÄN</t>
        </is>
      </c>
      <c r="E495" t="inlineStr">
        <is>
          <t>NYBRO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53158-2020</t>
        </is>
      </c>
      <c r="B496" s="1" t="n">
        <v>44120</v>
      </c>
      <c r="C496" s="1" t="n">
        <v>45756</v>
      </c>
      <c r="D496" t="inlineStr">
        <is>
          <t>KALMAR LÄN</t>
        </is>
      </c>
      <c r="E496" t="inlineStr">
        <is>
          <t>NYBRO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53160-2020</t>
        </is>
      </c>
      <c r="B497" s="1" t="n">
        <v>44120</v>
      </c>
      <c r="C497" s="1" t="n">
        <v>45756</v>
      </c>
      <c r="D497" t="inlineStr">
        <is>
          <t>KALMAR LÄN</t>
        </is>
      </c>
      <c r="E497" t="inlineStr">
        <is>
          <t>NYBRO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53222-2020</t>
        </is>
      </c>
      <c r="B498" s="1" t="n">
        <v>44123</v>
      </c>
      <c r="C498" s="1" t="n">
        <v>45756</v>
      </c>
      <c r="D498" t="inlineStr">
        <is>
          <t>KALMAR LÄN</t>
        </is>
      </c>
      <c r="E498" t="inlineStr">
        <is>
          <t>NYBRO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54001-2020</t>
        </is>
      </c>
      <c r="B499" s="1" t="n">
        <v>44125</v>
      </c>
      <c r="C499" s="1" t="n">
        <v>45756</v>
      </c>
      <c r="D499" t="inlineStr">
        <is>
          <t>KALMAR LÄN</t>
        </is>
      </c>
      <c r="E499" t="inlineStr">
        <is>
          <t>NYBRO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53924-2020</t>
        </is>
      </c>
      <c r="B500" s="1" t="n">
        <v>44125</v>
      </c>
      <c r="C500" s="1" t="n">
        <v>45756</v>
      </c>
      <c r="D500" t="inlineStr">
        <is>
          <t>KALMAR LÄN</t>
        </is>
      </c>
      <c r="E500" t="inlineStr">
        <is>
          <t>NYBRO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55046-2020</t>
        </is>
      </c>
      <c r="B501" s="1" t="n">
        <v>44130</v>
      </c>
      <c r="C501" s="1" t="n">
        <v>45756</v>
      </c>
      <c r="D501" t="inlineStr">
        <is>
          <t>KALMAR LÄN</t>
        </is>
      </c>
      <c r="E501" t="inlineStr">
        <is>
          <t>NYBRO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55042-2020</t>
        </is>
      </c>
      <c r="B502" s="1" t="n">
        <v>44130</v>
      </c>
      <c r="C502" s="1" t="n">
        <v>45756</v>
      </c>
      <c r="D502" t="inlineStr">
        <is>
          <t>KALMAR LÄN</t>
        </is>
      </c>
      <c r="E502" t="inlineStr">
        <is>
          <t>NYBRO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55455-2020</t>
        </is>
      </c>
      <c r="B503" s="1" t="n">
        <v>44131</v>
      </c>
      <c r="C503" s="1" t="n">
        <v>45756</v>
      </c>
      <c r="D503" t="inlineStr">
        <is>
          <t>KALMAR LÄN</t>
        </is>
      </c>
      <c r="E503" t="inlineStr">
        <is>
          <t>NYBRO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56385-2020</t>
        </is>
      </c>
      <c r="B504" s="1" t="n">
        <v>44136</v>
      </c>
      <c r="C504" s="1" t="n">
        <v>45756</v>
      </c>
      <c r="D504" t="inlineStr">
        <is>
          <t>KALMAR LÄN</t>
        </is>
      </c>
      <c r="E504" t="inlineStr">
        <is>
          <t>NYBRO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56551-2020</t>
        </is>
      </c>
      <c r="B505" s="1" t="n">
        <v>44137</v>
      </c>
      <c r="C505" s="1" t="n">
        <v>45756</v>
      </c>
      <c r="D505" t="inlineStr">
        <is>
          <t>KALMAR LÄN</t>
        </is>
      </c>
      <c r="E505" t="inlineStr">
        <is>
          <t>NYBRO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56714-2020</t>
        </is>
      </c>
      <c r="B506" s="1" t="n">
        <v>44137</v>
      </c>
      <c r="C506" s="1" t="n">
        <v>45756</v>
      </c>
      <c r="D506" t="inlineStr">
        <is>
          <t>KALMAR LÄN</t>
        </is>
      </c>
      <c r="E506" t="inlineStr">
        <is>
          <t>NYBRO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56987-2020</t>
        </is>
      </c>
      <c r="B507" s="1" t="n">
        <v>44137</v>
      </c>
      <c r="C507" s="1" t="n">
        <v>45756</v>
      </c>
      <c r="D507" t="inlineStr">
        <is>
          <t>KALMAR LÄN</t>
        </is>
      </c>
      <c r="E507" t="inlineStr">
        <is>
          <t>NYBRO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56989-2020</t>
        </is>
      </c>
      <c r="B508" s="1" t="n">
        <v>44137</v>
      </c>
      <c r="C508" s="1" t="n">
        <v>45756</v>
      </c>
      <c r="D508" t="inlineStr">
        <is>
          <t>KALMAR LÄN</t>
        </is>
      </c>
      <c r="E508" t="inlineStr">
        <is>
          <t>NYBRO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56841-2020</t>
        </is>
      </c>
      <c r="B509" s="1" t="n">
        <v>44138</v>
      </c>
      <c r="C509" s="1" t="n">
        <v>45756</v>
      </c>
      <c r="D509" t="inlineStr">
        <is>
          <t>KALMAR LÄN</t>
        </is>
      </c>
      <c r="E509" t="inlineStr">
        <is>
          <t>NYBRO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60381-2020</t>
        </is>
      </c>
      <c r="B510" s="1" t="n">
        <v>44152</v>
      </c>
      <c r="C510" s="1" t="n">
        <v>45756</v>
      </c>
      <c r="D510" t="inlineStr">
        <is>
          <t>KALMAR LÄN</t>
        </is>
      </c>
      <c r="E510" t="inlineStr">
        <is>
          <t>NYBRO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61570-2020</t>
        </is>
      </c>
      <c r="B511" s="1" t="n">
        <v>44158</v>
      </c>
      <c r="C511" s="1" t="n">
        <v>45756</v>
      </c>
      <c r="D511" t="inlineStr">
        <is>
          <t>KALMAR LÄN</t>
        </is>
      </c>
      <c r="E511" t="inlineStr">
        <is>
          <t>NYBRO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62293-2020</t>
        </is>
      </c>
      <c r="B512" s="1" t="n">
        <v>44160</v>
      </c>
      <c r="C512" s="1" t="n">
        <v>45756</v>
      </c>
      <c r="D512" t="inlineStr">
        <is>
          <t>KALMAR LÄN</t>
        </is>
      </c>
      <c r="E512" t="inlineStr">
        <is>
          <t>NYBRO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63414-2020</t>
        </is>
      </c>
      <c r="B513" s="1" t="n">
        <v>44160</v>
      </c>
      <c r="C513" s="1" t="n">
        <v>45756</v>
      </c>
      <c r="D513" t="inlineStr">
        <is>
          <t>KALMAR LÄN</t>
        </is>
      </c>
      <c r="E513" t="inlineStr">
        <is>
          <t>NYBRO</t>
        </is>
      </c>
      <c r="F513" t="inlineStr">
        <is>
          <t>Kyrkan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62677-2020</t>
        </is>
      </c>
      <c r="B514" s="1" t="n">
        <v>44161</v>
      </c>
      <c r="C514" s="1" t="n">
        <v>45756</v>
      </c>
      <c r="D514" t="inlineStr">
        <is>
          <t>KALMAR LÄN</t>
        </is>
      </c>
      <c r="E514" t="inlineStr">
        <is>
          <t>NYBRO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63257-2020</t>
        </is>
      </c>
      <c r="B515" s="1" t="n">
        <v>44164</v>
      </c>
      <c r="C515" s="1" t="n">
        <v>45756</v>
      </c>
      <c r="D515" t="inlineStr">
        <is>
          <t>KALMAR LÄN</t>
        </is>
      </c>
      <c r="E515" t="inlineStr">
        <is>
          <t>NYBRO</t>
        </is>
      </c>
      <c r="G515" t="n">
        <v>10.2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64514-2020</t>
        </is>
      </c>
      <c r="B516" s="1" t="n">
        <v>44169</v>
      </c>
      <c r="C516" s="1" t="n">
        <v>45756</v>
      </c>
      <c r="D516" t="inlineStr">
        <is>
          <t>KALMAR LÄN</t>
        </is>
      </c>
      <c r="E516" t="inlineStr">
        <is>
          <t>NYBRO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64702-2020</t>
        </is>
      </c>
      <c r="B517" s="1" t="n">
        <v>44169</v>
      </c>
      <c r="C517" s="1" t="n">
        <v>45756</v>
      </c>
      <c r="D517" t="inlineStr">
        <is>
          <t>KALMAR LÄN</t>
        </is>
      </c>
      <c r="E517" t="inlineStr">
        <is>
          <t>NYBRO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64909-2020</t>
        </is>
      </c>
      <c r="B518" s="1" t="n">
        <v>44172</v>
      </c>
      <c r="C518" s="1" t="n">
        <v>45756</v>
      </c>
      <c r="D518" t="inlineStr">
        <is>
          <t>KALMAR LÄN</t>
        </is>
      </c>
      <c r="E518" t="inlineStr">
        <is>
          <t>NYBRO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65474-2020</t>
        </is>
      </c>
      <c r="B519" s="1" t="n">
        <v>44173</v>
      </c>
      <c r="C519" s="1" t="n">
        <v>45756</v>
      </c>
      <c r="D519" t="inlineStr">
        <is>
          <t>KALMAR LÄN</t>
        </is>
      </c>
      <c r="E519" t="inlineStr">
        <is>
          <t>NYBRO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67047-2020</t>
        </is>
      </c>
      <c r="B520" s="1" t="n">
        <v>44179</v>
      </c>
      <c r="C520" s="1" t="n">
        <v>45756</v>
      </c>
      <c r="D520" t="inlineStr">
        <is>
          <t>KALMAR LÄN</t>
        </is>
      </c>
      <c r="E520" t="inlineStr">
        <is>
          <t>NYBRO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67036-2020</t>
        </is>
      </c>
      <c r="B521" s="1" t="n">
        <v>44179</v>
      </c>
      <c r="C521" s="1" t="n">
        <v>45756</v>
      </c>
      <c r="D521" t="inlineStr">
        <is>
          <t>KALMAR LÄN</t>
        </is>
      </c>
      <c r="E521" t="inlineStr">
        <is>
          <t>NYBRO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67220-2020</t>
        </is>
      </c>
      <c r="B522" s="1" t="n">
        <v>44180</v>
      </c>
      <c r="C522" s="1" t="n">
        <v>45756</v>
      </c>
      <c r="D522" t="inlineStr">
        <is>
          <t>KALMAR LÄN</t>
        </is>
      </c>
      <c r="E522" t="inlineStr">
        <is>
          <t>NYBRO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68174-2020</t>
        </is>
      </c>
      <c r="B523" s="1" t="n">
        <v>44183</v>
      </c>
      <c r="C523" s="1" t="n">
        <v>45756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68459-2020</t>
        </is>
      </c>
      <c r="B524" s="1" t="n">
        <v>44183</v>
      </c>
      <c r="C524" s="1" t="n">
        <v>45756</v>
      </c>
      <c r="D524" t="inlineStr">
        <is>
          <t>KALMAR LÄN</t>
        </is>
      </c>
      <c r="E524" t="inlineStr">
        <is>
          <t>NYBRO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68449-2020</t>
        </is>
      </c>
      <c r="B525" s="1" t="n">
        <v>44183</v>
      </c>
      <c r="C525" s="1" t="n">
        <v>45756</v>
      </c>
      <c r="D525" t="inlineStr">
        <is>
          <t>KALMAR LÄN</t>
        </is>
      </c>
      <c r="E525" t="inlineStr">
        <is>
          <t>NYBRO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68463-2020</t>
        </is>
      </c>
      <c r="B526" s="1" t="n">
        <v>44183</v>
      </c>
      <c r="C526" s="1" t="n">
        <v>45756</v>
      </c>
      <c r="D526" t="inlineStr">
        <is>
          <t>KALMAR LÄN</t>
        </is>
      </c>
      <c r="E526" t="inlineStr">
        <is>
          <t>NYBRO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68392-2020</t>
        </is>
      </c>
      <c r="B527" s="1" t="n">
        <v>44186</v>
      </c>
      <c r="C527" s="1" t="n">
        <v>45756</v>
      </c>
      <c r="D527" t="inlineStr">
        <is>
          <t>KALMAR LÄN</t>
        </is>
      </c>
      <c r="E527" t="inlineStr">
        <is>
          <t>NYBRO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68932-2020</t>
        </is>
      </c>
      <c r="B528" s="1" t="n">
        <v>44187</v>
      </c>
      <c r="C528" s="1" t="n">
        <v>45756</v>
      </c>
      <c r="D528" t="inlineStr">
        <is>
          <t>KALMAR LÄN</t>
        </is>
      </c>
      <c r="E528" t="inlineStr">
        <is>
          <t>NYBRO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69544-2020</t>
        </is>
      </c>
      <c r="B529" s="1" t="n">
        <v>44194</v>
      </c>
      <c r="C529" s="1" t="n">
        <v>45756</v>
      </c>
      <c r="D529" t="inlineStr">
        <is>
          <t>KALMAR LÄN</t>
        </is>
      </c>
      <c r="E529" t="inlineStr">
        <is>
          <t>NYBRO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311-2021</t>
        </is>
      </c>
      <c r="B530" s="1" t="n">
        <v>44201</v>
      </c>
      <c r="C530" s="1" t="n">
        <v>45756</v>
      </c>
      <c r="D530" t="inlineStr">
        <is>
          <t>KALMAR LÄN</t>
        </is>
      </c>
      <c r="E530" t="inlineStr">
        <is>
          <t>NYBRO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406-2021</t>
        </is>
      </c>
      <c r="B531" s="1" t="n">
        <v>44201</v>
      </c>
      <c r="C531" s="1" t="n">
        <v>45756</v>
      </c>
      <c r="D531" t="inlineStr">
        <is>
          <t>KALMAR LÄN</t>
        </is>
      </c>
      <c r="E531" t="inlineStr">
        <is>
          <t>NYBRO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405-2021</t>
        </is>
      </c>
      <c r="B532" s="1" t="n">
        <v>44201</v>
      </c>
      <c r="C532" s="1" t="n">
        <v>45756</v>
      </c>
      <c r="D532" t="inlineStr">
        <is>
          <t>KALMAR LÄN</t>
        </is>
      </c>
      <c r="E532" t="inlineStr">
        <is>
          <t>NYBRO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1105-2021</t>
        </is>
      </c>
      <c r="B533" s="1" t="n">
        <v>44207</v>
      </c>
      <c r="C533" s="1" t="n">
        <v>45756</v>
      </c>
      <c r="D533" t="inlineStr">
        <is>
          <t>KALMAR LÄN</t>
        </is>
      </c>
      <c r="E533" t="inlineStr">
        <is>
          <t>NYBRO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1372-2021</t>
        </is>
      </c>
      <c r="B534" s="1" t="n">
        <v>44208</v>
      </c>
      <c r="C534" s="1" t="n">
        <v>45756</v>
      </c>
      <c r="D534" t="inlineStr">
        <is>
          <t>KALMAR LÄN</t>
        </is>
      </c>
      <c r="E534" t="inlineStr">
        <is>
          <t>NYBRO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1681-2021</t>
        </is>
      </c>
      <c r="B535" s="1" t="n">
        <v>44209</v>
      </c>
      <c r="C535" s="1" t="n">
        <v>45756</v>
      </c>
      <c r="D535" t="inlineStr">
        <is>
          <t>KALMAR LÄN</t>
        </is>
      </c>
      <c r="E535" t="inlineStr">
        <is>
          <t>NYBRO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2206-2021</t>
        </is>
      </c>
      <c r="B536" s="1" t="n">
        <v>44211</v>
      </c>
      <c r="C536" s="1" t="n">
        <v>45756</v>
      </c>
      <c r="D536" t="inlineStr">
        <is>
          <t>KALMAR LÄN</t>
        </is>
      </c>
      <c r="E536" t="inlineStr">
        <is>
          <t>NYBRO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3241-2021</t>
        </is>
      </c>
      <c r="B537" s="1" t="n">
        <v>44217</v>
      </c>
      <c r="C537" s="1" t="n">
        <v>45756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3290-2021</t>
        </is>
      </c>
      <c r="B538" s="1" t="n">
        <v>44217</v>
      </c>
      <c r="C538" s="1" t="n">
        <v>45756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3236-2021</t>
        </is>
      </c>
      <c r="B539" s="1" t="n">
        <v>44217</v>
      </c>
      <c r="C539" s="1" t="n">
        <v>45756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3471-2021</t>
        </is>
      </c>
      <c r="B540" s="1" t="n">
        <v>44218</v>
      </c>
      <c r="C540" s="1" t="n">
        <v>45756</v>
      </c>
      <c r="D540" t="inlineStr">
        <is>
          <t>KALMAR LÄN</t>
        </is>
      </c>
      <c r="E540" t="inlineStr">
        <is>
          <t>NYBRO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4011-2021</t>
        </is>
      </c>
      <c r="B541" s="1" t="n">
        <v>44222</v>
      </c>
      <c r="C541" s="1" t="n">
        <v>45756</v>
      </c>
      <c r="D541" t="inlineStr">
        <is>
          <t>KALMAR LÄN</t>
        </is>
      </c>
      <c r="E541" t="inlineStr">
        <is>
          <t>NYBRO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4398-2021</t>
        </is>
      </c>
      <c r="B542" s="1" t="n">
        <v>44223</v>
      </c>
      <c r="C542" s="1" t="n">
        <v>45756</v>
      </c>
      <c r="D542" t="inlineStr">
        <is>
          <t>KALMAR LÄN</t>
        </is>
      </c>
      <c r="E542" t="inlineStr">
        <is>
          <t>NYBRO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4378-2021</t>
        </is>
      </c>
      <c r="B543" s="1" t="n">
        <v>44223</v>
      </c>
      <c r="C543" s="1" t="n">
        <v>45756</v>
      </c>
      <c r="D543" t="inlineStr">
        <is>
          <t>KALMAR LÄN</t>
        </is>
      </c>
      <c r="E543" t="inlineStr">
        <is>
          <t>NYBRO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4401-2021</t>
        </is>
      </c>
      <c r="B544" s="1" t="n">
        <v>44223</v>
      </c>
      <c r="C544" s="1" t="n">
        <v>45756</v>
      </c>
      <c r="D544" t="inlineStr">
        <is>
          <t>KALMAR LÄN</t>
        </is>
      </c>
      <c r="E544" t="inlineStr">
        <is>
          <t>NYBRO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4523-2021</t>
        </is>
      </c>
      <c r="B545" s="1" t="n">
        <v>44224</v>
      </c>
      <c r="C545" s="1" t="n">
        <v>45756</v>
      </c>
      <c r="D545" t="inlineStr">
        <is>
          <t>KALMAR LÄN</t>
        </is>
      </c>
      <c r="E545" t="inlineStr">
        <is>
          <t>NYBRO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4514-2021</t>
        </is>
      </c>
      <c r="B546" s="1" t="n">
        <v>44224</v>
      </c>
      <c r="C546" s="1" t="n">
        <v>45756</v>
      </c>
      <c r="D546" t="inlineStr">
        <is>
          <t>KALMAR LÄN</t>
        </is>
      </c>
      <c r="E546" t="inlineStr">
        <is>
          <t>NYBRO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4714-2021</t>
        </is>
      </c>
      <c r="B547" s="1" t="n">
        <v>44225</v>
      </c>
      <c r="C547" s="1" t="n">
        <v>45756</v>
      </c>
      <c r="D547" t="inlineStr">
        <is>
          <t>KALMAR LÄN</t>
        </is>
      </c>
      <c r="E547" t="inlineStr">
        <is>
          <t>NYBRO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4872-2021</t>
        </is>
      </c>
      <c r="B548" s="1" t="n">
        <v>44225</v>
      </c>
      <c r="C548" s="1" t="n">
        <v>45756</v>
      </c>
      <c r="D548" t="inlineStr">
        <is>
          <t>KALMAR LÄN</t>
        </is>
      </c>
      <c r="E548" t="inlineStr">
        <is>
          <t>NYBRO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5709-2021</t>
        </is>
      </c>
      <c r="B549" s="1" t="n">
        <v>44230</v>
      </c>
      <c r="C549" s="1" t="n">
        <v>45756</v>
      </c>
      <c r="D549" t="inlineStr">
        <is>
          <t>KALMAR LÄN</t>
        </is>
      </c>
      <c r="E549" t="inlineStr">
        <is>
          <t>NYBRO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5940-2021</t>
        </is>
      </c>
      <c r="B550" s="1" t="n">
        <v>44231</v>
      </c>
      <c r="C550" s="1" t="n">
        <v>45756</v>
      </c>
      <c r="D550" t="inlineStr">
        <is>
          <t>KALMAR LÄN</t>
        </is>
      </c>
      <c r="E550" t="inlineStr">
        <is>
          <t>NYBRO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5925-2021</t>
        </is>
      </c>
      <c r="B551" s="1" t="n">
        <v>44231</v>
      </c>
      <c r="C551" s="1" t="n">
        <v>45756</v>
      </c>
      <c r="D551" t="inlineStr">
        <is>
          <t>KALMAR LÄN</t>
        </is>
      </c>
      <c r="E551" t="inlineStr">
        <is>
          <t>NYBRO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6660-2021</t>
        </is>
      </c>
      <c r="B552" s="1" t="n">
        <v>44236</v>
      </c>
      <c r="C552" s="1" t="n">
        <v>45756</v>
      </c>
      <c r="D552" t="inlineStr">
        <is>
          <t>KALMAR LÄN</t>
        </is>
      </c>
      <c r="E552" t="inlineStr">
        <is>
          <t>NYBRO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6672-2021</t>
        </is>
      </c>
      <c r="B553" s="1" t="n">
        <v>44236</v>
      </c>
      <c r="C553" s="1" t="n">
        <v>45756</v>
      </c>
      <c r="D553" t="inlineStr">
        <is>
          <t>KALMAR LÄN</t>
        </is>
      </c>
      <c r="E553" t="inlineStr">
        <is>
          <t>NYBRO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6759-2021</t>
        </is>
      </c>
      <c r="B554" s="1" t="n">
        <v>44236</v>
      </c>
      <c r="C554" s="1" t="n">
        <v>45756</v>
      </c>
      <c r="D554" t="inlineStr">
        <is>
          <t>KALMAR LÄN</t>
        </is>
      </c>
      <c r="E554" t="inlineStr">
        <is>
          <t>NYBRO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7891-2021</t>
        </is>
      </c>
      <c r="B555" s="1" t="n">
        <v>44243</v>
      </c>
      <c r="C555" s="1" t="n">
        <v>45756</v>
      </c>
      <c r="D555" t="inlineStr">
        <is>
          <t>KALMAR LÄN</t>
        </is>
      </c>
      <c r="E555" t="inlineStr">
        <is>
          <t>NYBRO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8010-2021</t>
        </is>
      </c>
      <c r="B556" s="1" t="n">
        <v>44243</v>
      </c>
      <c r="C556" s="1" t="n">
        <v>45756</v>
      </c>
      <c r="D556" t="inlineStr">
        <is>
          <t>KALMAR LÄN</t>
        </is>
      </c>
      <c r="E556" t="inlineStr">
        <is>
          <t>NYBRO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8460-2021</t>
        </is>
      </c>
      <c r="B557" s="1" t="n">
        <v>44245</v>
      </c>
      <c r="C557" s="1" t="n">
        <v>45756</v>
      </c>
      <c r="D557" t="inlineStr">
        <is>
          <t>KALMAR LÄN</t>
        </is>
      </c>
      <c r="E557" t="inlineStr">
        <is>
          <t>NYBRO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8816-2021</t>
        </is>
      </c>
      <c r="B558" s="1" t="n">
        <v>44246</v>
      </c>
      <c r="C558" s="1" t="n">
        <v>45756</v>
      </c>
      <c r="D558" t="inlineStr">
        <is>
          <t>KALMAR LÄN</t>
        </is>
      </c>
      <c r="E558" t="inlineStr">
        <is>
          <t>NYBRO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8814-2021</t>
        </is>
      </c>
      <c r="B559" s="1" t="n">
        <v>44246</v>
      </c>
      <c r="C559" s="1" t="n">
        <v>45756</v>
      </c>
      <c r="D559" t="inlineStr">
        <is>
          <t>KALMAR LÄN</t>
        </is>
      </c>
      <c r="E559" t="inlineStr">
        <is>
          <t>NYBRO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8989-2021</t>
        </is>
      </c>
      <c r="B560" s="1" t="n">
        <v>44249</v>
      </c>
      <c r="C560" s="1" t="n">
        <v>45756</v>
      </c>
      <c r="D560" t="inlineStr">
        <is>
          <t>KALMAR LÄN</t>
        </is>
      </c>
      <c r="E560" t="inlineStr">
        <is>
          <t>NYBRO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8996-2021</t>
        </is>
      </c>
      <c r="B561" s="1" t="n">
        <v>44249</v>
      </c>
      <c r="C561" s="1" t="n">
        <v>45756</v>
      </c>
      <c r="D561" t="inlineStr">
        <is>
          <t>KALMAR LÄN</t>
        </is>
      </c>
      <c r="E561" t="inlineStr">
        <is>
          <t>NYBRO</t>
        </is>
      </c>
      <c r="F561" t="inlineStr">
        <is>
          <t>Sveaskog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9299-2021</t>
        </is>
      </c>
      <c r="B562" s="1" t="n">
        <v>44250</v>
      </c>
      <c r="C562" s="1" t="n">
        <v>45756</v>
      </c>
      <c r="D562" t="inlineStr">
        <is>
          <t>KALMAR LÄN</t>
        </is>
      </c>
      <c r="E562" t="inlineStr">
        <is>
          <t>NYBRO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9337-2021</t>
        </is>
      </c>
      <c r="B563" s="1" t="n">
        <v>44250</v>
      </c>
      <c r="C563" s="1" t="n">
        <v>45756</v>
      </c>
      <c r="D563" t="inlineStr">
        <is>
          <t>KALMAR LÄN</t>
        </is>
      </c>
      <c r="E563" t="inlineStr">
        <is>
          <t>NYBRO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10015-2021</t>
        </is>
      </c>
      <c r="B564" s="1" t="n">
        <v>44256</v>
      </c>
      <c r="C564" s="1" t="n">
        <v>45756</v>
      </c>
      <c r="D564" t="inlineStr">
        <is>
          <t>KALMAR LÄN</t>
        </is>
      </c>
      <c r="E564" t="inlineStr">
        <is>
          <t>NYBRO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10831-2021</t>
        </is>
      </c>
      <c r="B565" s="1" t="n">
        <v>44259</v>
      </c>
      <c r="C565" s="1" t="n">
        <v>45756</v>
      </c>
      <c r="D565" t="inlineStr">
        <is>
          <t>KALMAR LÄN</t>
        </is>
      </c>
      <c r="E565" t="inlineStr">
        <is>
          <t>NYBRO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11146-2021</t>
        </is>
      </c>
      <c r="B566" s="1" t="n">
        <v>44261</v>
      </c>
      <c r="C566" s="1" t="n">
        <v>45756</v>
      </c>
      <c r="D566" t="inlineStr">
        <is>
          <t>KALMAR LÄN</t>
        </is>
      </c>
      <c r="E566" t="inlineStr">
        <is>
          <t>NYBRO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11489-2021</t>
        </is>
      </c>
      <c r="B567" s="1" t="n">
        <v>44264</v>
      </c>
      <c r="C567" s="1" t="n">
        <v>45756</v>
      </c>
      <c r="D567" t="inlineStr">
        <is>
          <t>KALMAR LÄN</t>
        </is>
      </c>
      <c r="E567" t="inlineStr">
        <is>
          <t>NYBRO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12217-2021</t>
        </is>
      </c>
      <c r="B568" s="1" t="n">
        <v>44266</v>
      </c>
      <c r="C568" s="1" t="n">
        <v>45756</v>
      </c>
      <c r="D568" t="inlineStr">
        <is>
          <t>KALMAR LÄN</t>
        </is>
      </c>
      <c r="E568" t="inlineStr">
        <is>
          <t>NYBRO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12288-2021</t>
        </is>
      </c>
      <c r="B569" s="1" t="n">
        <v>44267</v>
      </c>
      <c r="C569" s="1" t="n">
        <v>45756</v>
      </c>
      <c r="D569" t="inlineStr">
        <is>
          <t>KALMAR LÄN</t>
        </is>
      </c>
      <c r="E569" t="inlineStr">
        <is>
          <t>NYBRO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12724-2021</t>
        </is>
      </c>
      <c r="B570" s="1" t="n">
        <v>44270</v>
      </c>
      <c r="C570" s="1" t="n">
        <v>45756</v>
      </c>
      <c r="D570" t="inlineStr">
        <is>
          <t>KALMAR LÄN</t>
        </is>
      </c>
      <c r="E570" t="inlineStr">
        <is>
          <t>NYBRO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12566-2021</t>
        </is>
      </c>
      <c r="B571" s="1" t="n">
        <v>44270</v>
      </c>
      <c r="C571" s="1" t="n">
        <v>45756</v>
      </c>
      <c r="D571" t="inlineStr">
        <is>
          <t>KALMAR LÄN</t>
        </is>
      </c>
      <c r="E571" t="inlineStr">
        <is>
          <t>NYBRO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12921-2021</t>
        </is>
      </c>
      <c r="B572" s="1" t="n">
        <v>44271</v>
      </c>
      <c r="C572" s="1" t="n">
        <v>45756</v>
      </c>
      <c r="D572" t="inlineStr">
        <is>
          <t>KALMAR LÄN</t>
        </is>
      </c>
      <c r="E572" t="inlineStr">
        <is>
          <t>NYBRO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13064-2021</t>
        </is>
      </c>
      <c r="B573" s="1" t="n">
        <v>44272</v>
      </c>
      <c r="C573" s="1" t="n">
        <v>45756</v>
      </c>
      <c r="D573" t="inlineStr">
        <is>
          <t>KALMAR LÄN</t>
        </is>
      </c>
      <c r="E573" t="inlineStr">
        <is>
          <t>NYBRO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13766-2021</t>
        </is>
      </c>
      <c r="B574" s="1" t="n">
        <v>44274</v>
      </c>
      <c r="C574" s="1" t="n">
        <v>45756</v>
      </c>
      <c r="D574" t="inlineStr">
        <is>
          <t>KALMAR LÄN</t>
        </is>
      </c>
      <c r="E574" t="inlineStr">
        <is>
          <t>NYBRO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13803-2021</t>
        </is>
      </c>
      <c r="B575" s="1" t="n">
        <v>44275</v>
      </c>
      <c r="C575" s="1" t="n">
        <v>45756</v>
      </c>
      <c r="D575" t="inlineStr">
        <is>
          <t>KALMAR LÄN</t>
        </is>
      </c>
      <c r="E575" t="inlineStr">
        <is>
          <t>NYBRO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13997-2021</t>
        </is>
      </c>
      <c r="B576" s="1" t="n">
        <v>44277</v>
      </c>
      <c r="C576" s="1" t="n">
        <v>45756</v>
      </c>
      <c r="D576" t="inlineStr">
        <is>
          <t>KALMAR LÄN</t>
        </is>
      </c>
      <c r="E576" t="inlineStr">
        <is>
          <t>NYBRO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14245-2021</t>
        </is>
      </c>
      <c r="B577" s="1" t="n">
        <v>44278</v>
      </c>
      <c r="C577" s="1" t="n">
        <v>45756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14394-2021</t>
        </is>
      </c>
      <c r="B578" s="1" t="n">
        <v>44279</v>
      </c>
      <c r="C578" s="1" t="n">
        <v>45756</v>
      </c>
      <c r="D578" t="inlineStr">
        <is>
          <t>KALMAR LÄN</t>
        </is>
      </c>
      <c r="E578" t="inlineStr">
        <is>
          <t>NYBRO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15217-2021</t>
        </is>
      </c>
      <c r="B579" s="1" t="n">
        <v>44284</v>
      </c>
      <c r="C579" s="1" t="n">
        <v>45756</v>
      </c>
      <c r="D579" t="inlineStr">
        <is>
          <t>KALMAR LÄN</t>
        </is>
      </c>
      <c r="E579" t="inlineStr">
        <is>
          <t>NYBRO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15439-2021</t>
        </is>
      </c>
      <c r="B580" s="1" t="n">
        <v>44285</v>
      </c>
      <c r="C580" s="1" t="n">
        <v>45756</v>
      </c>
      <c r="D580" t="inlineStr">
        <is>
          <t>KALMAR LÄN</t>
        </is>
      </c>
      <c r="E580" t="inlineStr">
        <is>
          <t>NYBRO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16738-2021</t>
        </is>
      </c>
      <c r="B581" s="1" t="n">
        <v>44294</v>
      </c>
      <c r="C581" s="1" t="n">
        <v>45756</v>
      </c>
      <c r="D581" t="inlineStr">
        <is>
          <t>KALMAR LÄN</t>
        </is>
      </c>
      <c r="E581" t="inlineStr">
        <is>
          <t>NYBRO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16957-2021</t>
        </is>
      </c>
      <c r="B582" s="1" t="n">
        <v>44295</v>
      </c>
      <c r="C582" s="1" t="n">
        <v>45756</v>
      </c>
      <c r="D582" t="inlineStr">
        <is>
          <t>KALMAR LÄN</t>
        </is>
      </c>
      <c r="E582" t="inlineStr">
        <is>
          <t>NYBRO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17065-2021</t>
        </is>
      </c>
      <c r="B583" s="1" t="n">
        <v>44297</v>
      </c>
      <c r="C583" s="1" t="n">
        <v>45756</v>
      </c>
      <c r="D583" t="inlineStr">
        <is>
          <t>KALMAR LÄN</t>
        </is>
      </c>
      <c r="E583" t="inlineStr">
        <is>
          <t>NYBRO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17099-2021</t>
        </is>
      </c>
      <c r="B584" s="1" t="n">
        <v>44298</v>
      </c>
      <c r="C584" s="1" t="n">
        <v>45756</v>
      </c>
      <c r="D584" t="inlineStr">
        <is>
          <t>KALMAR LÄN</t>
        </is>
      </c>
      <c r="E584" t="inlineStr">
        <is>
          <t>NYBRO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17560-2021</t>
        </is>
      </c>
      <c r="B585" s="1" t="n">
        <v>44299</v>
      </c>
      <c r="C585" s="1" t="n">
        <v>45756</v>
      </c>
      <c r="D585" t="inlineStr">
        <is>
          <t>KALMAR LÄN</t>
        </is>
      </c>
      <c r="E585" t="inlineStr">
        <is>
          <t>NYBRO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17641-2021</t>
        </is>
      </c>
      <c r="B586" s="1" t="n">
        <v>44300</v>
      </c>
      <c r="C586" s="1" t="n">
        <v>45756</v>
      </c>
      <c r="D586" t="inlineStr">
        <is>
          <t>KALMAR LÄN</t>
        </is>
      </c>
      <c r="E586" t="inlineStr">
        <is>
          <t>NYBRO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17653-2021</t>
        </is>
      </c>
      <c r="B587" s="1" t="n">
        <v>44300</v>
      </c>
      <c r="C587" s="1" t="n">
        <v>45756</v>
      </c>
      <c r="D587" t="inlineStr">
        <is>
          <t>KALMAR LÄN</t>
        </is>
      </c>
      <c r="E587" t="inlineStr">
        <is>
          <t>NYBRO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17725-2021</t>
        </is>
      </c>
      <c r="B588" s="1" t="n">
        <v>44300</v>
      </c>
      <c r="C588" s="1" t="n">
        <v>45756</v>
      </c>
      <c r="D588" t="inlineStr">
        <is>
          <t>KALMAR LÄN</t>
        </is>
      </c>
      <c r="E588" t="inlineStr">
        <is>
          <t>NYBRO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18241-2021</t>
        </is>
      </c>
      <c r="B589" s="1" t="n">
        <v>44302</v>
      </c>
      <c r="C589" s="1" t="n">
        <v>45756</v>
      </c>
      <c r="D589" t="inlineStr">
        <is>
          <t>KALMAR LÄN</t>
        </is>
      </c>
      <c r="E589" t="inlineStr">
        <is>
          <t>NYBRO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18163-2021</t>
        </is>
      </c>
      <c r="B590" s="1" t="n">
        <v>44302</v>
      </c>
      <c r="C590" s="1" t="n">
        <v>45756</v>
      </c>
      <c r="D590" t="inlineStr">
        <is>
          <t>KALMAR LÄN</t>
        </is>
      </c>
      <c r="E590" t="inlineStr">
        <is>
          <t>NYBRO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18475-2021</t>
        </is>
      </c>
      <c r="B591" s="1" t="n">
        <v>44306</v>
      </c>
      <c r="C591" s="1" t="n">
        <v>45756</v>
      </c>
      <c r="D591" t="inlineStr">
        <is>
          <t>KALMAR LÄN</t>
        </is>
      </c>
      <c r="E591" t="inlineStr">
        <is>
          <t>NYBRO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18727-2021</t>
        </is>
      </c>
      <c r="B592" s="1" t="n">
        <v>44307</v>
      </c>
      <c r="C592" s="1" t="n">
        <v>45756</v>
      </c>
      <c r="D592" t="inlineStr">
        <is>
          <t>KALMAR LÄN</t>
        </is>
      </c>
      <c r="E592" t="inlineStr">
        <is>
          <t>NYBRO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18966-2021</t>
        </is>
      </c>
      <c r="B593" s="1" t="n">
        <v>44308</v>
      </c>
      <c r="C593" s="1" t="n">
        <v>45756</v>
      </c>
      <c r="D593" t="inlineStr">
        <is>
          <t>KALMAR LÄN</t>
        </is>
      </c>
      <c r="E593" t="inlineStr">
        <is>
          <t>NYBRO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19573-2021</t>
        </is>
      </c>
      <c r="B594" s="1" t="n">
        <v>44312</v>
      </c>
      <c r="C594" s="1" t="n">
        <v>45756</v>
      </c>
      <c r="D594" t="inlineStr">
        <is>
          <t>KALMAR LÄN</t>
        </is>
      </c>
      <c r="E594" t="inlineStr">
        <is>
          <t>NYBRO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20214-2021</t>
        </is>
      </c>
      <c r="B595" s="1" t="n">
        <v>44314</v>
      </c>
      <c r="C595" s="1" t="n">
        <v>45756</v>
      </c>
      <c r="D595" t="inlineStr">
        <is>
          <t>KALMAR LÄN</t>
        </is>
      </c>
      <c r="E595" t="inlineStr">
        <is>
          <t>NYBRO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20461-2021</t>
        </is>
      </c>
      <c r="B596" s="1" t="n">
        <v>44315</v>
      </c>
      <c r="C596" s="1" t="n">
        <v>45756</v>
      </c>
      <c r="D596" t="inlineStr">
        <is>
          <t>KALMAR LÄN</t>
        </is>
      </c>
      <c r="E596" t="inlineStr">
        <is>
          <t>NYBRO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20491-2021</t>
        </is>
      </c>
      <c r="B597" s="1" t="n">
        <v>44315</v>
      </c>
      <c r="C597" s="1" t="n">
        <v>45756</v>
      </c>
      <c r="D597" t="inlineStr">
        <is>
          <t>KALMAR LÄN</t>
        </is>
      </c>
      <c r="E597" t="inlineStr">
        <is>
          <t>NYBRO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20828-2021</t>
        </is>
      </c>
      <c r="B598" s="1" t="n">
        <v>44318</v>
      </c>
      <c r="C598" s="1" t="n">
        <v>45756</v>
      </c>
      <c r="D598" t="inlineStr">
        <is>
          <t>KALMAR LÄN</t>
        </is>
      </c>
      <c r="E598" t="inlineStr">
        <is>
          <t>NYBRO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21109-2021</t>
        </is>
      </c>
      <c r="B599" s="1" t="n">
        <v>44320</v>
      </c>
      <c r="C599" s="1" t="n">
        <v>45756</v>
      </c>
      <c r="D599" t="inlineStr">
        <is>
          <t>KALMAR LÄN</t>
        </is>
      </c>
      <c r="E599" t="inlineStr">
        <is>
          <t>NYBRO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21217-2021</t>
        </is>
      </c>
      <c r="B600" s="1" t="n">
        <v>44320</v>
      </c>
      <c r="C600" s="1" t="n">
        <v>45756</v>
      </c>
      <c r="D600" t="inlineStr">
        <is>
          <t>KALMAR LÄN</t>
        </is>
      </c>
      <c r="E600" t="inlineStr">
        <is>
          <t>NYBRO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21322-2021</t>
        </is>
      </c>
      <c r="B601" s="1" t="n">
        <v>44320</v>
      </c>
      <c r="C601" s="1" t="n">
        <v>45756</v>
      </c>
      <c r="D601" t="inlineStr">
        <is>
          <t>KALMAR LÄN</t>
        </is>
      </c>
      <c r="E601" t="inlineStr">
        <is>
          <t>NYBRO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21372-2021</t>
        </is>
      </c>
      <c r="B602" s="1" t="n">
        <v>44321</v>
      </c>
      <c r="C602" s="1" t="n">
        <v>45756</v>
      </c>
      <c r="D602" t="inlineStr">
        <is>
          <t>KALMAR LÄN</t>
        </is>
      </c>
      <c r="E602" t="inlineStr">
        <is>
          <t>NYBRO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22274-2021</t>
        </is>
      </c>
      <c r="B603" s="1" t="n">
        <v>44322</v>
      </c>
      <c r="C603" s="1" t="n">
        <v>45756</v>
      </c>
      <c r="D603" t="inlineStr">
        <is>
          <t>KALMAR LÄN</t>
        </is>
      </c>
      <c r="E603" t="inlineStr">
        <is>
          <t>NYBRO</t>
        </is>
      </c>
      <c r="G603" t="n">
        <v>10.6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21979-2021</t>
        </is>
      </c>
      <c r="B604" s="1" t="n">
        <v>44323</v>
      </c>
      <c r="C604" s="1" t="n">
        <v>45756</v>
      </c>
      <c r="D604" t="inlineStr">
        <is>
          <t>KALMAR LÄN</t>
        </is>
      </c>
      <c r="E604" t="inlineStr">
        <is>
          <t>NYBRO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22913-2021</t>
        </is>
      </c>
      <c r="B605" s="1" t="n">
        <v>44328</v>
      </c>
      <c r="C605" s="1" t="n">
        <v>45756</v>
      </c>
      <c r="D605" t="inlineStr">
        <is>
          <t>KALMAR LÄN</t>
        </is>
      </c>
      <c r="E605" t="inlineStr">
        <is>
          <t>NYBRO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23178-2021</t>
        </is>
      </c>
      <c r="B606" s="1" t="n">
        <v>44333</v>
      </c>
      <c r="C606" s="1" t="n">
        <v>45756</v>
      </c>
      <c r="D606" t="inlineStr">
        <is>
          <t>KALMAR LÄN</t>
        </is>
      </c>
      <c r="E606" t="inlineStr">
        <is>
          <t>NYBRO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23420-2021</t>
        </is>
      </c>
      <c r="B607" s="1" t="n">
        <v>44333</v>
      </c>
      <c r="C607" s="1" t="n">
        <v>45756</v>
      </c>
      <c r="D607" t="inlineStr">
        <is>
          <t>KALMAR LÄN</t>
        </is>
      </c>
      <c r="E607" t="inlineStr">
        <is>
          <t>NYBRO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23398-2021</t>
        </is>
      </c>
      <c r="B608" s="1" t="n">
        <v>44333</v>
      </c>
      <c r="C608" s="1" t="n">
        <v>45756</v>
      </c>
      <c r="D608" t="inlineStr">
        <is>
          <t>KALMAR LÄN</t>
        </is>
      </c>
      <c r="E608" t="inlineStr">
        <is>
          <t>NYBRO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23507-2021</t>
        </is>
      </c>
      <c r="B609" s="1" t="n">
        <v>44334</v>
      </c>
      <c r="C609" s="1" t="n">
        <v>45756</v>
      </c>
      <c r="D609" t="inlineStr">
        <is>
          <t>KALMAR LÄN</t>
        </is>
      </c>
      <c r="E609" t="inlineStr">
        <is>
          <t>NYBRO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23883-2021</t>
        </is>
      </c>
      <c r="B610" s="1" t="n">
        <v>44335</v>
      </c>
      <c r="C610" s="1" t="n">
        <v>45756</v>
      </c>
      <c r="D610" t="inlineStr">
        <is>
          <t>KALMAR LÄN</t>
        </is>
      </c>
      <c r="E610" t="inlineStr">
        <is>
          <t>NYBRO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24643-2021</t>
        </is>
      </c>
      <c r="B611" s="1" t="n">
        <v>44340</v>
      </c>
      <c r="C611" s="1" t="n">
        <v>45756</v>
      </c>
      <c r="D611" t="inlineStr">
        <is>
          <t>KALMAR LÄN</t>
        </is>
      </c>
      <c r="E611" t="inlineStr">
        <is>
          <t>NYBRO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24736-2021</t>
        </is>
      </c>
      <c r="B612" s="1" t="n">
        <v>44340</v>
      </c>
      <c r="C612" s="1" t="n">
        <v>45756</v>
      </c>
      <c r="D612" t="inlineStr">
        <is>
          <t>KALMAR LÄN</t>
        </is>
      </c>
      <c r="E612" t="inlineStr">
        <is>
          <t>NYBRO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24638-2021</t>
        </is>
      </c>
      <c r="B613" s="1" t="n">
        <v>44340</v>
      </c>
      <c r="C613" s="1" t="n">
        <v>45756</v>
      </c>
      <c r="D613" t="inlineStr">
        <is>
          <t>KALMAR LÄN</t>
        </is>
      </c>
      <c r="E613" t="inlineStr">
        <is>
          <t>NYBRO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24640-2021</t>
        </is>
      </c>
      <c r="B614" s="1" t="n">
        <v>44340</v>
      </c>
      <c r="C614" s="1" t="n">
        <v>45756</v>
      </c>
      <c r="D614" t="inlineStr">
        <is>
          <t>KALMAR LÄN</t>
        </is>
      </c>
      <c r="E614" t="inlineStr">
        <is>
          <t>NYBRO</t>
        </is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25426-2021</t>
        </is>
      </c>
      <c r="B615" s="1" t="n">
        <v>44342</v>
      </c>
      <c r="C615" s="1" t="n">
        <v>45756</v>
      </c>
      <c r="D615" t="inlineStr">
        <is>
          <t>KALMAR LÄN</t>
        </is>
      </c>
      <c r="E615" t="inlineStr">
        <is>
          <t>NYBRO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25433-2021</t>
        </is>
      </c>
      <c r="B616" s="1" t="n">
        <v>44342</v>
      </c>
      <c r="C616" s="1" t="n">
        <v>45756</v>
      </c>
      <c r="D616" t="inlineStr">
        <is>
          <t>KALMAR LÄN</t>
        </is>
      </c>
      <c r="E616" t="inlineStr">
        <is>
          <t>NYBRO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26176-2021</t>
        </is>
      </c>
      <c r="B617" s="1" t="n">
        <v>44347</v>
      </c>
      <c r="C617" s="1" t="n">
        <v>45756</v>
      </c>
      <c r="D617" t="inlineStr">
        <is>
          <t>KALMAR LÄN</t>
        </is>
      </c>
      <c r="E617" t="inlineStr">
        <is>
          <t>NYBRO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26271-2021</t>
        </is>
      </c>
      <c r="B618" s="1" t="n">
        <v>44347</v>
      </c>
      <c r="C618" s="1" t="n">
        <v>45756</v>
      </c>
      <c r="D618" t="inlineStr">
        <is>
          <t>KALMAR LÄN</t>
        </is>
      </c>
      <c r="E618" t="inlineStr">
        <is>
          <t>NYBRO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26578-2021</t>
        </is>
      </c>
      <c r="B619" s="1" t="n">
        <v>44348</v>
      </c>
      <c r="C619" s="1" t="n">
        <v>45756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27354-2021</t>
        </is>
      </c>
      <c r="B620" s="1" t="n">
        <v>44351</v>
      </c>
      <c r="C620" s="1" t="n">
        <v>45756</v>
      </c>
      <c r="D620" t="inlineStr">
        <is>
          <t>KALMAR LÄN</t>
        </is>
      </c>
      <c r="E620" t="inlineStr">
        <is>
          <t>NYBRO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27357-2021</t>
        </is>
      </c>
      <c r="B621" s="1" t="n">
        <v>44351</v>
      </c>
      <c r="C621" s="1" t="n">
        <v>45756</v>
      </c>
      <c r="D621" t="inlineStr">
        <is>
          <t>KALMAR LÄN</t>
        </is>
      </c>
      <c r="E621" t="inlineStr">
        <is>
          <t>NYBRO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27526-2021</t>
        </is>
      </c>
      <c r="B622" s="1" t="n">
        <v>44351</v>
      </c>
      <c r="C622" s="1" t="n">
        <v>45756</v>
      </c>
      <c r="D622" t="inlineStr">
        <is>
          <t>KALMAR LÄN</t>
        </is>
      </c>
      <c r="E622" t="inlineStr">
        <is>
          <t>NYBRO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28069-2021</t>
        </is>
      </c>
      <c r="B623" s="1" t="n">
        <v>44355</v>
      </c>
      <c r="C623" s="1" t="n">
        <v>45756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29703-2021</t>
        </is>
      </c>
      <c r="B624" s="1" t="n">
        <v>44362</v>
      </c>
      <c r="C624" s="1" t="n">
        <v>45756</v>
      </c>
      <c r="D624" t="inlineStr">
        <is>
          <t>KALMAR LÄN</t>
        </is>
      </c>
      <c r="E624" t="inlineStr">
        <is>
          <t>NYBRO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29737-2021</t>
        </is>
      </c>
      <c r="B625" s="1" t="n">
        <v>44362</v>
      </c>
      <c r="C625" s="1" t="n">
        <v>45756</v>
      </c>
      <c r="D625" t="inlineStr">
        <is>
          <t>KALMAR LÄN</t>
        </is>
      </c>
      <c r="E625" t="inlineStr">
        <is>
          <t>NYBRO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29747-2021</t>
        </is>
      </c>
      <c r="B626" s="1" t="n">
        <v>44362</v>
      </c>
      <c r="C626" s="1" t="n">
        <v>45756</v>
      </c>
      <c r="D626" t="inlineStr">
        <is>
          <t>KALMAR LÄN</t>
        </is>
      </c>
      <c r="E626" t="inlineStr">
        <is>
          <t>NYBRO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29826-2021</t>
        </is>
      </c>
      <c r="B627" s="1" t="n">
        <v>44362</v>
      </c>
      <c r="C627" s="1" t="n">
        <v>45756</v>
      </c>
      <c r="D627" t="inlineStr">
        <is>
          <t>KALMAR LÄN</t>
        </is>
      </c>
      <c r="E627" t="inlineStr">
        <is>
          <t>NYBRO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30238-2021</t>
        </is>
      </c>
      <c r="B628" s="1" t="n">
        <v>44363</v>
      </c>
      <c r="C628" s="1" t="n">
        <v>45756</v>
      </c>
      <c r="D628" t="inlineStr">
        <is>
          <t>KALMAR LÄN</t>
        </is>
      </c>
      <c r="E628" t="inlineStr">
        <is>
          <t>NYBRO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30243-2021</t>
        </is>
      </c>
      <c r="B629" s="1" t="n">
        <v>44363</v>
      </c>
      <c r="C629" s="1" t="n">
        <v>45756</v>
      </c>
      <c r="D629" t="inlineStr">
        <is>
          <t>KALMAR LÄN</t>
        </is>
      </c>
      <c r="E629" t="inlineStr">
        <is>
          <t>NYBRO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30242-2021</t>
        </is>
      </c>
      <c r="B630" s="1" t="n">
        <v>44363</v>
      </c>
      <c r="C630" s="1" t="n">
        <v>45756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30240-2021</t>
        </is>
      </c>
      <c r="B631" s="1" t="n">
        <v>44363</v>
      </c>
      <c r="C631" s="1" t="n">
        <v>45756</v>
      </c>
      <c r="D631" t="inlineStr">
        <is>
          <t>KALMAR LÄN</t>
        </is>
      </c>
      <c r="E631" t="inlineStr">
        <is>
          <t>NYBRO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30547-2021</t>
        </is>
      </c>
      <c r="B632" s="1" t="n">
        <v>44364</v>
      </c>
      <c r="C632" s="1" t="n">
        <v>45756</v>
      </c>
      <c r="D632" t="inlineStr">
        <is>
          <t>KALMAR LÄN</t>
        </is>
      </c>
      <c r="E632" t="inlineStr">
        <is>
          <t>NYBRO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30617-2021</t>
        </is>
      </c>
      <c r="B633" s="1" t="n">
        <v>44364</v>
      </c>
      <c r="C633" s="1" t="n">
        <v>45756</v>
      </c>
      <c r="D633" t="inlineStr">
        <is>
          <t>KALMAR LÄN</t>
        </is>
      </c>
      <c r="E633" t="inlineStr">
        <is>
          <t>NYBRO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30600-2021</t>
        </is>
      </c>
      <c r="B634" s="1" t="n">
        <v>44365</v>
      </c>
      <c r="C634" s="1" t="n">
        <v>45756</v>
      </c>
      <c r="D634" t="inlineStr">
        <is>
          <t>KALMAR LÄN</t>
        </is>
      </c>
      <c r="E634" t="inlineStr">
        <is>
          <t>NYBRO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30703-2021</t>
        </is>
      </c>
      <c r="B635" s="1" t="n">
        <v>44365</v>
      </c>
      <c r="C635" s="1" t="n">
        <v>45756</v>
      </c>
      <c r="D635" t="inlineStr">
        <is>
          <t>KALMAR LÄN</t>
        </is>
      </c>
      <c r="E635" t="inlineStr">
        <is>
          <t>NYBRO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30736-2021</t>
        </is>
      </c>
      <c r="B636" s="1" t="n">
        <v>44365</v>
      </c>
      <c r="C636" s="1" t="n">
        <v>45756</v>
      </c>
      <c r="D636" t="inlineStr">
        <is>
          <t>KALMAR LÄN</t>
        </is>
      </c>
      <c r="E636" t="inlineStr">
        <is>
          <t>NYBRO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30707-2021</t>
        </is>
      </c>
      <c r="B637" s="1" t="n">
        <v>44365</v>
      </c>
      <c r="C637" s="1" t="n">
        <v>45756</v>
      </c>
      <c r="D637" t="inlineStr">
        <is>
          <t>KALMAR LÄN</t>
        </is>
      </c>
      <c r="E637" t="inlineStr">
        <is>
          <t>NYBRO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30697-2021</t>
        </is>
      </c>
      <c r="B638" s="1" t="n">
        <v>44365</v>
      </c>
      <c r="C638" s="1" t="n">
        <v>45756</v>
      </c>
      <c r="D638" t="inlineStr">
        <is>
          <t>KALMAR LÄN</t>
        </is>
      </c>
      <c r="E638" t="inlineStr">
        <is>
          <t>NYBRO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30714-2021</t>
        </is>
      </c>
      <c r="B639" s="1" t="n">
        <v>44365</v>
      </c>
      <c r="C639" s="1" t="n">
        <v>45756</v>
      </c>
      <c r="D639" t="inlineStr">
        <is>
          <t>KALMAR LÄN</t>
        </is>
      </c>
      <c r="E639" t="inlineStr">
        <is>
          <t>NYBRO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31081-2021</t>
        </is>
      </c>
      <c r="B640" s="1" t="n">
        <v>44368</v>
      </c>
      <c r="C640" s="1" t="n">
        <v>45756</v>
      </c>
      <c r="D640" t="inlineStr">
        <is>
          <t>KALMAR LÄN</t>
        </is>
      </c>
      <c r="E640" t="inlineStr">
        <is>
          <t>NYBRO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31084-2021</t>
        </is>
      </c>
      <c r="B641" s="1" t="n">
        <v>44368</v>
      </c>
      <c r="C641" s="1" t="n">
        <v>45756</v>
      </c>
      <c r="D641" t="inlineStr">
        <is>
          <t>KALMAR LÄN</t>
        </is>
      </c>
      <c r="E641" t="inlineStr">
        <is>
          <t>NYBRO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31095-2021</t>
        </is>
      </c>
      <c r="B642" s="1" t="n">
        <v>44368</v>
      </c>
      <c r="C642" s="1" t="n">
        <v>45756</v>
      </c>
      <c r="D642" t="inlineStr">
        <is>
          <t>KALMAR LÄN</t>
        </is>
      </c>
      <c r="E642" t="inlineStr">
        <is>
          <t>NYBRO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31107-2021</t>
        </is>
      </c>
      <c r="B643" s="1" t="n">
        <v>44368</v>
      </c>
      <c r="C643" s="1" t="n">
        <v>45756</v>
      </c>
      <c r="D643" t="inlineStr">
        <is>
          <t>KALMAR LÄN</t>
        </is>
      </c>
      <c r="E643" t="inlineStr">
        <is>
          <t>NYBRO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31076-2021</t>
        </is>
      </c>
      <c r="B644" s="1" t="n">
        <v>44368</v>
      </c>
      <c r="C644" s="1" t="n">
        <v>45756</v>
      </c>
      <c r="D644" t="inlineStr">
        <is>
          <t>KALMAR LÄN</t>
        </is>
      </c>
      <c r="E644" t="inlineStr">
        <is>
          <t>NYBRO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31410-2021</t>
        </is>
      </c>
      <c r="B645" s="1" t="n">
        <v>44369</v>
      </c>
      <c r="C645" s="1" t="n">
        <v>45756</v>
      </c>
      <c r="D645" t="inlineStr">
        <is>
          <t>KALMAR LÄN</t>
        </is>
      </c>
      <c r="E645" t="inlineStr">
        <is>
          <t>NYBRO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31499-2021</t>
        </is>
      </c>
      <c r="B646" s="1" t="n">
        <v>44369</v>
      </c>
      <c r="C646" s="1" t="n">
        <v>45756</v>
      </c>
      <c r="D646" t="inlineStr">
        <is>
          <t>KALMAR LÄN</t>
        </is>
      </c>
      <c r="E646" t="inlineStr">
        <is>
          <t>NYBRO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31762-2021</t>
        </is>
      </c>
      <c r="B647" s="1" t="n">
        <v>44370</v>
      </c>
      <c r="C647" s="1" t="n">
        <v>45756</v>
      </c>
      <c r="D647" t="inlineStr">
        <is>
          <t>KALMAR LÄN</t>
        </is>
      </c>
      <c r="E647" t="inlineStr">
        <is>
          <t>NYBRO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32609-2021</t>
        </is>
      </c>
      <c r="B648" s="1" t="n">
        <v>44375</v>
      </c>
      <c r="C648" s="1" t="n">
        <v>45756</v>
      </c>
      <c r="D648" t="inlineStr">
        <is>
          <t>KALMAR LÄN</t>
        </is>
      </c>
      <c r="E648" t="inlineStr">
        <is>
          <t>NYBRO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32627-2021</t>
        </is>
      </c>
      <c r="B649" s="1" t="n">
        <v>44375</v>
      </c>
      <c r="C649" s="1" t="n">
        <v>45756</v>
      </c>
      <c r="D649" t="inlineStr">
        <is>
          <t>KALMAR LÄN</t>
        </is>
      </c>
      <c r="E649" t="inlineStr">
        <is>
          <t>NYBRO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32927-2021</t>
        </is>
      </c>
      <c r="B650" s="1" t="n">
        <v>44375</v>
      </c>
      <c r="C650" s="1" t="n">
        <v>45756</v>
      </c>
      <c r="D650" t="inlineStr">
        <is>
          <t>KALMAR LÄN</t>
        </is>
      </c>
      <c r="E650" t="inlineStr">
        <is>
          <t>NYBRO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32936-2021</t>
        </is>
      </c>
      <c r="B651" s="1" t="n">
        <v>44375</v>
      </c>
      <c r="C651" s="1" t="n">
        <v>45756</v>
      </c>
      <c r="D651" t="inlineStr">
        <is>
          <t>KALMAR LÄN</t>
        </is>
      </c>
      <c r="E651" t="inlineStr">
        <is>
          <t>NYBRO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33010-2021</t>
        </is>
      </c>
      <c r="B652" s="1" t="n">
        <v>44376</v>
      </c>
      <c r="C652" s="1" t="n">
        <v>45756</v>
      </c>
      <c r="D652" t="inlineStr">
        <is>
          <t>KALMAR LÄN</t>
        </is>
      </c>
      <c r="E652" t="inlineStr">
        <is>
          <t>NYBRO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33017-2021</t>
        </is>
      </c>
      <c r="B653" s="1" t="n">
        <v>44376</v>
      </c>
      <c r="C653" s="1" t="n">
        <v>45756</v>
      </c>
      <c r="D653" t="inlineStr">
        <is>
          <t>KALMAR LÄN</t>
        </is>
      </c>
      <c r="E653" t="inlineStr">
        <is>
          <t>NYBRO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33308-2021</t>
        </is>
      </c>
      <c r="B654" s="1" t="n">
        <v>44376</v>
      </c>
      <c r="C654" s="1" t="n">
        <v>45756</v>
      </c>
      <c r="D654" t="inlineStr">
        <is>
          <t>KALMAR LÄN</t>
        </is>
      </c>
      <c r="E654" t="inlineStr">
        <is>
          <t>NYBRO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33589-2021</t>
        </is>
      </c>
      <c r="B655" s="1" t="n">
        <v>44378</v>
      </c>
      <c r="C655" s="1" t="n">
        <v>45756</v>
      </c>
      <c r="D655" t="inlineStr">
        <is>
          <t>KALMAR LÄN</t>
        </is>
      </c>
      <c r="E655" t="inlineStr">
        <is>
          <t>NYBRO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33588-2021</t>
        </is>
      </c>
      <c r="B656" s="1" t="n">
        <v>44378</v>
      </c>
      <c r="C656" s="1" t="n">
        <v>45756</v>
      </c>
      <c r="D656" t="inlineStr">
        <is>
          <t>KALMAR LÄN</t>
        </is>
      </c>
      <c r="E656" t="inlineStr">
        <is>
          <t>NYBRO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33856-2021</t>
        </is>
      </c>
      <c r="B657" s="1" t="n">
        <v>44378</v>
      </c>
      <c r="C657" s="1" t="n">
        <v>45756</v>
      </c>
      <c r="D657" t="inlineStr">
        <is>
          <t>KALMAR LÄN</t>
        </is>
      </c>
      <c r="E657" t="inlineStr">
        <is>
          <t>NYBRO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34025-2021</t>
        </is>
      </c>
      <c r="B658" s="1" t="n">
        <v>44379</v>
      </c>
      <c r="C658" s="1" t="n">
        <v>45756</v>
      </c>
      <c r="D658" t="inlineStr">
        <is>
          <t>KALMAR LÄN</t>
        </is>
      </c>
      <c r="E658" t="inlineStr">
        <is>
          <t>NYBRO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34154-2021</t>
        </is>
      </c>
      <c r="B659" s="1" t="n">
        <v>44379</v>
      </c>
      <c r="C659" s="1" t="n">
        <v>45756</v>
      </c>
      <c r="D659" t="inlineStr">
        <is>
          <t>KALMAR LÄN</t>
        </is>
      </c>
      <c r="E659" t="inlineStr">
        <is>
          <t>NYBRO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34559-2021</t>
        </is>
      </c>
      <c r="B660" s="1" t="n">
        <v>44382</v>
      </c>
      <c r="C660" s="1" t="n">
        <v>45756</v>
      </c>
      <c r="D660" t="inlineStr">
        <is>
          <t>KALMAR LÄN</t>
        </is>
      </c>
      <c r="E660" t="inlineStr">
        <is>
          <t>NYBRO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34847-2021</t>
        </is>
      </c>
      <c r="B661" s="1" t="n">
        <v>44383</v>
      </c>
      <c r="C661" s="1" t="n">
        <v>45756</v>
      </c>
      <c r="D661" t="inlineStr">
        <is>
          <t>KALMAR LÄN</t>
        </is>
      </c>
      <c r="E661" t="inlineStr">
        <is>
          <t>NYBRO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35332-2021</t>
        </is>
      </c>
      <c r="B662" s="1" t="n">
        <v>44384</v>
      </c>
      <c r="C662" s="1" t="n">
        <v>45756</v>
      </c>
      <c r="D662" t="inlineStr">
        <is>
          <t>KALMAR LÄN</t>
        </is>
      </c>
      <c r="E662" t="inlineStr">
        <is>
          <t>NYBRO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35402-2021</t>
        </is>
      </c>
      <c r="B663" s="1" t="n">
        <v>44385</v>
      </c>
      <c r="C663" s="1" t="n">
        <v>45756</v>
      </c>
      <c r="D663" t="inlineStr">
        <is>
          <t>KALMAR LÄN</t>
        </is>
      </c>
      <c r="E663" t="inlineStr">
        <is>
          <t>NYBRO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35706-2021</t>
        </is>
      </c>
      <c r="B664" s="1" t="n">
        <v>44386</v>
      </c>
      <c r="C664" s="1" t="n">
        <v>45756</v>
      </c>
      <c r="D664" t="inlineStr">
        <is>
          <t>KALMAR LÄN</t>
        </is>
      </c>
      <c r="E664" t="inlineStr">
        <is>
          <t>NYBRO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35752-2021</t>
        </is>
      </c>
      <c r="B665" s="1" t="n">
        <v>44386</v>
      </c>
      <c r="C665" s="1" t="n">
        <v>45756</v>
      </c>
      <c r="D665" t="inlineStr">
        <is>
          <t>KALMAR LÄN</t>
        </is>
      </c>
      <c r="E665" t="inlineStr">
        <is>
          <t>NYBRO</t>
        </is>
      </c>
      <c r="G665" t="n">
        <v>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36309-2021</t>
        </is>
      </c>
      <c r="B666" s="1" t="n">
        <v>44390</v>
      </c>
      <c r="C666" s="1" t="n">
        <v>45756</v>
      </c>
      <c r="D666" t="inlineStr">
        <is>
          <t>KALMAR LÄN</t>
        </is>
      </c>
      <c r="E666" t="inlineStr">
        <is>
          <t>NYBRO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36383-2021</t>
        </is>
      </c>
      <c r="B667" s="1" t="n">
        <v>44390</v>
      </c>
      <c r="C667" s="1" t="n">
        <v>45756</v>
      </c>
      <c r="D667" t="inlineStr">
        <is>
          <t>KALMAR LÄN</t>
        </is>
      </c>
      <c r="E667" t="inlineStr">
        <is>
          <t>NYBRO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36785-2021</t>
        </is>
      </c>
      <c r="B668" s="1" t="n">
        <v>44392</v>
      </c>
      <c r="C668" s="1" t="n">
        <v>45756</v>
      </c>
      <c r="D668" t="inlineStr">
        <is>
          <t>KALMAR LÄN</t>
        </is>
      </c>
      <c r="E668" t="inlineStr">
        <is>
          <t>NYBRO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36782-2021</t>
        </is>
      </c>
      <c r="B669" s="1" t="n">
        <v>44392</v>
      </c>
      <c r="C669" s="1" t="n">
        <v>45756</v>
      </c>
      <c r="D669" t="inlineStr">
        <is>
          <t>KALMAR LÄN</t>
        </is>
      </c>
      <c r="E669" t="inlineStr">
        <is>
          <t>NYBRO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36787-2021</t>
        </is>
      </c>
      <c r="B670" s="1" t="n">
        <v>44392</v>
      </c>
      <c r="C670" s="1" t="n">
        <v>45756</v>
      </c>
      <c r="D670" t="inlineStr">
        <is>
          <t>KALMAR LÄN</t>
        </is>
      </c>
      <c r="E670" t="inlineStr">
        <is>
          <t>NYBRO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38442-2021</t>
        </is>
      </c>
      <c r="B671" s="1" t="n">
        <v>44407</v>
      </c>
      <c r="C671" s="1" t="n">
        <v>45756</v>
      </c>
      <c r="D671" t="inlineStr">
        <is>
          <t>KALMAR LÄN</t>
        </is>
      </c>
      <c r="E671" t="inlineStr">
        <is>
          <t>NYBRO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38451-2021</t>
        </is>
      </c>
      <c r="B672" s="1" t="n">
        <v>44407</v>
      </c>
      <c r="C672" s="1" t="n">
        <v>45756</v>
      </c>
      <c r="D672" t="inlineStr">
        <is>
          <t>KALMAR LÄN</t>
        </is>
      </c>
      <c r="E672" t="inlineStr">
        <is>
          <t>NYBRO</t>
        </is>
      </c>
      <c r="G672" t="n">
        <v>10.7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38461-2021</t>
        </is>
      </c>
      <c r="B673" s="1" t="n">
        <v>44407</v>
      </c>
      <c r="C673" s="1" t="n">
        <v>45756</v>
      </c>
      <c r="D673" t="inlineStr">
        <is>
          <t>KALMAR LÄN</t>
        </is>
      </c>
      <c r="E673" t="inlineStr">
        <is>
          <t>NYBRO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38441-2021</t>
        </is>
      </c>
      <c r="B674" s="1" t="n">
        <v>44407</v>
      </c>
      <c r="C674" s="1" t="n">
        <v>45756</v>
      </c>
      <c r="D674" t="inlineStr">
        <is>
          <t>KALMAR LÄN</t>
        </is>
      </c>
      <c r="E674" t="inlineStr">
        <is>
          <t>NYBRO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38448-2021</t>
        </is>
      </c>
      <c r="B675" s="1" t="n">
        <v>44407</v>
      </c>
      <c r="C675" s="1" t="n">
        <v>45756</v>
      </c>
      <c r="D675" t="inlineStr">
        <is>
          <t>KALMAR LÄN</t>
        </is>
      </c>
      <c r="E675" t="inlineStr">
        <is>
          <t>NYBRO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38460-2021</t>
        </is>
      </c>
      <c r="B676" s="1" t="n">
        <v>44407</v>
      </c>
      <c r="C676" s="1" t="n">
        <v>45756</v>
      </c>
      <c r="D676" t="inlineStr">
        <is>
          <t>KALMAR LÄN</t>
        </is>
      </c>
      <c r="E676" t="inlineStr">
        <is>
          <t>NYBRO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38446-2021</t>
        </is>
      </c>
      <c r="B677" s="1" t="n">
        <v>44407</v>
      </c>
      <c r="C677" s="1" t="n">
        <v>45756</v>
      </c>
      <c r="D677" t="inlineStr">
        <is>
          <t>KALMAR LÄN</t>
        </is>
      </c>
      <c r="E677" t="inlineStr">
        <is>
          <t>NYBRO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38444-2021</t>
        </is>
      </c>
      <c r="B678" s="1" t="n">
        <v>44407</v>
      </c>
      <c r="C678" s="1" t="n">
        <v>45756</v>
      </c>
      <c r="D678" t="inlineStr">
        <is>
          <t>KALMAR LÄN</t>
        </is>
      </c>
      <c r="E678" t="inlineStr">
        <is>
          <t>NYBRO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38452-2021</t>
        </is>
      </c>
      <c r="B679" s="1" t="n">
        <v>44407</v>
      </c>
      <c r="C679" s="1" t="n">
        <v>45756</v>
      </c>
      <c r="D679" t="inlineStr">
        <is>
          <t>KALMAR LÄN</t>
        </is>
      </c>
      <c r="E679" t="inlineStr">
        <is>
          <t>NYBRO</t>
        </is>
      </c>
      <c r="G679" t="n">
        <v>14.1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38457-2021</t>
        </is>
      </c>
      <c r="B680" s="1" t="n">
        <v>44407</v>
      </c>
      <c r="C680" s="1" t="n">
        <v>45756</v>
      </c>
      <c r="D680" t="inlineStr">
        <is>
          <t>KALMAR LÄN</t>
        </is>
      </c>
      <c r="E680" t="inlineStr">
        <is>
          <t>NYBRO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38462-2021</t>
        </is>
      </c>
      <c r="B681" s="1" t="n">
        <v>44407</v>
      </c>
      <c r="C681" s="1" t="n">
        <v>45756</v>
      </c>
      <c r="D681" t="inlineStr">
        <is>
          <t>KALMAR LÄN</t>
        </is>
      </c>
      <c r="E681" t="inlineStr">
        <is>
          <t>NYBRO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38459-2021</t>
        </is>
      </c>
      <c r="B682" s="1" t="n">
        <v>44407</v>
      </c>
      <c r="C682" s="1" t="n">
        <v>45756</v>
      </c>
      <c r="D682" t="inlineStr">
        <is>
          <t>KALMAR LÄN</t>
        </is>
      </c>
      <c r="E682" t="inlineStr">
        <is>
          <t>NYBRO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38628-2021</t>
        </is>
      </c>
      <c r="B683" s="1" t="n">
        <v>44409</v>
      </c>
      <c r="C683" s="1" t="n">
        <v>45756</v>
      </c>
      <c r="D683" t="inlineStr">
        <is>
          <t>KALMAR LÄN</t>
        </is>
      </c>
      <c r="E683" t="inlineStr">
        <is>
          <t>NYBRO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38976-2021</t>
        </is>
      </c>
      <c r="B684" s="1" t="n">
        <v>44412</v>
      </c>
      <c r="C684" s="1" t="n">
        <v>45756</v>
      </c>
      <c r="D684" t="inlineStr">
        <is>
          <t>KALMAR LÄN</t>
        </is>
      </c>
      <c r="E684" t="inlineStr">
        <is>
          <t>NYBRO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40017-2021</t>
        </is>
      </c>
      <c r="B685" s="1" t="n">
        <v>44418</v>
      </c>
      <c r="C685" s="1" t="n">
        <v>45756</v>
      </c>
      <c r="D685" t="inlineStr">
        <is>
          <t>KALMAR LÄN</t>
        </is>
      </c>
      <c r="E685" t="inlineStr">
        <is>
          <t>NYBRO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40086-2021</t>
        </is>
      </c>
      <c r="B686" s="1" t="n">
        <v>44418</v>
      </c>
      <c r="C686" s="1" t="n">
        <v>45756</v>
      </c>
      <c r="D686" t="inlineStr">
        <is>
          <t>KALMAR LÄN</t>
        </is>
      </c>
      <c r="E686" t="inlineStr">
        <is>
          <t>NYBRO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39986-2021</t>
        </is>
      </c>
      <c r="B687" s="1" t="n">
        <v>44418</v>
      </c>
      <c r="C687" s="1" t="n">
        <v>45756</v>
      </c>
      <c r="D687" t="inlineStr">
        <is>
          <t>KALMAR LÄN</t>
        </is>
      </c>
      <c r="E687" t="inlineStr">
        <is>
          <t>NYBRO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40376-2021</t>
        </is>
      </c>
      <c r="B688" s="1" t="n">
        <v>44419</v>
      </c>
      <c r="C688" s="1" t="n">
        <v>45756</v>
      </c>
      <c r="D688" t="inlineStr">
        <is>
          <t>KALMAR LÄN</t>
        </is>
      </c>
      <c r="E688" t="inlineStr">
        <is>
          <t>NYBRO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40375-2021</t>
        </is>
      </c>
      <c r="B689" s="1" t="n">
        <v>44419</v>
      </c>
      <c r="C689" s="1" t="n">
        <v>45756</v>
      </c>
      <c r="D689" t="inlineStr">
        <is>
          <t>KALMAR LÄN</t>
        </is>
      </c>
      <c r="E689" t="inlineStr">
        <is>
          <t>NYBRO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40786-2021</t>
        </is>
      </c>
      <c r="B690" s="1" t="n">
        <v>44421</v>
      </c>
      <c r="C690" s="1" t="n">
        <v>45756</v>
      </c>
      <c r="D690" t="inlineStr">
        <is>
          <t>KALMAR LÄN</t>
        </is>
      </c>
      <c r="E690" t="inlineStr">
        <is>
          <t>NYBRO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42965-2021</t>
        </is>
      </c>
      <c r="B691" s="1" t="n">
        <v>44431</v>
      </c>
      <c r="C691" s="1" t="n">
        <v>45756</v>
      </c>
      <c r="D691" t="inlineStr">
        <is>
          <t>KALMAR LÄN</t>
        </is>
      </c>
      <c r="E691" t="inlineStr">
        <is>
          <t>NYBRO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42955-2021</t>
        </is>
      </c>
      <c r="B692" s="1" t="n">
        <v>44431</v>
      </c>
      <c r="C692" s="1" t="n">
        <v>45756</v>
      </c>
      <c r="D692" t="inlineStr">
        <is>
          <t>KALMAR LÄN</t>
        </is>
      </c>
      <c r="E692" t="inlineStr">
        <is>
          <t>NYBRO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46526-2021</t>
        </is>
      </c>
      <c r="B693" s="1" t="n">
        <v>44445</v>
      </c>
      <c r="C693" s="1" t="n">
        <v>45756</v>
      </c>
      <c r="D693" t="inlineStr">
        <is>
          <t>KALMAR LÄN</t>
        </is>
      </c>
      <c r="E693" t="inlineStr">
        <is>
          <t>NYBRO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47612-2021</t>
        </is>
      </c>
      <c r="B694" s="1" t="n">
        <v>44448</v>
      </c>
      <c r="C694" s="1" t="n">
        <v>45756</v>
      </c>
      <c r="D694" t="inlineStr">
        <is>
          <t>KALMAR LÄN</t>
        </is>
      </c>
      <c r="E694" t="inlineStr">
        <is>
          <t>NYBRO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48217-2021</t>
        </is>
      </c>
      <c r="B695" s="1" t="n">
        <v>44449</v>
      </c>
      <c r="C695" s="1" t="n">
        <v>45756</v>
      </c>
      <c r="D695" t="inlineStr">
        <is>
          <t>KALMAR LÄN</t>
        </is>
      </c>
      <c r="E695" t="inlineStr">
        <is>
          <t>NYBRO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48227-2021</t>
        </is>
      </c>
      <c r="B696" s="1" t="n">
        <v>44449</v>
      </c>
      <c r="C696" s="1" t="n">
        <v>45756</v>
      </c>
      <c r="D696" t="inlineStr">
        <is>
          <t>KALMAR LÄN</t>
        </is>
      </c>
      <c r="E696" t="inlineStr">
        <is>
          <t>NYBRO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48194-2021</t>
        </is>
      </c>
      <c r="B697" s="1" t="n">
        <v>44449</v>
      </c>
      <c r="C697" s="1" t="n">
        <v>45756</v>
      </c>
      <c r="D697" t="inlineStr">
        <is>
          <t>KALMAR LÄN</t>
        </is>
      </c>
      <c r="E697" t="inlineStr">
        <is>
          <t>NYBRO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48215-2021</t>
        </is>
      </c>
      <c r="B698" s="1" t="n">
        <v>44449</v>
      </c>
      <c r="C698" s="1" t="n">
        <v>45756</v>
      </c>
      <c r="D698" t="inlineStr">
        <is>
          <t>KALMAR LÄN</t>
        </is>
      </c>
      <c r="E698" t="inlineStr">
        <is>
          <t>NYBRO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48226-2021</t>
        </is>
      </c>
      <c r="B699" s="1" t="n">
        <v>44449</v>
      </c>
      <c r="C699" s="1" t="n">
        <v>45756</v>
      </c>
      <c r="D699" t="inlineStr">
        <is>
          <t>KALMAR LÄN</t>
        </is>
      </c>
      <c r="E699" t="inlineStr">
        <is>
          <t>NYBRO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48219-2021</t>
        </is>
      </c>
      <c r="B700" s="1" t="n">
        <v>44449</v>
      </c>
      <c r="C700" s="1" t="n">
        <v>45756</v>
      </c>
      <c r="D700" t="inlineStr">
        <is>
          <t>KALMAR LÄN</t>
        </is>
      </c>
      <c r="E700" t="inlineStr">
        <is>
          <t>NYBRO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49051-2021</t>
        </is>
      </c>
      <c r="B701" s="1" t="n">
        <v>44453</v>
      </c>
      <c r="C701" s="1" t="n">
        <v>45756</v>
      </c>
      <c r="D701" t="inlineStr">
        <is>
          <t>KALMAR LÄN</t>
        </is>
      </c>
      <c r="E701" t="inlineStr">
        <is>
          <t>NYBRO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51049-2021</t>
        </is>
      </c>
      <c r="B702" s="1" t="n">
        <v>44459</v>
      </c>
      <c r="C702" s="1" t="n">
        <v>45756</v>
      </c>
      <c r="D702" t="inlineStr">
        <is>
          <t>KALMAR LÄN</t>
        </is>
      </c>
      <c r="E702" t="inlineStr">
        <is>
          <t>NYBRO</t>
        </is>
      </c>
      <c r="F702" t="inlineStr">
        <is>
          <t>Kyrkan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51285-2021</t>
        </is>
      </c>
      <c r="B703" s="1" t="n">
        <v>44461</v>
      </c>
      <c r="C703" s="1" t="n">
        <v>45756</v>
      </c>
      <c r="D703" t="inlineStr">
        <is>
          <t>KALMAR LÄN</t>
        </is>
      </c>
      <c r="E703" t="inlineStr">
        <is>
          <t>NYBRO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51766-2021</t>
        </is>
      </c>
      <c r="B704" s="1" t="n">
        <v>44461</v>
      </c>
      <c r="C704" s="1" t="n">
        <v>45756</v>
      </c>
      <c r="D704" t="inlineStr">
        <is>
          <t>KALMAR LÄN</t>
        </is>
      </c>
      <c r="E704" t="inlineStr">
        <is>
          <t>NYBRO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51799-2021</t>
        </is>
      </c>
      <c r="B705" s="1" t="n">
        <v>44462</v>
      </c>
      <c r="C705" s="1" t="n">
        <v>45756</v>
      </c>
      <c r="D705" t="inlineStr">
        <is>
          <t>KALMAR LÄN</t>
        </is>
      </c>
      <c r="E705" t="inlineStr">
        <is>
          <t>NYBRO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51471-2021</t>
        </is>
      </c>
      <c r="B706" s="1" t="n">
        <v>44462</v>
      </c>
      <c r="C706" s="1" t="n">
        <v>45756</v>
      </c>
      <c r="D706" t="inlineStr">
        <is>
          <t>KALMAR LÄN</t>
        </is>
      </c>
      <c r="E706" t="inlineStr">
        <is>
          <t>NYBRO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52133-2021</t>
        </is>
      </c>
      <c r="B707" s="1" t="n">
        <v>44462</v>
      </c>
      <c r="C707" s="1" t="n">
        <v>45756</v>
      </c>
      <c r="D707" t="inlineStr">
        <is>
          <t>KALMAR LÄN</t>
        </is>
      </c>
      <c r="E707" t="inlineStr">
        <is>
          <t>NYBRO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52137-2021</t>
        </is>
      </c>
      <c r="B708" s="1" t="n">
        <v>44463</v>
      </c>
      <c r="C708" s="1" t="n">
        <v>45756</v>
      </c>
      <c r="D708" t="inlineStr">
        <is>
          <t>KALMAR LÄN</t>
        </is>
      </c>
      <c r="E708" t="inlineStr">
        <is>
          <t>NYBRO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52135-2021</t>
        </is>
      </c>
      <c r="B709" s="1" t="n">
        <v>44463</v>
      </c>
      <c r="C709" s="1" t="n">
        <v>45756</v>
      </c>
      <c r="D709" t="inlineStr">
        <is>
          <t>KALMAR LÄN</t>
        </is>
      </c>
      <c r="E709" t="inlineStr">
        <is>
          <t>NYBRO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52367-2021</t>
        </is>
      </c>
      <c r="B710" s="1" t="n">
        <v>44465</v>
      </c>
      <c r="C710" s="1" t="n">
        <v>45756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52745-2021</t>
        </is>
      </c>
      <c r="B711" s="1" t="n">
        <v>44467</v>
      </c>
      <c r="C711" s="1" t="n">
        <v>45756</v>
      </c>
      <c r="D711" t="inlineStr">
        <is>
          <t>KALMAR LÄN</t>
        </is>
      </c>
      <c r="E711" t="inlineStr">
        <is>
          <t>NYBRO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53198-2021</t>
        </is>
      </c>
      <c r="B712" s="1" t="n">
        <v>44468</v>
      </c>
      <c r="C712" s="1" t="n">
        <v>45756</v>
      </c>
      <c r="D712" t="inlineStr">
        <is>
          <t>KALMAR LÄN</t>
        </is>
      </c>
      <c r="E712" t="inlineStr">
        <is>
          <t>NYBRO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55103-2021</t>
        </is>
      </c>
      <c r="B713" s="1" t="n">
        <v>44474</v>
      </c>
      <c r="C713" s="1" t="n">
        <v>45756</v>
      </c>
      <c r="D713" t="inlineStr">
        <is>
          <t>KALMAR LÄN</t>
        </is>
      </c>
      <c r="E713" t="inlineStr">
        <is>
          <t>NYBRO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55279-2021</t>
        </is>
      </c>
      <c r="B714" s="1" t="n">
        <v>44475</v>
      </c>
      <c r="C714" s="1" t="n">
        <v>45756</v>
      </c>
      <c r="D714" t="inlineStr">
        <is>
          <t>KALMAR LÄN</t>
        </is>
      </c>
      <c r="E714" t="inlineStr">
        <is>
          <t>NYBRO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55685-2021</t>
        </is>
      </c>
      <c r="B715" s="1" t="n">
        <v>44475</v>
      </c>
      <c r="C715" s="1" t="n">
        <v>45756</v>
      </c>
      <c r="D715" t="inlineStr">
        <is>
          <t>KALMAR LÄN</t>
        </is>
      </c>
      <c r="E715" t="inlineStr">
        <is>
          <t>NYBRO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56924-2021</t>
        </is>
      </c>
      <c r="B716" s="1" t="n">
        <v>44482</v>
      </c>
      <c r="C716" s="1" t="n">
        <v>45756</v>
      </c>
      <c r="D716" t="inlineStr">
        <is>
          <t>KALMAR LÄN</t>
        </is>
      </c>
      <c r="E716" t="inlineStr">
        <is>
          <t>NYBRO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57588-2021</t>
        </is>
      </c>
      <c r="B717" s="1" t="n">
        <v>44484</v>
      </c>
      <c r="C717" s="1" t="n">
        <v>45756</v>
      </c>
      <c r="D717" t="inlineStr">
        <is>
          <t>KALMAR LÄN</t>
        </is>
      </c>
      <c r="E717" t="inlineStr">
        <is>
          <t>NYBRO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58455-2021</t>
        </is>
      </c>
      <c r="B718" s="1" t="n">
        <v>44488</v>
      </c>
      <c r="C718" s="1" t="n">
        <v>45756</v>
      </c>
      <c r="D718" t="inlineStr">
        <is>
          <t>KALMAR LÄN</t>
        </is>
      </c>
      <c r="E718" t="inlineStr">
        <is>
          <t>NYBRO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58575-2021</t>
        </is>
      </c>
      <c r="B719" s="1" t="n">
        <v>44489</v>
      </c>
      <c r="C719" s="1" t="n">
        <v>45756</v>
      </c>
      <c r="D719" t="inlineStr">
        <is>
          <t>KALMAR LÄN</t>
        </is>
      </c>
      <c r="E719" t="inlineStr">
        <is>
          <t>NYBRO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58577-2021</t>
        </is>
      </c>
      <c r="B720" s="1" t="n">
        <v>44489</v>
      </c>
      <c r="C720" s="1" t="n">
        <v>45756</v>
      </c>
      <c r="D720" t="inlineStr">
        <is>
          <t>KALMAR LÄN</t>
        </is>
      </c>
      <c r="E720" t="inlineStr">
        <is>
          <t>NYBRO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58761-2021</t>
        </is>
      </c>
      <c r="B721" s="1" t="n">
        <v>44489</v>
      </c>
      <c r="C721" s="1" t="n">
        <v>45756</v>
      </c>
      <c r="D721" t="inlineStr">
        <is>
          <t>KALMAR LÄN</t>
        </is>
      </c>
      <c r="E721" t="inlineStr">
        <is>
          <t>NYBRO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59567-2021</t>
        </is>
      </c>
      <c r="B722" s="1" t="n">
        <v>44491</v>
      </c>
      <c r="C722" s="1" t="n">
        <v>45756</v>
      </c>
      <c r="D722" t="inlineStr">
        <is>
          <t>KALMAR LÄN</t>
        </is>
      </c>
      <c r="E722" t="inlineStr">
        <is>
          <t>NYBRO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59646-2021</t>
        </is>
      </c>
      <c r="B723" s="1" t="n">
        <v>44493</v>
      </c>
      <c r="C723" s="1" t="n">
        <v>45756</v>
      </c>
      <c r="D723" t="inlineStr">
        <is>
          <t>KALMAR LÄN</t>
        </is>
      </c>
      <c r="E723" t="inlineStr">
        <is>
          <t>NYBRO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59689-2021</t>
        </is>
      </c>
      <c r="B724" s="1" t="n">
        <v>44494</v>
      </c>
      <c r="C724" s="1" t="n">
        <v>45756</v>
      </c>
      <c r="D724" t="inlineStr">
        <is>
          <t>KALMAR LÄN</t>
        </is>
      </c>
      <c r="E724" t="inlineStr">
        <is>
          <t>NYBRO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59684-2021</t>
        </is>
      </c>
      <c r="B725" s="1" t="n">
        <v>44494</v>
      </c>
      <c r="C725" s="1" t="n">
        <v>45756</v>
      </c>
      <c r="D725" t="inlineStr">
        <is>
          <t>KALMAR LÄN</t>
        </is>
      </c>
      <c r="E725" t="inlineStr">
        <is>
          <t>NYBRO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59687-2021</t>
        </is>
      </c>
      <c r="B726" s="1" t="n">
        <v>44494</v>
      </c>
      <c r="C726" s="1" t="n">
        <v>45756</v>
      </c>
      <c r="D726" t="inlineStr">
        <is>
          <t>KALMAR LÄN</t>
        </is>
      </c>
      <c r="E726" t="inlineStr">
        <is>
          <t>NYBRO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60285-2021</t>
        </is>
      </c>
      <c r="B727" s="1" t="n">
        <v>44495</v>
      </c>
      <c r="C727" s="1" t="n">
        <v>45756</v>
      </c>
      <c r="D727" t="inlineStr">
        <is>
          <t>KALMAR LÄN</t>
        </is>
      </c>
      <c r="E727" t="inlineStr">
        <is>
          <t>NYBRO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60288-2021</t>
        </is>
      </c>
      <c r="B728" s="1" t="n">
        <v>44495</v>
      </c>
      <c r="C728" s="1" t="n">
        <v>45756</v>
      </c>
      <c r="D728" t="inlineStr">
        <is>
          <t>KALMAR LÄN</t>
        </is>
      </c>
      <c r="E728" t="inlineStr">
        <is>
          <t>NYBRO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60519-2021</t>
        </is>
      </c>
      <c r="B729" s="1" t="n">
        <v>44496</v>
      </c>
      <c r="C729" s="1" t="n">
        <v>45756</v>
      </c>
      <c r="D729" t="inlineStr">
        <is>
          <t>KALMAR LÄN</t>
        </is>
      </c>
      <c r="E729" t="inlineStr">
        <is>
          <t>NYBRO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60513-2021</t>
        </is>
      </c>
      <c r="B730" s="1" t="n">
        <v>44496</v>
      </c>
      <c r="C730" s="1" t="n">
        <v>45756</v>
      </c>
      <c r="D730" t="inlineStr">
        <is>
          <t>KALMAR LÄN</t>
        </is>
      </c>
      <c r="E730" t="inlineStr">
        <is>
          <t>NYBRO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60523-2021</t>
        </is>
      </c>
      <c r="B731" s="1" t="n">
        <v>44496</v>
      </c>
      <c r="C731" s="1" t="n">
        <v>45756</v>
      </c>
      <c r="D731" t="inlineStr">
        <is>
          <t>KALMAR LÄN</t>
        </is>
      </c>
      <c r="E731" t="inlineStr">
        <is>
          <t>NYBRO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61060-2021</t>
        </is>
      </c>
      <c r="B732" s="1" t="n">
        <v>44497</v>
      </c>
      <c r="C732" s="1" t="n">
        <v>45756</v>
      </c>
      <c r="D732" t="inlineStr">
        <is>
          <t>KALMAR LÄN</t>
        </is>
      </c>
      <c r="E732" t="inlineStr">
        <is>
          <t>NYBRO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60794-2021</t>
        </is>
      </c>
      <c r="B733" s="1" t="n">
        <v>44497</v>
      </c>
      <c r="C733" s="1" t="n">
        <v>45756</v>
      </c>
      <c r="D733" t="inlineStr">
        <is>
          <t>KALMAR LÄN</t>
        </is>
      </c>
      <c r="E733" t="inlineStr">
        <is>
          <t>NYBRO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62816-2021</t>
        </is>
      </c>
      <c r="B734" s="1" t="n">
        <v>44504</v>
      </c>
      <c r="C734" s="1" t="n">
        <v>45756</v>
      </c>
      <c r="D734" t="inlineStr">
        <is>
          <t>KALMAR LÄN</t>
        </is>
      </c>
      <c r="E734" t="inlineStr">
        <is>
          <t>NYBRO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62817-2021</t>
        </is>
      </c>
      <c r="B735" s="1" t="n">
        <v>44504</v>
      </c>
      <c r="C735" s="1" t="n">
        <v>45756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45756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45756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45756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45756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45756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45756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45756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45756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45756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45756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45756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45756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45756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45756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45756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45756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45756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45756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45756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45756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45756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45756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45756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45756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45756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45756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45756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45756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45756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45756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45756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45756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45756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45756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45756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45756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45756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45756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45756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45756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45756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45756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45756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45756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45756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45756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45756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45756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45756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45756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45756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45756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45756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45756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45756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45756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45756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45756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45756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45756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45756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45756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45756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45756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45756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45756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45756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45756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45756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45756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45756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45756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45756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45756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45756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45756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45756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45756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45756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45756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45756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45756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45756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45756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45756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45756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45756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45756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45756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45756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45756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45756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45756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45756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45756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45756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45756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45756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45756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45756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45756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45756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45756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45756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45756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45756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45756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45756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45756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45756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45756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45756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45756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45756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45756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45756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45756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45756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45756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45756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45756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45756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45756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45756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45756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45756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45756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45756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45756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45756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45756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45756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45756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45756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45756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45756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45756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45756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45756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45756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45756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45756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45756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45756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45756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45756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45756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45756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45756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45756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45756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45756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45756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45756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45756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45756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45756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45756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45756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45756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45756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45756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45756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45756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45756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45756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45756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45756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45756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45756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45756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45756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45756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45756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45756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45756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45756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45756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45756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45756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45756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45756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45756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45756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45756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45756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45756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45756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45756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45756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45756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45756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45756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45756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45756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45756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45756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45756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45756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45756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45756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45756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45756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45756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45756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45756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45756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45756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45756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45756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45756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45756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45756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45756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45756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45756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45756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45756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45756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45756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45756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45756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45756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45756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45756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45756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45756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45756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45756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45756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45756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45756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45756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45756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45756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45756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45756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45756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45756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45756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45756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45756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45756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45756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45756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45756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45756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45756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45756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45756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45756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45756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45756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45756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45756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45756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45756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45756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45756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45756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45756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45756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45756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45756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45756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45756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45756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45756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45756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45756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45756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45756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45756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45756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45756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45756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45756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45756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45756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45756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45756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45756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45756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45756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45756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45756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45756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45756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45756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45756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45756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45756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45756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45756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45756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45756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45756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45756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45756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45756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45756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45756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45756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45756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45756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45756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45756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45756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45756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45756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45756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45756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45756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45756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45756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45756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45756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45756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45756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45756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45756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45756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45756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45756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45756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45756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45756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45756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45756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45756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45756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45756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45756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45756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45756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45756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45756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45756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45756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45756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45756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45756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45756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45756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45756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45756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45756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45756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45756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45756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45756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45756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45756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45756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45756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45756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45756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45756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45756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45756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45756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45756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45756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45756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45756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45756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45756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45756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45756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45756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45756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45756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45756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45756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45756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45756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45756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45756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45756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45756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45756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45756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45756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45756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45756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45756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45756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45756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45756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45756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45756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45756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45756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45756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45756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45756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45756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45756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45756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45756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45756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45756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45756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45756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45756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45756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45756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45756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45756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45756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45756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45756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45756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45756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45756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45756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45756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45756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45756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45756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45756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45756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45756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45756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45756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45756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45756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45756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45756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45756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45756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45756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45756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45756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45756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45756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45756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45756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45756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45756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45756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45756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45756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45756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45756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45756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45756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45756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45756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45756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45756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45756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45756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45756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45756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45756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45756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45756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45756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45756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45756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45756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45756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45756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45756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45756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45756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45756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45756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45756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45756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45756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45756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45756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45756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45756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45756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45756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45756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45756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45756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45756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45756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45756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45756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45756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45756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45756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45756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45756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45756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45756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45756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45756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45756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45756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45756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45756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45756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45756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45756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45756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45756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45756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45756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45756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45756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45756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45756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45756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45756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45756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45756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45756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45756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45756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45756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45756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45756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45756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45756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45756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45756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45756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45756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45756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45756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45756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45756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45756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45756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45756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45756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45756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45756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45756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45756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45756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45756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45756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45756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45756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45756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45756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45756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45756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45756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45756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45756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45756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45756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45756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45756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45756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45756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45756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45756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45756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45756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45756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45756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45756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45756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45756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45756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45756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45756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45756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45756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45756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45756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45756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45756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45756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45756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45756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45756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45756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45756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45756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45756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45756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45756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45756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45756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45756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45756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45756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45756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45756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45756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45756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45756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45756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45756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45756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45756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45756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45756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45756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45756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45756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45756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45756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45756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45756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45756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45756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45756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45756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45756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45756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45756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45756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45756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45756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45756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45756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45756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45756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45756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45756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45756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45756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45756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45756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45756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45756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45756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45756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45756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45756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45756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45756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45756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45756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45756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45756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45756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45756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45756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45756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45756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45756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45756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45756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45756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45756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45756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45756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45756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45756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45756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45756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45756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45756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45756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45756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45756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45756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45756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45756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45756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45756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45756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45756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45756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45756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45756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45756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45756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45756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45756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45756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45756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45756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45756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45756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45756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45756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45756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45756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45756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45756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45756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45756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45756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45756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45756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45756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45756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45756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45756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45756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45756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45756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45756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45756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45756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45756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45756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45756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45756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45756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45756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45756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45756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45756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45756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45756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45756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45756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45756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45756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45756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45756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45756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45756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45756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45756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45756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45756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45756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45756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45756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45756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45756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45756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45756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45756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45756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45756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45756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45756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45756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45756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45756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45756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45756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45756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45756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45756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45756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45756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45756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45756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45756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45756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45756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45756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45756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45756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45756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45756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45756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45756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45756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45756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45756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45756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45756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45756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45756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45756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45756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45756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45756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45756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45756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45756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45756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45756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45756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45756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45756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45756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45756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45756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45756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45756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45756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45756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45756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45756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45756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45756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45756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45756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45756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45756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45756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45756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45756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45756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45756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45756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45756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45756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45756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45756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45756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45756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45756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45756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45756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45756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45756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45756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45756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45756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45756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45756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45756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45756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45756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45756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45756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45756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45756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45756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45756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45756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45756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45756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45756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45756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45756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45756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45756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45756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45756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45756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45756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45756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45756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45756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45756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45756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45756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45756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45756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45756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45756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45756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45756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45756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45756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45756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45756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45756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45756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45756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45756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45756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45756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45756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45756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45756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45756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45756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45756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45756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45756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45756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45756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45756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45756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45756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45756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45756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45756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45756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45756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45756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45756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45756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45756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45756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45756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45756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45756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45756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45756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45756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45756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45756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45756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45756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45756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45756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45756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45756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45756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45756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45756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45756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45756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45756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45756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45756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45756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45756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45756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45756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45756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45756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45756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45756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45756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45756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45756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45756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45756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45756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45756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45756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45756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45756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45756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45756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45756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45756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45756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45756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45756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45756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45756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45756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45756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45756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45756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45756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45756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45756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45756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45756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45756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45756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45756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45756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45756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45756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45756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45756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45756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45756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45756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45756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45756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45756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45756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45756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45756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45756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45756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45756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45756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45756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45756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45756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45756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45756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45756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45756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45756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45756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45756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45756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45756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45756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45756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45756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45756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45756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45756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45756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45756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45756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45756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45756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45756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45756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45756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45756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45756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45756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45756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45756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45756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45756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45756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45756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45756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45756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45756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45756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45756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45756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45756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45756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45756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45756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45756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45756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45756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45756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45756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45756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45756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45756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45756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45756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45756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45756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45756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45756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45756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45756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45756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45756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45756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45756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45756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45756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45756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45756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45756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45756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45756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45756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45756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45756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45756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45756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45756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45756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45756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45756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45756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45756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45756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45756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45756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45756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45756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45756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45756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45756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45756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45756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45756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45756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45756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45756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45756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45756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45756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45756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45756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45756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45756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45756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45756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45756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45756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45756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45756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45756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45756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45756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45756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45756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45756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45756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45756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45756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45756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45756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45756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45756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45756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45756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45756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45756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45756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45756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45756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45756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45756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45756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45756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45756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45756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45756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45756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45756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45756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45756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45756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45756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45756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45756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45756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45756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45756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11685-2025</t>
        </is>
      </c>
      <c r="B1841" s="1" t="n">
        <v>45727</v>
      </c>
      <c r="C1841" s="1" t="n">
        <v>45756</v>
      </c>
      <c r="D1841" t="inlineStr">
        <is>
          <t>KALMAR LÄN</t>
        </is>
      </c>
      <c r="E1841" t="inlineStr">
        <is>
          <t>NYBRO</t>
        </is>
      </c>
      <c r="G1841" t="n">
        <v>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11706-2025</t>
        </is>
      </c>
      <c r="B1842" s="1" t="n">
        <v>45727</v>
      </c>
      <c r="C1842" s="1" t="n">
        <v>45756</v>
      </c>
      <c r="D1842" t="inlineStr">
        <is>
          <t>KALMAR LÄN</t>
        </is>
      </c>
      <c r="E1842" t="inlineStr">
        <is>
          <t>NYBRO</t>
        </is>
      </c>
      <c r="F1842" t="inlineStr">
        <is>
          <t>Kommuner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45756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45756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45756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45756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45756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45756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45756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45756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45756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12476-2025</t>
        </is>
      </c>
      <c r="B1852" s="1" t="n">
        <v>45730</v>
      </c>
      <c r="C1852" s="1" t="n">
        <v>45756</v>
      </c>
      <c r="D1852" t="inlineStr">
        <is>
          <t>KALMAR LÄN</t>
        </is>
      </c>
      <c r="E1852" t="inlineStr">
        <is>
          <t>NYBRO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45756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45756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45756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45756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45756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13926-2025</t>
        </is>
      </c>
      <c r="B1858" s="1" t="n">
        <v>45737</v>
      </c>
      <c r="C1858" s="1" t="n">
        <v>45756</v>
      </c>
      <c r="D1858" t="inlineStr">
        <is>
          <t>KALMAR LÄN</t>
        </is>
      </c>
      <c r="E1858" t="inlineStr">
        <is>
          <t>NYBRO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13930-2025</t>
        </is>
      </c>
      <c r="B1859" s="1" t="n">
        <v>45737</v>
      </c>
      <c r="C1859" s="1" t="n">
        <v>45756</v>
      </c>
      <c r="D1859" t="inlineStr">
        <is>
          <t>KALMAR LÄN</t>
        </is>
      </c>
      <c r="E1859" t="inlineStr">
        <is>
          <t>NYBRO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13768-2025</t>
        </is>
      </c>
      <c r="B1860" s="1" t="n">
        <v>45737</v>
      </c>
      <c r="C1860" s="1" t="n">
        <v>45756</v>
      </c>
      <c r="D1860" t="inlineStr">
        <is>
          <t>KALMAR LÄN</t>
        </is>
      </c>
      <c r="E1860" t="inlineStr">
        <is>
          <t>NYBRO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13982-2025</t>
        </is>
      </c>
      <c r="B1861" s="1" t="n">
        <v>45739</v>
      </c>
      <c r="C1861" s="1" t="n">
        <v>45756</v>
      </c>
      <c r="D1861" t="inlineStr">
        <is>
          <t>KALMAR LÄN</t>
        </is>
      </c>
      <c r="E1861" t="inlineStr">
        <is>
          <t>NYBRO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13980-2025</t>
        </is>
      </c>
      <c r="B1862" s="1" t="n">
        <v>45739</v>
      </c>
      <c r="C1862" s="1" t="n">
        <v>45756</v>
      </c>
      <c r="D1862" t="inlineStr">
        <is>
          <t>KALMAR LÄN</t>
        </is>
      </c>
      <c r="E1862" t="inlineStr">
        <is>
          <t>NYBRO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45756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45756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45756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15098-2025</t>
        </is>
      </c>
      <c r="B1866" s="1" t="n">
        <v>45744</v>
      </c>
      <c r="C1866" s="1" t="n">
        <v>45756</v>
      </c>
      <c r="D1866" t="inlineStr">
        <is>
          <t>KALMAR LÄN</t>
        </is>
      </c>
      <c r="E1866" t="inlineStr">
        <is>
          <t>NYBRO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15109-2025</t>
        </is>
      </c>
      <c r="B1867" s="1" t="n">
        <v>45744</v>
      </c>
      <c r="C1867" s="1" t="n">
        <v>45756</v>
      </c>
      <c r="D1867" t="inlineStr">
        <is>
          <t>KALMAR LÄN</t>
        </is>
      </c>
      <c r="E1867" t="inlineStr">
        <is>
          <t>NYBRO</t>
        </is>
      </c>
      <c r="G1867" t="n">
        <v>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15222-2025</t>
        </is>
      </c>
      <c r="B1868" s="1" t="n">
        <v>45744</v>
      </c>
      <c r="C1868" s="1" t="n">
        <v>45756</v>
      </c>
      <c r="D1868" t="inlineStr">
        <is>
          <t>KALMAR LÄN</t>
        </is>
      </c>
      <c r="E1868" t="inlineStr">
        <is>
          <t>NYBRO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15100-2025</t>
        </is>
      </c>
      <c r="B1869" s="1" t="n">
        <v>45744</v>
      </c>
      <c r="C1869" s="1" t="n">
        <v>45756</v>
      </c>
      <c r="D1869" t="inlineStr">
        <is>
          <t>KALMAR LÄN</t>
        </is>
      </c>
      <c r="E1869" t="inlineStr">
        <is>
          <t>NYBRO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15200-2025</t>
        </is>
      </c>
      <c r="B1870" s="1" t="n">
        <v>45744</v>
      </c>
      <c r="C1870" s="1" t="n">
        <v>45756</v>
      </c>
      <c r="D1870" t="inlineStr">
        <is>
          <t>KALMAR LÄN</t>
        </is>
      </c>
      <c r="E1870" t="inlineStr">
        <is>
          <t>NYBRO</t>
        </is>
      </c>
      <c r="G1870" t="n">
        <v>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45756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45756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16772-2025</t>
        </is>
      </c>
      <c r="B1873" s="1" t="n">
        <v>45754</v>
      </c>
      <c r="C1873" s="1" t="n">
        <v>45756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16777-2025</t>
        </is>
      </c>
      <c r="B1874" s="1" t="n">
        <v>45754</v>
      </c>
      <c r="C1874" s="1" t="n">
        <v>45756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16779-2025</t>
        </is>
      </c>
      <c r="B1875" s="1" t="n">
        <v>45754</v>
      </c>
      <c r="C1875" s="1" t="n">
        <v>45756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16678-2025</t>
        </is>
      </c>
      <c r="B1876" s="1" t="n">
        <v>45754</v>
      </c>
      <c r="C1876" s="1" t="n">
        <v>45756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16765-2025</t>
        </is>
      </c>
      <c r="B1877" s="1" t="n">
        <v>45754</v>
      </c>
      <c r="C1877" s="1" t="n">
        <v>45756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12.7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>
      <c r="A1878" t="inlineStr">
        <is>
          <t>A 16769-2025</t>
        </is>
      </c>
      <c r="B1878" s="1" t="n">
        <v>45754</v>
      </c>
      <c r="C1878" s="1" t="n">
        <v>45756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2025-04-09T17:08:31Z</dcterms:created>
  <dcterms:modified xmlns:dcterms="http://purl.org/dc/terms/" xmlns:xsi="http://www.w3.org/2001/XMLSchema-instance" xsi:type="dcterms:W3CDTF">2025-04-09T17:08:32Z</dcterms:modified>
</cp:coreProperties>
</file>